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0선" sheetId="1" state="visible" r:id="rId3"/>
    <sheet name="집계" sheetId="2" state="visible" r:id="rId4"/>
    <sheet name="출처·메모" sheetId="3" state="visible" r:id="rId5"/>
  </sheets>
  <definedNames>
    <definedName function="false" hidden="true" localSheetId="0" name="_xlnm._FilterDatabase" vbProcedure="false">'100선'!$A$1:$O$101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<sst xmlns="http://schemas.openxmlformats.org/spreadsheetml/2006/main" count="1290" uniqueCount="320">
  <si>
    <t xml:space="preserve">시도</t>
  </si>
  <si>
    <t xml:space="preserve">시군</t>
  </si>
  <si>
    <t xml:space="preserve">명소명</t>
  </si>
  <si>
    <t xml:space="preserve">유형</t>
  </si>
  <si>
    <t xml:space="preserve">운영기간</t>
  </si>
  <si>
    <t xml:space="preserve">권역</t>
  </si>
  <si>
    <t xml:space="preserve">문체부 발표 표기</t>
  </si>
  <si>
    <t xml:space="preserve">구석구석 번호</t>
  </si>
  <si>
    <r>
      <rPr>
        <b val="true"/>
        <sz val="10"/>
        <rFont val="나눔고딕"/>
        <family val="2"/>
      </rPr>
      <t xml:space="preserve">구석구석 상세 </t>
    </r>
    <r>
      <rPr>
        <b val="true"/>
        <sz val="10"/>
        <rFont val="Arial"/>
        <family val="0"/>
        <charset val="1"/>
      </rPr>
      <t xml:space="preserve">URL</t>
    </r>
  </si>
  <si>
    <r>
      <rPr>
        <b val="true"/>
        <sz val="10"/>
        <rFont val="나눔고딕"/>
        <family val="2"/>
      </rPr>
      <t xml:space="preserve">출처 </t>
    </r>
    <r>
      <rPr>
        <b val="true"/>
        <sz val="10"/>
        <rFont val="Arial"/>
        <family val="0"/>
        <charset val="1"/>
      </rPr>
      <t xml:space="preserve">URL</t>
    </r>
  </si>
  <si>
    <t xml:space="preserve">게시일</t>
  </si>
  <si>
    <r>
      <rPr>
        <b val="true"/>
        <sz val="10"/>
        <rFont val="나눔고딕"/>
        <family val="2"/>
      </rPr>
      <t xml:space="preserve">보조 출처 </t>
    </r>
    <r>
      <rPr>
        <b val="true"/>
        <sz val="10"/>
        <rFont val="Arial"/>
        <family val="0"/>
        <charset val="1"/>
      </rPr>
      <t xml:space="preserve">URL(</t>
    </r>
    <r>
      <rPr>
        <b val="true"/>
        <sz val="10"/>
        <rFont val="나눔고딕"/>
        <family val="2"/>
      </rPr>
      <t xml:space="preserve">유형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나눔고딕"/>
        <family val="2"/>
      </rPr>
      <t xml:space="preserve">기간</t>
    </r>
    <r>
      <rPr>
        <b val="true"/>
        <sz val="10"/>
        <rFont val="Arial"/>
        <family val="0"/>
        <charset val="1"/>
      </rPr>
      <t xml:space="preserve">)</t>
    </r>
  </si>
  <si>
    <t xml:space="preserve">보조 게시일</t>
  </si>
  <si>
    <t xml:space="preserve">조사일</t>
  </si>
  <si>
    <t xml:space="preserve">비고</t>
  </si>
  <si>
    <t xml:space="preserve">서울</t>
  </si>
  <si>
    <t xml:space="preserve">DDP</t>
  </si>
  <si>
    <t xml:space="preserve">미디어아트</t>
  </si>
  <si>
    <t xml:space="preserve">연중</t>
  </si>
  <si>
    <t xml:space="preserve">수도권</t>
  </si>
  <si>
    <t xml:space="preserve">동대문디자인플라자</t>
  </si>
  <si>
    <t xml:space="preserve">https://korean.visitkorea.or.kr/detail/ms_detail.do?cotid=758fb4e9-533f-4636-8753-73b8d059c54d</t>
  </si>
  <si>
    <t xml:space="preserve">https://korean.visitkorea.or.kr/detail/rem_detail.do?cotid=ec1515b2-8a5c-45c9-99dc-a8c23fea9f9b</t>
  </si>
  <si>
    <r>
      <rPr>
        <sz val="10"/>
        <rFont val="Arial"/>
        <family val="0"/>
        <charset val="1"/>
      </rPr>
      <t xml:space="preserve">2023-10-31 </t>
    </r>
    <r>
      <rPr>
        <sz val="10"/>
        <rFont val="나눔고딕"/>
        <family val="2"/>
      </rPr>
      <t xml:space="preserve">등록 </t>
    </r>
    <r>
      <rPr>
        <sz val="10"/>
        <rFont val="Arial"/>
        <family val="0"/>
        <charset val="1"/>
      </rPr>
      <t xml:space="preserve">· 2024-02-19 </t>
    </r>
    <r>
      <rPr>
        <sz val="10"/>
        <rFont val="나눔고딕"/>
        <family val="2"/>
      </rPr>
      <t xml:space="preserve">수정</t>
    </r>
  </si>
  <si>
    <t xml:space="preserve">https://www.latimes.kr/news/articleView.html?idxno=51248</t>
  </si>
  <si>
    <t xml:space="preserve">2023-11-08</t>
  </si>
  <si>
    <r>
      <rPr>
        <sz val="10"/>
        <rFont val="나눔고딕"/>
        <family val="2"/>
      </rPr>
      <t xml:space="preserve">특별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광역시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원문에 구 표기 없음</t>
    </r>
    <r>
      <rPr>
        <sz val="10"/>
        <rFont val="Arial"/>
        <family val="0"/>
        <charset val="1"/>
      </rPr>
      <t xml:space="preserve">; </t>
    </r>
    <r>
      <rPr>
        <sz val="10"/>
        <rFont val="나눔고딕"/>
        <family val="2"/>
      </rPr>
      <t xml:space="preserve">발표 표기와 다름</t>
    </r>
  </si>
  <si>
    <t xml:space="preserve">남산 서울타워</t>
  </si>
  <si>
    <t xml:space="preserve">야간경관</t>
  </si>
  <si>
    <t xml:space="preserve">https://korean.visitkorea.or.kr/detail/ms_detail.do?cotid=ad931739-fca3-4135-a878-cc7fb82920ba</t>
  </si>
  <si>
    <r>
      <rPr>
        <sz val="10"/>
        <rFont val="나눔고딕"/>
        <family val="2"/>
      </rPr>
      <t xml:space="preserve">특별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광역시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원문에 구 표기 없음</t>
    </r>
  </si>
  <si>
    <t xml:space="preserve">덕수궁</t>
  </si>
  <si>
    <t xml:space="preserve">https://korean.visitkorea.or.kr/detail/ms_detail.do?cotid=e413abf3-f8a7-486d-95fd-4fb12598aefc</t>
  </si>
  <si>
    <t xml:space="preserve">롯데월드타워와 석촌호수</t>
  </si>
  <si>
    <t xml:space="preserve">https://korean.visitkorea.or.kr/detail/ms_detail.do?cotid=7e26f7f5-dde8-4eab-b2e9-42d6d37aded1</t>
  </si>
  <si>
    <t xml:space="preserve">서울빛초롱축제와 광화문 광장마켓</t>
  </si>
  <si>
    <r>
      <rPr>
        <sz val="10"/>
        <rFont val="나눔고딕"/>
        <family val="2"/>
      </rPr>
      <t xml:space="preserve">축제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이벤트</t>
    </r>
  </si>
  <si>
    <r>
      <rPr>
        <sz val="10"/>
        <rFont val="나눔고딕"/>
        <family val="2"/>
      </rPr>
      <t xml:space="preserve">계절형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겨울</t>
    </r>
    <r>
      <rPr>
        <sz val="10"/>
        <rFont val="Arial"/>
        <family val="0"/>
        <charset val="1"/>
      </rPr>
      <t xml:space="preserve">)</t>
    </r>
  </si>
  <si>
    <t xml:space="preserve">https://korean.visitkorea.or.kr/detail/fes_detail.do?cotid=6ea28be2-79ab-4d79-b2a1-2aa9a0f04ae4</t>
  </si>
  <si>
    <t xml:space="preserve">세빛섬과 반포대교 달빛무지개분수</t>
  </si>
  <si>
    <r>
      <rPr>
        <sz val="10"/>
        <rFont val="나눔고딕"/>
        <family val="2"/>
      </rPr>
      <t xml:space="preserve">연중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동절기 제외</t>
    </r>
    <r>
      <rPr>
        <sz val="10"/>
        <rFont val="Arial"/>
        <family val="0"/>
        <charset val="1"/>
      </rPr>
      <t xml:space="preserve">)</t>
    </r>
  </si>
  <si>
    <t xml:space="preserve">https://korean.visitkorea.or.kr/detail/ms_detail.do?cotid=b0e66d42-5c48-46f0-b6d7-1961fa3694d2</t>
  </si>
  <si>
    <t xml:space="preserve">한강불빛공연과 드론라이트쇼</t>
  </si>
  <si>
    <r>
      <rPr>
        <sz val="10"/>
        <rFont val="나눔고딕"/>
        <family val="2"/>
      </rPr>
      <t xml:space="preserve">계절형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가을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</si>
  <si>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한강불빛공연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드론라이트쇼</t>
    </r>
    <r>
      <rPr>
        <sz val="10"/>
        <rFont val="Arial"/>
        <family val="0"/>
        <charset val="1"/>
      </rPr>
      <t xml:space="preserve">)</t>
    </r>
  </si>
  <si>
    <t xml:space="preserve">https://korean.visitkorea.or.kr/detail/fes_detail.do?cotid=6d7bc7b7-aa29-453a-b903-f7e88e361c69</t>
  </si>
  <si>
    <t xml:space="preserve">한양도성 낙산구간</t>
  </si>
  <si>
    <t xml:space="preserve">https://korean.visitkorea.or.kr/detail/ms_detail.do?cotid=3c98e24b-9fb9-4ecf-b8a2-f26a5890748f</t>
  </si>
  <si>
    <t xml:space="preserve">부산</t>
  </si>
  <si>
    <t xml:space="preserve">광복로 빛축제와 용두산공원 부산타워</t>
  </si>
  <si>
    <t xml:space="preserve">경상권</t>
  </si>
  <si>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구석구석 상세 링크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</si>
  <si>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광안리 </t>
    </r>
    <r>
      <rPr>
        <sz val="10"/>
        <rFont val="Arial"/>
        <family val="0"/>
        <charset val="1"/>
      </rPr>
      <t xml:space="preserve">M</t>
    </r>
    <r>
      <rPr>
        <sz val="10"/>
        <rFont val="나눔고딕"/>
        <family val="2"/>
      </rPr>
      <t xml:space="preserve">드론라이트쇼</t>
    </r>
  </si>
  <si>
    <t xml:space="preserve">https://korean.visitkorea.or.kr/detail/fes_detail.do?cotid=0c8f4aa0-b00e-4f6e-8974-b07503c6bf7d</t>
  </si>
  <si>
    <t xml:space="preserve">다대포 낙조분수</t>
  </si>
  <si>
    <t xml:space="preserve">https://korean.visitkorea.or.kr/detail/ms_detail.do?cotid=0c3f5d56-ac09-4b34-915d-620035c29238</t>
  </si>
  <si>
    <t xml:space="preserve">달빛갈맷길걷기</t>
  </si>
  <si>
    <t xml:space="preserve">투어프로그램</t>
  </si>
  <si>
    <r>
      <rPr>
        <sz val="10"/>
        <rFont val="나눔고딕"/>
        <family val="2"/>
      </rPr>
      <t xml:space="preserve">계절형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가을</t>
    </r>
    <r>
      <rPr>
        <sz val="10"/>
        <rFont val="Arial"/>
        <family val="0"/>
        <charset val="1"/>
      </rPr>
      <t xml:space="preserve">)</t>
    </r>
  </si>
  <si>
    <t xml:space="preserve">https://korean.visitkorea.or.kr/detail/ms_detail.do?cotid=2c53ae63-15ab-4f9e-9d66-2cbb008601d7</t>
  </si>
  <si>
    <t xml:space="preserve">미드나잇 디너크루즈</t>
  </si>
  <si>
    <r>
      <rPr>
        <sz val="10"/>
        <rFont val="나눔고딕"/>
        <family val="2"/>
      </rPr>
      <t xml:space="preserve">계절형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여름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가을</t>
    </r>
    <r>
      <rPr>
        <sz val="10"/>
        <rFont val="Arial"/>
        <family val="0"/>
        <charset val="1"/>
      </rPr>
      <t xml:space="preserve">)</t>
    </r>
  </si>
  <si>
    <t xml:space="preserve">https://korean.visitkorea.or.kr/detail/ms_detail.do?cotid=3b7044ac-6578-4dba-b0a4-b54a645c23f0</t>
  </si>
  <si>
    <t xml:space="preserve">부산불꽃축제</t>
  </si>
  <si>
    <t xml:space="preserve">https://korean.visitkorea.or.kr/detail/fes_detail.do?cotid=3f61273a-8ae7-4c8f-b62f-e3fa52489826</t>
  </si>
  <si>
    <t xml:space="preserve">서면빛축제와 전포카페거리투어</t>
  </si>
  <si>
    <t xml:space="preserve">https://korean.visitkorea.or.kr/kfes/detail/fstvlDetail.do?fstvlCntntsId=4cb06aa3-9d38-45b4-90ce-4deb1d77efb4</t>
  </si>
  <si>
    <t xml:space="preserve">해운대빛축제</t>
  </si>
  <si>
    <t xml:space="preserve">https://korean.visitkorea.or.kr/detail/fes_detail.do?cotid=352301c5-9109-457d-bc9a-1078ee234ab6</t>
  </si>
  <si>
    <t xml:space="preserve">대구</t>
  </si>
  <si>
    <t xml:space="preserve">근대골목 밤마실</t>
  </si>
  <si>
    <t xml:space="preserve">https://korean.visitkorea.or.kr/detail/ms_detail.do?cotid=af55f079-93b5-4f2d-bc46-0848e95de04b</t>
  </si>
  <si>
    <t xml:space="preserve">별별상상 칠성야시장</t>
  </si>
  <si>
    <t xml:space="preserve">야시장</t>
  </si>
  <si>
    <t xml:space="preserve">https://korean.visitkorea.or.kr/detail/ms_detail.do?cotid=da15d47f-c0b6-4cb0-9f91-3e9e5c217ce2</t>
  </si>
  <si>
    <t xml:space="preserve">서문야시장</t>
  </si>
  <si>
    <t xml:space="preserve">https://korean.visitkorea.or.kr/detail/ms_detail.do?cotid=214a6b35-763e-4071-bba7-63dbaa3dd72d</t>
  </si>
  <si>
    <t xml:space="preserve">수성빛예술제</t>
  </si>
  <si>
    <t xml:space="preserve">https://korean.visitkorea.or.kr/detail/fes_detail.do?cotid=2b8b5453-9431-4099-9990-389db594f6bd</t>
  </si>
  <si>
    <t xml:space="preserve">이월드</t>
  </si>
  <si>
    <t xml:space="preserve">유원시설</t>
  </si>
  <si>
    <t xml:space="preserve">https://korean.visitkorea.or.kr/detail/ms_detail.do?cotid=c560c170-53fc-425f-aea9-7443e764ea4b</t>
  </si>
  <si>
    <t xml:space="preserve">인천</t>
  </si>
  <si>
    <t xml:space="preserve">개항장과 차이나타운</t>
  </si>
  <si>
    <t xml:space="preserve">https://korean.visitkorea.or.kr/detail/ms_detail.do?cotid=6ce47e47-af78-40da-8e8a-41b4a7039383</t>
  </si>
  <si>
    <t xml:space="preserve">노을야경투어</t>
  </si>
  <si>
    <t xml:space="preserve">센트럴파크와 수상레저</t>
  </si>
  <si>
    <t xml:space="preserve">https://korean.visitkorea.or.kr/detail/ms_detail.do?cotid=87e613c6-f7c3-4d3f-8d60-13c2f8166b95</t>
  </si>
  <si>
    <t xml:space="preserve">월미테마파크</t>
  </si>
  <si>
    <t xml:space="preserve">https://korean.visitkorea.or.kr/detail/ms_detail.do?cotid=3aa48408-dc2f-4094-8e7b-685f2a10b1f8</t>
  </si>
  <si>
    <t xml:space="preserve">트라이보울</t>
  </si>
  <si>
    <t xml:space="preserve">https://korean.visitkorea.or.kr/detail/ms_detail.do?cotid=a0522fb7-8f73-4b87-9ff5-643c387b0dd7</t>
  </si>
  <si>
    <t xml:space="preserve">광주</t>
  </si>
  <si>
    <r>
      <rPr>
        <sz val="10"/>
        <rFont val="나눔고딕"/>
        <family val="2"/>
      </rPr>
      <t xml:space="preserve">사직공원 </t>
    </r>
    <r>
      <rPr>
        <sz val="10"/>
        <rFont val="Arial"/>
        <family val="0"/>
        <charset val="1"/>
      </rPr>
      <t xml:space="preserve">G-</t>
    </r>
    <r>
      <rPr>
        <sz val="10"/>
        <rFont val="나눔고딕"/>
        <family val="2"/>
      </rPr>
      <t xml:space="preserve">타워</t>
    </r>
  </si>
  <si>
    <t xml:space="preserve">전라권</t>
  </si>
  <si>
    <t xml:space="preserve">https://korean.visitkorea.or.kr/detail/ms_detail.do?cotid=ed22ac19-ce77-42ec-8641-e18ebcf15611</t>
  </si>
  <si>
    <t xml:space="preserve">양림동 밤의 미술관과 야간 도슨트 투어</t>
  </si>
  <si>
    <t xml:space="preserve">https://korean.visitkorea.or.kr/detail/ms_detail.do?cotid=e31b433d-10ac-42e3-8605-ffb4c5a04187</t>
  </si>
  <si>
    <t xml:space="preserve">대전</t>
  </si>
  <si>
    <r>
      <rPr>
        <sz val="10"/>
        <rFont val="나눔고딕"/>
        <family val="2"/>
      </rPr>
      <t xml:space="preserve">대전</t>
    </r>
    <r>
      <rPr>
        <sz val="10"/>
        <rFont val="Arial"/>
        <family val="0"/>
        <charset val="1"/>
      </rPr>
      <t xml:space="preserve">0</t>
    </r>
    <r>
      <rPr>
        <sz val="10"/>
        <rFont val="나눔고딕"/>
        <family val="2"/>
      </rPr>
      <t xml:space="preserve">시축제</t>
    </r>
  </si>
  <si>
    <r>
      <rPr>
        <sz val="10"/>
        <rFont val="나눔고딕"/>
        <family val="2"/>
      </rPr>
      <t xml:space="preserve">계절형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여름</t>
    </r>
    <r>
      <rPr>
        <sz val="10"/>
        <rFont val="Arial"/>
        <family val="0"/>
        <charset val="1"/>
      </rPr>
      <t xml:space="preserve">)</t>
    </r>
  </si>
  <si>
    <t xml:space="preserve">충청권</t>
  </si>
  <si>
    <t xml:space="preserve">대전사이언스페스티벌과 사이언스나이트캠프</t>
  </si>
  <si>
    <t xml:space="preserve">https://korean.visitkorea.or.kr/detail/fes_detail.do?cotid=9749190a-18da-479c-819d-a1f8662b3595</t>
  </si>
  <si>
    <t xml:space="preserve">엑스포과학공원과 엑스포다리</t>
  </si>
  <si>
    <t xml:space="preserve">https://korean.visitkorea.or.kr/detail/ms_detail.do?cotid=b2b8cedb-5a9c-494b-9d9e-acbbe731bc04</t>
  </si>
  <si>
    <t xml:space="preserve">울산</t>
  </si>
  <si>
    <t xml:space="preserve">고래문화마을 야간프로그램</t>
  </si>
  <si>
    <t xml:space="preserve">https://korean.visitkorea.or.kr/detail/ms_detail.do?cotid=0460fc0b-711d-491f-92c3-a70481371ae3</t>
  </si>
  <si>
    <t xml:space="preserve">빛의 공원 미디어아트</t>
  </si>
  <si>
    <t xml:space="preserve">울산큰애기 청년야시장</t>
  </si>
  <si>
    <t xml:space="preserve">https://korean.visitkorea.or.kr/detail/ms_detail.do?cotid=7fab7f3f-c38a-4e3c-8590-0afb69127b6f</t>
  </si>
  <si>
    <t xml:space="preserve">워터프론트와 킹웰리 분수대</t>
  </si>
  <si>
    <t xml:space="preserve">세종</t>
  </si>
  <si>
    <t xml:space="preserve">이응다리 금강보행교</t>
  </si>
  <si>
    <t xml:space="preserve">https://korean.visitkorea.or.kr/detail/ms_detail.do?cotid=c95db770-ff20-4a0c-bf2b-c45bc2a6335d</t>
  </si>
  <si>
    <t xml:space="preserve">경기</t>
  </si>
  <si>
    <t xml:space="preserve">가평</t>
  </si>
  <si>
    <t xml:space="preserve">아침고요수목원</t>
  </si>
  <si>
    <t xml:space="preserve">아침고요수목원 오색별빛정원전</t>
  </si>
  <si>
    <t xml:space="preserve">https://korean.visitkorea.or.kr/detail/ms_detail.do?cotid=e8660b54-9a93-4e87-9bb8-6ff0cb934b19</t>
  </si>
  <si>
    <t xml:space="preserve">발표 표기와 다름</t>
  </si>
  <si>
    <t xml:space="preserve">고양</t>
  </si>
  <si>
    <r>
      <rPr>
        <sz val="10"/>
        <rFont val="나눔고딕"/>
        <family val="2"/>
      </rPr>
      <t xml:space="preserve">행주가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街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예술이야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夜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</si>
  <si>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행주가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街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예술이야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夜</t>
    </r>
    <r>
      <rPr>
        <sz val="10"/>
        <rFont val="Arial"/>
        <family val="0"/>
        <charset val="1"/>
      </rPr>
      <t xml:space="preserve">)</t>
    </r>
  </si>
  <si>
    <t xml:space="preserve">https://korean.visitkorea.or.kr/detail/fes_detail.do?cotid=72c61e4f-6a63-48f0-b590-249463c372d3</t>
  </si>
  <si>
    <t xml:space="preserve">남한산성 서문전망대</t>
  </si>
  <si>
    <t xml:space="preserve">https://korean.visitkorea.or.kr/detail/ms_detail.do?cotid=37ce975b-c2bd-4ea1-83aa-cba93120a746</t>
  </si>
  <si>
    <t xml:space="preserve">김포</t>
  </si>
  <si>
    <t xml:space="preserve">라베니체</t>
  </si>
  <si>
    <t xml:space="preserve">https://korean.visitkorea.or.kr/detail/ms_detail.do?cotid=a62d5503-2483-4a7d-95d3-925bc8c067e3</t>
  </si>
  <si>
    <t xml:space="preserve">용인</t>
  </si>
  <si>
    <t xml:space="preserve">에버랜드 리조트</t>
  </si>
  <si>
    <t xml:space="preserve">https://korean.visitkorea.or.kr/detail/ms_detail.do?cotid=7be6babf-e785-44da-9f4c-f7117f83ab23</t>
  </si>
  <si>
    <t xml:space="preserve">화성</t>
  </si>
  <si>
    <t xml:space="preserve">동탄호수공원 루나쇼</t>
  </si>
  <si>
    <r>
      <rPr>
        <sz val="10"/>
        <rFont val="나눔고딕"/>
        <family val="2"/>
      </rPr>
      <t xml:space="preserve">동탄호수공원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루나쇼</t>
    </r>
    <r>
      <rPr>
        <sz val="10"/>
        <rFont val="Arial"/>
        <family val="0"/>
        <charset val="1"/>
      </rPr>
      <t xml:space="preserve">)</t>
    </r>
  </si>
  <si>
    <t xml:space="preserve">https://korean.visitkorea.or.kr/detail/ms_detail.do?cotid=9601cbf8-f259-4ad4-aea1-337c3c634fad</t>
  </si>
  <si>
    <t xml:space="preserve">강원</t>
  </si>
  <si>
    <t xml:space="preserve">고성</t>
  </si>
  <si>
    <t xml:space="preserve">미시령옛길 울산바위은하수</t>
  </si>
  <si>
    <t xml:space="preserve">강원권</t>
  </si>
  <si>
    <t xml:space="preserve">https://korean.visitkorea.or.kr/detail/ms_detail.do?cotid=eee5ecee-a493-4dc0-b82f-fe8f6c08dbd7</t>
  </si>
  <si>
    <t xml:space="preserve">화진포 응봉노을</t>
  </si>
  <si>
    <t xml:space="preserve">https://korean.visitkorea.or.kr/detail/ms_detail.do?cotid=484e2027-1d0c-4a1b-ac33-0f7b61e02cde</t>
  </si>
  <si>
    <t xml:space="preserve">동해</t>
  </si>
  <si>
    <t xml:space="preserve">추암해변</t>
  </si>
  <si>
    <t xml:space="preserve">https://korean.visitkorea.or.kr/detail/ms_detail.do?cotid=1545e671-68f3-4680-b8c1-8bfac00191eb</t>
  </si>
  <si>
    <t xml:space="preserve">영월</t>
  </si>
  <si>
    <t xml:space="preserve">별마로 천문대</t>
  </si>
  <si>
    <t xml:space="preserve">https://korean.visitkorea.or.kr/detail/ms_detail.do?cotid=0c661c4e-6d1f-4dd2-8264-3ffb88a6bbc2</t>
  </si>
  <si>
    <t xml:space="preserve">원주</t>
  </si>
  <si>
    <r>
      <rPr>
        <sz val="10"/>
        <rFont val="나눔고딕"/>
        <family val="2"/>
      </rPr>
      <t xml:space="preserve">나오라쇼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나이트 오브 라이트</t>
    </r>
    <r>
      <rPr>
        <sz val="10"/>
        <rFont val="Arial"/>
        <family val="0"/>
        <charset val="1"/>
      </rPr>
      <t xml:space="preserve">'</t>
    </r>
  </si>
  <si>
    <r>
      <rPr>
        <sz val="10"/>
        <rFont val="나눔고딕"/>
        <family val="2"/>
      </rPr>
      <t xml:space="preserve">나오라쇼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나이트 오브 라이트</t>
    </r>
  </si>
  <si>
    <t xml:space="preserve">https://korean.visitkorea.or.kr/detail/fes_detail.do?cotid=5b14ce01-d312-46ed-8474-e041898e8b83</t>
  </si>
  <si>
    <t xml:space="preserve">춘천</t>
  </si>
  <si>
    <t xml:space="preserve">삼악산 호수케이블카</t>
  </si>
  <si>
    <t xml:space="preserve">https://korean.visitkorea.or.kr/detail/ms_detail.do?cotid=8abcb54d-20cc-4712-99c0-2ccbc5370c51</t>
  </si>
  <si>
    <t xml:space="preserve">춘천대교분수</t>
  </si>
  <si>
    <t xml:space="preserve">https://korean.visitkorea.or.kr/detail/ms_detail.do?cotid=1ee41394-2efa-4ae3-9ffb-e8b29c94201b</t>
  </si>
  <si>
    <t xml:space="preserve">충북</t>
  </si>
  <si>
    <t xml:space="preserve">단양</t>
  </si>
  <si>
    <t xml:space="preserve">단양 야간미션투어</t>
  </si>
  <si>
    <t xml:space="preserve">단양강 잔도</t>
  </si>
  <si>
    <t xml:space="preserve">https://korean.visitkorea.or.kr/detail/ms_detail.do?cotid=78d14f23-dca9-43c3-82d9-cc715c1d8dd8</t>
  </si>
  <si>
    <t xml:space="preserve">수양개빛터널</t>
  </si>
  <si>
    <t xml:space="preserve">https://korean.visitkorea.or.kr/detail/ms_detail.do?cotid=1fb3cc64-aabd-495f-ae45-52b76c162a9f</t>
  </si>
  <si>
    <t xml:space="preserve">충남</t>
  </si>
  <si>
    <t xml:space="preserve">당진</t>
  </si>
  <si>
    <t xml:space="preserve">삽교호관광지 대관람차</t>
  </si>
  <si>
    <t xml:space="preserve">https://korean.visitkorea.or.kr/detail/ms_detail.do?cotid=c58680b5-e48b-4e92-9255-43794b7aa93e</t>
  </si>
  <si>
    <t xml:space="preserve">합덕제</t>
  </si>
  <si>
    <t xml:space="preserve">https://korean.visitkorea.or.kr/detail/ms_detail.do?cotid=d6a0777a-3350-4743-87a9-f4d304ac0c8e</t>
  </si>
  <si>
    <t xml:space="preserve">부여</t>
  </si>
  <si>
    <t xml:space="preserve">궁남지</t>
  </si>
  <si>
    <t xml:space="preserve">https://korean.visitkorea.or.kr/detail/ms_detail.do?cotid=87a8fbad-70cb-4ce2-9a7c-a37578204fd3</t>
  </si>
  <si>
    <t xml:space="preserve">부여문화유산 미디어아트</t>
  </si>
  <si>
    <t xml:space="preserve">https://korean.visitkorea.or.kr/detail/fes_detail.do?cotid=a7442b26-fce5-42cd-a6eb-4575e7a347b7</t>
  </si>
  <si>
    <t xml:space="preserve">서산</t>
  </si>
  <si>
    <t xml:space="preserve">간월도 해양경관 탐방로</t>
  </si>
  <si>
    <t xml:space="preserve">https://korean.visitkorea.or.kr/detail/ms_detail.do?cotid=8275d64e-1fc0-4511-984e-2de88cb5e593</t>
  </si>
  <si>
    <t xml:space="preserve">서산해미읍성</t>
  </si>
  <si>
    <t xml:space="preserve">https://korean.visitkorea.or.kr/detail/ms_detail.do?cotid=ef24ef32-cdd3-42a8-8fcb-bee4afa4c458</t>
  </si>
  <si>
    <t xml:space="preserve">예산</t>
  </si>
  <si>
    <t xml:space="preserve">예당호 출렁다리와 음악분수</t>
  </si>
  <si>
    <t xml:space="preserve">https://korean.visitkorea.or.kr/detail/ms_detail.do?cotid=ae0ab957-abb8-4ea6-a777-ec2d9e782d2e</t>
  </si>
  <si>
    <t xml:space="preserve">홍성</t>
  </si>
  <si>
    <t xml:space="preserve">남당항 해양공원음악분수</t>
  </si>
  <si>
    <t xml:space="preserve">전북</t>
  </si>
  <si>
    <t xml:space="preserve">남원</t>
  </si>
  <si>
    <t xml:space="preserve">광한루원</t>
  </si>
  <si>
    <t xml:space="preserve">https://korean.visitkorea.or.kr/detail/ms_detail.do?cotid=27ed68b5-c921-40d0-a8de-960d9a6b8939</t>
  </si>
  <si>
    <t xml:space="preserve">무주</t>
  </si>
  <si>
    <t xml:space="preserve">무주 산골영화제</t>
  </si>
  <si>
    <t xml:space="preserve">https://korean.visitkorea.or.kr/detail/fes_detail.do?cotid=bcc4ea14-1068-4c2f-be53-b03b48abd94d</t>
  </si>
  <si>
    <t xml:space="preserve">무주반딧불축제와 반딧불투어</t>
  </si>
  <si>
    <t xml:space="preserve">https://korean.visitkorea.or.kr/detail/fes_detail.do?cotid=da2c0d94-e3e2-433a-8d2c-94932aee8776</t>
  </si>
  <si>
    <t xml:space="preserve">부안</t>
  </si>
  <si>
    <t xml:space="preserve">변산해수욕장과 변산 비치파티</t>
  </si>
  <si>
    <t xml:space="preserve">https://korean.visitkorea.or.kr/detail/ms_detail.do?cotid=95fc3873-a4b8-4a78-a72f-ed566acb9d86</t>
  </si>
  <si>
    <t xml:space="preserve">부안 붉은노을축제</t>
  </si>
  <si>
    <t xml:space="preserve">https://korean.visitkorea.or.kr/detail/fes_detail.do?cotid=8489d4ff-8cf1-4bf6-86bd-bc196affc988</t>
  </si>
  <si>
    <t xml:space="preserve">익산</t>
  </si>
  <si>
    <t xml:space="preserve">미륵사지 미디어아트 페스타</t>
  </si>
  <si>
    <t xml:space="preserve">https://korean.visitkorea.or.kr/detail/fes_detail.do?cotid=a012ffd2-ecdc-4479-a4a9-4b1f157b6f77</t>
  </si>
  <si>
    <t xml:space="preserve">익산 서동축제</t>
  </si>
  <si>
    <t xml:space="preserve">https://korean.visitkorea.or.kr/kfes/detail/fstvlDetail.do?cmsCntntsId=637546</t>
  </si>
  <si>
    <r>
      <rPr>
        <sz val="10"/>
        <rFont val="나눔고딕"/>
        <family val="2"/>
      </rPr>
      <t xml:space="preserve">익산문화재야행 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</rPr>
      <t xml:space="preserve">왕궁리유적</t>
    </r>
  </si>
  <si>
    <r>
      <rPr>
        <sz val="10"/>
        <rFont val="나눔고딕"/>
        <family val="2"/>
      </rPr>
      <t xml:space="preserve">계절형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봄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</si>
  <si>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익산문화재야행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</rPr>
      <t xml:space="preserve">왕궁리유적</t>
    </r>
  </si>
  <si>
    <t xml:space="preserve">https://korean.visitkorea.or.kr/detail/fes_detail.do?cotid=c3ae5756-a5a1-4258-98d7-ea8a49c6f99e</t>
  </si>
  <si>
    <t xml:space="preserve">전남</t>
  </si>
  <si>
    <t xml:space="preserve">광양</t>
  </si>
  <si>
    <t xml:space="preserve">구봉산 전망대와 광양만 야경</t>
  </si>
  <si>
    <t xml:space="preserve">https://korean.visitkorea.or.kr/detail/ms_detail.do?cotid=3f5ee0d8-eae1-4506-bce0-b8e10436723b</t>
  </si>
  <si>
    <t xml:space="preserve">여수</t>
  </si>
  <si>
    <t xml:space="preserve">낭만포차거리</t>
  </si>
  <si>
    <t xml:space="preserve">종포해양공원 낭만포차거리</t>
  </si>
  <si>
    <t xml:space="preserve">https://korean.visitkorea.or.kr/detail/ms_detail.do?cotid=f3435a31-7d31-4808-adad-0696272126ab</t>
  </si>
  <si>
    <r>
      <rPr>
        <sz val="10"/>
        <rFont val="나눔고딕"/>
        <family val="2"/>
      </rPr>
      <t xml:space="preserve">빅오쇼 </t>
    </r>
    <r>
      <rPr>
        <sz val="10"/>
        <rFont val="Arial"/>
        <family val="0"/>
        <charset val="1"/>
      </rPr>
      <t xml:space="preserve">(Big-O Show)</t>
    </r>
  </si>
  <si>
    <r>
      <rPr>
        <sz val="10"/>
        <rFont val="나눔고딕"/>
        <family val="2"/>
      </rPr>
      <t xml:space="preserve">빅오쇼</t>
    </r>
    <r>
      <rPr>
        <sz val="10"/>
        <rFont val="Arial"/>
        <family val="0"/>
        <charset val="1"/>
      </rPr>
      <t xml:space="preserve">(Big-O Show)</t>
    </r>
  </si>
  <si>
    <t xml:space="preserve">https://korean.visitkorea.or.kr/detail/fes_detail.do?cotid=1201bb55-0ca1-47b2-bfc4-3c88f165613b</t>
  </si>
  <si>
    <r>
      <rPr>
        <sz val="10"/>
        <rFont val="나눔고딕"/>
        <family val="2"/>
      </rPr>
      <t xml:space="preserve">여수 야간시티투어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시간을 달리는 버스커</t>
    </r>
    <r>
      <rPr>
        <sz val="10"/>
        <rFont val="Arial"/>
        <family val="0"/>
        <charset val="1"/>
      </rPr>
      <t xml:space="preserve">'</t>
    </r>
  </si>
  <si>
    <r>
      <rPr>
        <sz val="10"/>
        <rFont val="나눔고딕"/>
        <family val="2"/>
      </rPr>
      <t xml:space="preserve">여수야간시티투어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시간을 달리는버스커</t>
    </r>
    <r>
      <rPr>
        <sz val="10"/>
        <rFont val="Arial"/>
        <family val="0"/>
        <charset val="1"/>
      </rPr>
      <t xml:space="preserve">'</t>
    </r>
  </si>
  <si>
    <t xml:space="preserve">여수밤바다 낭만버스킹</t>
  </si>
  <si>
    <t xml:space="preserve">영암</t>
  </si>
  <si>
    <t xml:space="preserve">영암달빛축제</t>
  </si>
  <si>
    <t xml:space="preserve">함평</t>
  </si>
  <si>
    <t xml:space="preserve">함평엑스포공원</t>
  </si>
  <si>
    <t xml:space="preserve">https://korean.visitkorea.or.kr/detail/ms_detail.do?cotid=b9a1511c-98d9-4197-88dc-1a73aa3be740</t>
  </si>
  <si>
    <t xml:space="preserve">해남</t>
  </si>
  <si>
    <t xml:space="preserve">우수영관광지</t>
  </si>
  <si>
    <t xml:space="preserve">https://korean.visitkorea.or.kr/detail/ms_detail.do?cotid=7770a339-d073-4b39-ad71-b08eb7e5d308</t>
  </si>
  <si>
    <t xml:space="preserve">경북</t>
  </si>
  <si>
    <t xml:space="preserve">경주</t>
  </si>
  <si>
    <t xml:space="preserve">대릉원</t>
  </si>
  <si>
    <t xml:space="preserve">https://korean.visitkorea.or.kr/detail/ms_detail.do?cotid=6da54421-9ab9-4853-80d6-1eadbf0ad73b</t>
  </si>
  <si>
    <t xml:space="preserve">동궁과 월지</t>
  </si>
  <si>
    <t xml:space="preserve">https://korean.visitkorea.or.kr/detail/ms_detail.do?cotid=b046dbdc-67db-49f0-acca-fffa75befdf9</t>
  </si>
  <si>
    <t xml:space="preserve">월정교</t>
  </si>
  <si>
    <t xml:space="preserve">https://korean.visitkorea.or.kr/detail/ms_detail.do?cotid=ec28bc85-95ba-4b58-a36d-3f02988eeae1</t>
  </si>
  <si>
    <t xml:space="preserve">김천</t>
  </si>
  <si>
    <t xml:space="preserve">사명대사공원</t>
  </si>
  <si>
    <t xml:space="preserve">https://korean.visitkorea.or.kr/detail/ms_detail.do?cotid=f2ddf685-03cd-4936-b819-71102e909961</t>
  </si>
  <si>
    <t xml:space="preserve">연화지와 황산폭포</t>
  </si>
  <si>
    <t xml:space="preserve">https://korean.visitkorea.or.kr/detail/ms_detail.do?cotid=bab0ebe9-31cc-4305-82a2-904542009326</t>
  </si>
  <si>
    <t xml:space="preserve">문경</t>
  </si>
  <si>
    <t xml:space="preserve">문경새재 달빛사랑여행</t>
  </si>
  <si>
    <t xml:space="preserve">은성탄광 달빛여행</t>
  </si>
  <si>
    <r>
      <rPr>
        <sz val="10"/>
        <rFont val="나눔고딕"/>
        <family val="2"/>
      </rPr>
      <t xml:space="preserve">전설의 귀신 </t>
    </r>
    <r>
      <rPr>
        <sz val="10"/>
        <rFont val="Arial"/>
        <family val="0"/>
        <charset val="1"/>
      </rPr>
      <t xml:space="preserve">in </t>
    </r>
    <r>
      <rPr>
        <sz val="10"/>
        <rFont val="나눔고딕"/>
        <family val="2"/>
      </rPr>
      <t xml:space="preserve">문경</t>
    </r>
  </si>
  <si>
    <t xml:space="preserve">성주</t>
  </si>
  <si>
    <t xml:space="preserve">성밖숲</t>
  </si>
  <si>
    <t xml:space="preserve">https://korean.visitkorea.or.kr/detail/ms_detail.do?cotid=a2c8627c-a567-4779-be8d-d5b76e893e46</t>
  </si>
  <si>
    <t xml:space="preserve">안동</t>
  </si>
  <si>
    <t xml:space="preserve">선유줄불놀이</t>
  </si>
  <si>
    <t xml:space="preserve">월영교와 문보트</t>
  </si>
  <si>
    <t xml:space="preserve">https://korean.visitkorea.or.kr/detail/ms_detail.do?cotid=c5ea6ff8-ebfc-4bda-af4a-ffbf48cbe21a</t>
  </si>
  <si>
    <t xml:space="preserve">칠곡</t>
  </si>
  <si>
    <t xml:space="preserve">가산산성야행</t>
  </si>
  <si>
    <t xml:space="preserve">포항</t>
  </si>
  <si>
    <t xml:space="preserve">구룡포 피어라계단 미디어아트</t>
  </si>
  <si>
    <t xml:space="preserve">구룡포 피어라계단미디어아트</t>
  </si>
  <si>
    <t xml:space="preserve">https://korean.visitkorea.or.kr/detail/detail_view.do?cotid=d0ef562d-cf39-423c-94df-240aa1ea0d06</t>
  </si>
  <si>
    <t xml:space="preserve">스페이스워크</t>
  </si>
  <si>
    <t xml:space="preserve">https://korean.visitkorea.or.kr/detail/ms_detail.do?cotid=2a08732b-eba3-45e7-8b72-384abd02c9be</t>
  </si>
  <si>
    <t xml:space="preserve">포항 국제불빛축제</t>
  </si>
  <si>
    <t xml:space="preserve">https://korean.visitkorea.or.kr/detail/fes_detail.do?cotid=58de2a24-22b4-4a8a-a652-104b1a6fc5a5</t>
  </si>
  <si>
    <t xml:space="preserve">경남</t>
  </si>
  <si>
    <t xml:space="preserve">사천</t>
  </si>
  <si>
    <t xml:space="preserve">사천바다케이블카</t>
  </si>
  <si>
    <t xml:space="preserve">https://korean.visitkorea.or.kr/detail/ms_detail.do?cotid=c8664819-5f7d-429f-a390-124c1d5cc390</t>
  </si>
  <si>
    <t xml:space="preserve">진주</t>
  </si>
  <si>
    <t xml:space="preserve">올빰야시장</t>
  </si>
  <si>
    <t xml:space="preserve">진주남강유등축제</t>
  </si>
  <si>
    <t xml:space="preserve">https://korean.visitkorea.or.kr/detail/fes_detail.do?cotid=1e38f854-c8c5-49fa-af19-2f055be3d200</t>
  </si>
  <si>
    <t xml:space="preserve">진주문화재 야행</t>
  </si>
  <si>
    <t xml:space="preserve">https://korean.visitkorea.or.kr/detail/fes_detail.do?cotid=99049320-b002-45f8-81c9-4b5febd7dcfa</t>
  </si>
  <si>
    <t xml:space="preserve">창원</t>
  </si>
  <si>
    <t xml:space="preserve">귀산개구리섬 프로젝션맵핑</t>
  </si>
  <si>
    <t xml:space="preserve">통영</t>
  </si>
  <si>
    <t xml:space="preserve">강구안문화광장</t>
  </si>
  <si>
    <t xml:space="preserve">https://korean.visitkorea.or.kr/detail/ms_detail.do?cotid=9ab6d6ed-abd9-456a-9623-0d2132e9686f</t>
  </si>
  <si>
    <t xml:space="preserve">디피랑</t>
  </si>
  <si>
    <t xml:space="preserve">https://korean.visitkorea.or.kr/detail/ms_detail.do?cotid=173e124a-46ee-4d07-affd-0a77894e2ea9</t>
  </si>
  <si>
    <t xml:space="preserve">함안</t>
  </si>
  <si>
    <t xml:space="preserve">함안낙화놀이</t>
  </si>
  <si>
    <t xml:space="preserve">제주</t>
  </si>
  <si>
    <t xml:space="preserve">제주별빛누리공원</t>
  </si>
  <si>
    <t xml:space="preserve">제주권</t>
  </si>
  <si>
    <t xml:space="preserve">https://korean.visitkorea.or.kr/detail/ms_detail.do?cotid=6be6dfa5-fab3-4153-a63f-9461faecd8a1</t>
  </si>
  <si>
    <r>
      <rPr>
        <b val="true"/>
        <sz val="10"/>
        <rFont val="나눔고딕"/>
        <family val="2"/>
      </rPr>
      <t xml:space="preserve">시도 </t>
    </r>
    <r>
      <rPr>
        <b val="true"/>
        <sz val="10"/>
        <rFont val="Arial"/>
        <family val="0"/>
        <charset val="1"/>
      </rPr>
      <t xml:space="preserve">\ </t>
    </r>
    <r>
      <rPr>
        <b val="true"/>
        <sz val="10"/>
        <rFont val="나눔고딕"/>
        <family val="2"/>
      </rPr>
      <t xml:space="preserve">유형</t>
    </r>
  </si>
  <si>
    <r>
      <rPr>
        <b val="true"/>
        <sz val="10"/>
        <rFont val="나눔고딕"/>
        <family val="2"/>
      </rPr>
      <t xml:space="preserve">축제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나눔고딕"/>
        <family val="2"/>
      </rPr>
      <t xml:space="preserve">이벤트</t>
    </r>
  </si>
  <si>
    <t xml:space="preserve">합계</t>
  </si>
  <si>
    <r>
      <rPr>
        <sz val="10"/>
        <rFont val="나눔고딕"/>
        <family val="2"/>
      </rPr>
      <t xml:space="preserve">검증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전체 행 수</t>
    </r>
  </si>
  <si>
    <r>
      <rPr>
        <sz val="10"/>
        <rFont val="Arial"/>
        <family val="0"/>
        <charset val="1"/>
      </rPr>
      <t xml:space="preserve">← 100</t>
    </r>
    <r>
      <rPr>
        <sz val="10"/>
        <rFont val="나눔고딕"/>
        <family val="2"/>
      </rPr>
      <t xml:space="preserve">이어야 함</t>
    </r>
  </si>
  <si>
    <t xml:space="preserve">경북 시군</t>
  </si>
  <si>
    <t xml:space="preserve">명소 수</t>
  </si>
  <si>
    <r>
      <rPr>
        <sz val="10"/>
        <rFont val="나눔고딕"/>
        <family val="2"/>
      </rPr>
      <t xml:space="preserve">명소명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참고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</si>
  <si>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대릉원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동궁과 월지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월정교</t>
    </r>
  </si>
  <si>
    <r>
      <rPr>
        <sz val="10"/>
        <rFont val="나눔고딕"/>
        <family val="2"/>
      </rPr>
      <t xml:space="preserve">문경새재 달빛사랑여행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은성탄광 달빛여행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전설의 귀신 </t>
    </r>
    <r>
      <rPr>
        <sz val="10"/>
        <rFont val="Arial"/>
        <family val="0"/>
        <charset val="1"/>
      </rPr>
      <t xml:space="preserve">in </t>
    </r>
    <r>
      <rPr>
        <sz val="10"/>
        <rFont val="나눔고딕"/>
        <family val="2"/>
      </rPr>
      <t xml:space="preserve">문경</t>
    </r>
  </si>
  <si>
    <r>
      <rPr>
        <sz val="10"/>
        <rFont val="나눔고딕"/>
        <family val="2"/>
      </rPr>
      <t xml:space="preserve">구룡포 피어라계단 미디어아트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스페이스워크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포항 국제불빛축제</t>
    </r>
  </si>
  <si>
    <r>
      <rPr>
        <sz val="10"/>
        <rFont val="나눔고딕"/>
        <family val="2"/>
      </rPr>
      <t xml:space="preserve">사명대사공원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연화지와 황산폭포</t>
    </r>
  </si>
  <si>
    <r>
      <rPr>
        <sz val="10"/>
        <rFont val="나눔고딕"/>
        <family val="2"/>
      </rPr>
      <t xml:space="preserve">선유줄불놀이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월영교와 문보트</t>
    </r>
  </si>
  <si>
    <t xml:space="preserve">구분</t>
  </si>
  <si>
    <t xml:space="preserve">내용</t>
  </si>
  <si>
    <t xml:space="preserve">정식 명칭</t>
  </si>
  <si>
    <r>
      <rPr>
        <sz val="10"/>
        <rFont val="나눔고딕"/>
        <family val="2"/>
      </rPr>
      <t xml:space="preserve">「대한민국 밤밤곡곡 </t>
    </r>
    <r>
      <rPr>
        <sz val="10"/>
        <rFont val="Arial"/>
        <family val="0"/>
        <charset val="1"/>
      </rPr>
      <t xml:space="preserve">100</t>
    </r>
    <r>
      <rPr>
        <sz val="10"/>
        <rFont val="나눔고딕"/>
        <family val="2"/>
      </rPr>
      <t xml:space="preserve">」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문화체육관광부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한국관광공사</t>
    </r>
    <r>
      <rPr>
        <sz val="10"/>
        <rFont val="Arial"/>
        <family val="0"/>
        <charset val="1"/>
      </rPr>
      <t xml:space="preserve">, 2023-11-08 </t>
    </r>
    <r>
      <rPr>
        <sz val="10"/>
        <rFont val="나눔고딕"/>
        <family val="2"/>
      </rPr>
      <t xml:space="preserve">발표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작업 목록의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야간관광 명소 </t>
    </r>
    <r>
      <rPr>
        <sz val="10"/>
        <rFont val="Arial"/>
        <family val="0"/>
        <charset val="1"/>
      </rPr>
      <t xml:space="preserve">100</t>
    </r>
    <r>
      <rPr>
        <sz val="10"/>
        <rFont val="나눔고딕"/>
        <family val="2"/>
      </rPr>
      <t xml:space="preserve">선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과 같은 것</t>
    </r>
    <r>
      <rPr>
        <sz val="10"/>
        <rFont val="Arial"/>
        <family val="0"/>
        <charset val="1"/>
      </rPr>
      <t xml:space="preserve">.</t>
    </r>
  </si>
  <si>
    <r>
      <rPr>
        <sz val="10"/>
        <rFont val="나눔고딕"/>
        <family val="2"/>
      </rPr>
      <t xml:space="preserve">출처 </t>
    </r>
    <r>
      <rPr>
        <sz val="10"/>
        <rFont val="Arial"/>
        <family val="0"/>
        <charset val="1"/>
      </rPr>
      <t xml:space="preserve">1 (</t>
    </r>
    <r>
      <rPr>
        <sz val="10"/>
        <rFont val="나눔고딕"/>
        <family val="2"/>
      </rPr>
      <t xml:space="preserve">시도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시군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명소명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</si>
  <si>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대한민국 구석구석 </t>
    </r>
    <r>
      <rPr>
        <sz val="10"/>
        <rFont val="Arial"/>
        <family val="0"/>
        <charset val="1"/>
      </rPr>
      <t xml:space="preserve">'[</t>
    </r>
    <r>
      <rPr>
        <sz val="10"/>
        <rFont val="나눔고딕"/>
        <family val="2"/>
      </rPr>
      <t xml:space="preserve">야간관광지</t>
    </r>
    <r>
      <rPr>
        <sz val="10"/>
        <rFont val="Arial"/>
        <family val="0"/>
        <charset val="1"/>
      </rPr>
      <t xml:space="preserve">] </t>
    </r>
    <r>
      <rPr>
        <sz val="10"/>
        <rFont val="나눔고딕"/>
        <family val="2"/>
      </rPr>
      <t xml:space="preserve">밤이 더 아름다운 대한민국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대한민국 밤밤곡곡 </t>
    </r>
    <r>
      <rPr>
        <sz val="10"/>
        <rFont val="Arial"/>
        <family val="0"/>
        <charset val="1"/>
      </rPr>
      <t xml:space="preserve">100' https://korean.visitkorea.or.kr/detail/rem_detail.do?cotid=ec1515b2-8a5c-45c9-99dc-a8c23fea9f9b (</t>
    </r>
    <r>
      <rPr>
        <sz val="10"/>
        <rFont val="나눔고딕"/>
        <family val="2"/>
      </rPr>
      <t xml:space="preserve">등록 </t>
    </r>
    <r>
      <rPr>
        <sz val="10"/>
        <rFont val="Arial"/>
        <family val="0"/>
        <charset val="1"/>
      </rPr>
      <t xml:space="preserve">2023-10-31, </t>
    </r>
    <r>
      <rPr>
        <sz val="10"/>
        <rFont val="나눔고딕"/>
        <family val="2"/>
      </rPr>
      <t xml:space="preserve">수정 </t>
    </r>
    <r>
      <rPr>
        <sz val="10"/>
        <rFont val="Arial"/>
        <family val="0"/>
        <charset val="1"/>
      </rPr>
      <t xml:space="preserve">2024-02-19). </t>
    </r>
    <r>
      <rPr>
        <sz val="10"/>
        <rFont val="나눔고딕"/>
        <family val="2"/>
      </rPr>
      <t xml:space="preserve">페이지의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전체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탭 </t>
    </r>
    <r>
      <rPr>
        <sz val="10"/>
        <rFont val="Arial"/>
        <family val="0"/>
        <charset val="1"/>
      </rPr>
      <t xml:space="preserve">100</t>
    </r>
    <r>
      <rPr>
        <sz val="10"/>
        <rFont val="나눔고딕"/>
        <family val="2"/>
      </rPr>
      <t xml:space="preserve">곳을 그대로 옮김</t>
    </r>
    <r>
      <rPr>
        <sz val="10"/>
        <rFont val="Arial"/>
        <family val="0"/>
        <charset val="1"/>
      </rPr>
      <t xml:space="preserve">.</t>
    </r>
  </si>
  <si>
    <r>
      <rPr>
        <sz val="10"/>
        <rFont val="나눔고딕"/>
        <family val="2"/>
      </rPr>
      <t xml:space="preserve">출처 </t>
    </r>
    <r>
      <rPr>
        <sz val="10"/>
        <rFont val="Arial"/>
        <family val="0"/>
        <charset val="1"/>
      </rPr>
      <t xml:space="preserve">2 (</t>
    </r>
    <r>
      <rPr>
        <sz val="10"/>
        <rFont val="나눔고딕"/>
        <family val="2"/>
      </rPr>
      <t xml:space="preserve">유형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운영기간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권역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</si>
  <si>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Landscape Times 2023-11-08 </t>
    </r>
    <r>
      <rPr>
        <sz val="10"/>
        <rFont val="나눔고딕"/>
        <family val="2"/>
      </rPr>
      <t xml:space="preserve">김지운 기자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문체부 발표 표 전재 </t>
    </r>
    <r>
      <rPr>
        <sz val="10"/>
        <rFont val="Arial"/>
        <family val="0"/>
        <charset val="1"/>
      </rPr>
      <t xml:space="preserve">https://www.latimes.kr/news/articleView.html?idxno=51248. </t>
    </r>
    <r>
      <rPr>
        <sz val="10"/>
        <rFont val="나눔고딕"/>
        <family val="2"/>
      </rPr>
      <t xml:space="preserve">공식 페이지에는 유형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기간 열이 없어 이 표로 보완</t>
    </r>
    <r>
      <rPr>
        <sz val="10"/>
        <rFont val="Arial"/>
        <family val="0"/>
        <charset val="1"/>
      </rPr>
      <t xml:space="preserve">.</t>
    </r>
  </si>
  <si>
    <t xml:space="preserve">결합 방법</t>
  </si>
  <si>
    <r>
      <rPr>
        <sz val="10"/>
        <rFont val="나눔고딕"/>
        <family val="2"/>
      </rPr>
      <t xml:space="preserve">같은 시도 안에서 명소명을 공백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기호 제거 후 일치 → 포함관계로 </t>
    </r>
    <r>
      <rPr>
        <sz val="10"/>
        <rFont val="Arial"/>
        <family val="0"/>
        <charset val="1"/>
      </rPr>
      <t xml:space="preserve">1:1 </t>
    </r>
    <r>
      <rPr>
        <sz val="10"/>
        <rFont val="나눔고딕"/>
        <family val="2"/>
      </rPr>
      <t xml:space="preserve">매칭</t>
    </r>
    <r>
      <rPr>
        <sz val="10"/>
        <rFont val="Arial"/>
        <family val="0"/>
        <charset val="1"/>
      </rPr>
      <t xml:space="preserve">(100</t>
    </r>
    <r>
      <rPr>
        <sz val="10"/>
        <rFont val="나눔고딕"/>
        <family val="2"/>
      </rPr>
      <t xml:space="preserve">건 전부 매칭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수동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건</t>
    </r>
    <r>
      <rPr>
        <sz val="10"/>
        <rFont val="Arial"/>
        <family val="0"/>
        <charset val="1"/>
      </rPr>
      <t xml:space="preserve">: DDP=</t>
    </r>
    <r>
      <rPr>
        <sz val="10"/>
        <rFont val="나눔고딕"/>
        <family val="2"/>
      </rPr>
      <t xml:space="preserve">동대문디자인플라자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한강불빛공연과 드론라이트쇼</t>
    </r>
    <r>
      <rPr>
        <sz val="10"/>
        <rFont val="Arial"/>
        <family val="0"/>
        <charset val="1"/>
      </rPr>
      <t xml:space="preserve">=</t>
    </r>
    <r>
      <rPr>
        <sz val="10"/>
        <rFont val="나눔고딕"/>
        <family val="2"/>
      </rPr>
      <t xml:space="preserve">한강불빛공연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드론라이트쇼</t>
    </r>
    <r>
      <rPr>
        <sz val="10"/>
        <rFont val="Arial"/>
        <family val="0"/>
        <charset val="1"/>
      </rPr>
      <t xml:space="preserve">)). </t>
    </r>
    <r>
      <rPr>
        <sz val="10"/>
        <rFont val="나눔고딕"/>
        <family val="2"/>
      </rPr>
      <t xml:space="preserve">발표 표기와 이름이 다른 곳은 비고에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발표 표기와 다름</t>
    </r>
    <r>
      <rPr>
        <sz val="10"/>
        <rFont val="Arial"/>
        <family val="0"/>
        <charset val="1"/>
      </rPr>
      <t xml:space="preserve">'.</t>
    </r>
  </si>
  <si>
    <t xml:space="preserve">시군 빈칸</t>
  </si>
  <si>
    <r>
      <rPr>
        <sz val="10"/>
        <rFont val="나눔고딕"/>
        <family val="2"/>
      </rPr>
      <t xml:space="preserve">서울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부산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대구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인천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광주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대전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울산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세종은 공식 목록에 구가 없어 비워 둠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추정하지 않음</t>
    </r>
    <r>
      <rPr>
        <sz val="10"/>
        <rFont val="Arial"/>
        <family val="0"/>
        <charset val="1"/>
      </rPr>
      <t xml:space="preserve">).</t>
    </r>
  </si>
  <si>
    <t xml:space="preserve">주의</t>
  </si>
  <si>
    <r>
      <rPr>
        <sz val="10"/>
        <rFont val="Arial"/>
        <family val="0"/>
        <charset val="1"/>
      </rPr>
      <t xml:space="preserve">Landscape Times </t>
    </r>
    <r>
      <rPr>
        <sz val="10"/>
        <rFont val="나눔고딕"/>
        <family val="2"/>
      </rPr>
      <t xml:space="preserve">표만 보고 시군을 짐작하면 틀린다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예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나오라쇼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나이트 오브 라이트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는 공식 목록상 강원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원주</t>
    </r>
    <r>
      <rPr>
        <sz val="10"/>
        <rFont val="Arial"/>
        <family val="0"/>
        <charset val="1"/>
      </rPr>
      <t xml:space="preserve">'.</t>
    </r>
  </si>
  <si>
    <t xml:space="preserve">기존 파일</t>
  </si>
  <si>
    <r>
      <rPr>
        <sz val="10"/>
        <rFont val="나눔고딕"/>
        <family val="2"/>
      </rPr>
      <t xml:space="preserve">조사</t>
    </r>
    <r>
      <rPr>
        <sz val="10"/>
        <rFont val="Arial"/>
        <family val="0"/>
        <charset val="1"/>
      </rPr>
      <t xml:space="preserve">/12_</t>
    </r>
    <r>
      <rPr>
        <sz val="10"/>
        <rFont val="나눔고딕"/>
        <family val="2"/>
      </rPr>
      <t xml:space="preserve">야간관광명소</t>
    </r>
    <r>
      <rPr>
        <sz val="10"/>
        <rFont val="Arial"/>
        <family val="0"/>
        <charset val="1"/>
      </rPr>
      <t xml:space="preserve">100</t>
    </r>
    <r>
      <rPr>
        <sz val="10"/>
        <rFont val="나눔고딕"/>
        <family val="2"/>
      </rPr>
      <t xml:space="preserve">선</t>
    </r>
    <r>
      <rPr>
        <sz val="10"/>
        <rFont val="Arial"/>
        <family val="0"/>
        <charset val="1"/>
      </rPr>
      <t xml:space="preserve">.csv(2026-09-14, </t>
    </r>
    <r>
      <rPr>
        <sz val="10"/>
        <rFont val="나눔고딕"/>
        <family val="2"/>
      </rPr>
      <t xml:space="preserve">안동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비교 도시 </t>
    </r>
    <r>
      <rPr>
        <sz val="10"/>
        <rFont val="Arial"/>
        <family val="0"/>
        <charset val="1"/>
      </rPr>
      <t xml:space="preserve">11</t>
    </r>
    <r>
      <rPr>
        <sz val="10"/>
        <rFont val="나눔고딕"/>
        <family val="2"/>
      </rPr>
      <t xml:space="preserve">행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는 이 파일의 부분집합이다</t>
    </r>
    <r>
      <rPr>
        <sz val="10"/>
        <rFont val="Arial"/>
        <family val="0"/>
        <charset val="1"/>
      </rPr>
      <t xml:space="preserve">.</t>
    </r>
  </si>
  <si>
    <t xml:space="preserve">2026-09-21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</si>
</sst>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나눔고딕"/>
      <family val="2"/>
    </font>
    <font>
      <b val="true"/>
      <sz val="10"/>
      <name val="Arial"/>
      <family val="0"/>
      <charset val="1"/>
    </font>
    <font>
      <sz val="10"/>
      <name val="나눔고딕"/>
      <family val="2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korean.visitkorea.or.kr/detail/ms_detail.do?cotid=758fb4e9-533f-4636-8753-73b8d059c54d" TargetMode="External"/><Relationship Id="rId2" Type="http://schemas.openxmlformats.org/officeDocument/2006/relationships/hyperlink" Target="https://korean.visitkorea.or.kr/detail/rem_detail.do?cotid=ec1515b2-8a5c-45c9-99dc-a8c23fea9f9b" TargetMode="External"/><Relationship Id="rId3" Type="http://schemas.openxmlformats.org/officeDocument/2006/relationships/hyperlink" Target="https://www.latimes.kr/news/articleView.html?idxno=51248" TargetMode="External"/><Relationship Id="rId4" Type="http://schemas.openxmlformats.org/officeDocument/2006/relationships/hyperlink" Target="https://korean.visitkorea.or.kr/detail/ms_detail.do?cotid=ad931739-fca3-4135-a878-cc7fb82920ba" TargetMode="External"/><Relationship Id="rId5" Type="http://schemas.openxmlformats.org/officeDocument/2006/relationships/hyperlink" Target="https://korean.visitkorea.or.kr/detail/rem_detail.do?cotid=ec1515b2-8a5c-45c9-99dc-a8c23fea9f9b" TargetMode="External"/><Relationship Id="rId6" Type="http://schemas.openxmlformats.org/officeDocument/2006/relationships/hyperlink" Target="https://www.latimes.kr/news/articleView.html?idxno=51248" TargetMode="External"/><Relationship Id="rId7" Type="http://schemas.openxmlformats.org/officeDocument/2006/relationships/hyperlink" Target="https://korean.visitkorea.or.kr/detail/ms_detail.do?cotid=e413abf3-f8a7-486d-95fd-4fb12598aefc" TargetMode="External"/><Relationship Id="rId8" Type="http://schemas.openxmlformats.org/officeDocument/2006/relationships/hyperlink" Target="https://korean.visitkorea.or.kr/detail/rem_detail.do?cotid=ec1515b2-8a5c-45c9-99dc-a8c23fea9f9b" TargetMode="External"/><Relationship Id="rId9" Type="http://schemas.openxmlformats.org/officeDocument/2006/relationships/hyperlink" Target="https://www.latimes.kr/news/articleView.html?idxno=51248" TargetMode="External"/><Relationship Id="rId10" Type="http://schemas.openxmlformats.org/officeDocument/2006/relationships/hyperlink" Target="https://korean.visitkorea.or.kr/detail/ms_detail.do?cotid=7e26f7f5-dde8-4eab-b2e9-42d6d37aded1" TargetMode="External"/><Relationship Id="rId11" Type="http://schemas.openxmlformats.org/officeDocument/2006/relationships/hyperlink" Target="https://korean.visitkorea.or.kr/detail/rem_detail.do?cotid=ec1515b2-8a5c-45c9-99dc-a8c23fea9f9b" TargetMode="External"/><Relationship Id="rId12" Type="http://schemas.openxmlformats.org/officeDocument/2006/relationships/hyperlink" Target="https://www.latimes.kr/news/articleView.html?idxno=51248" TargetMode="External"/><Relationship Id="rId13" Type="http://schemas.openxmlformats.org/officeDocument/2006/relationships/hyperlink" Target="https://korean.visitkorea.or.kr/detail/fes_detail.do?cotid=6ea28be2-79ab-4d79-b2a1-2aa9a0f04ae4" TargetMode="External"/><Relationship Id="rId14" Type="http://schemas.openxmlformats.org/officeDocument/2006/relationships/hyperlink" Target="https://korean.visitkorea.or.kr/detail/rem_detail.do?cotid=ec1515b2-8a5c-45c9-99dc-a8c23fea9f9b" TargetMode="External"/><Relationship Id="rId15" Type="http://schemas.openxmlformats.org/officeDocument/2006/relationships/hyperlink" Target="https://www.latimes.kr/news/articleView.html?idxno=51248" TargetMode="External"/><Relationship Id="rId16" Type="http://schemas.openxmlformats.org/officeDocument/2006/relationships/hyperlink" Target="https://korean.visitkorea.or.kr/detail/ms_detail.do?cotid=b0e66d42-5c48-46f0-b6d7-1961fa3694d2" TargetMode="External"/><Relationship Id="rId17" Type="http://schemas.openxmlformats.org/officeDocument/2006/relationships/hyperlink" Target="https://korean.visitkorea.or.kr/detail/rem_detail.do?cotid=ec1515b2-8a5c-45c9-99dc-a8c23fea9f9b" TargetMode="External"/><Relationship Id="rId18" Type="http://schemas.openxmlformats.org/officeDocument/2006/relationships/hyperlink" Target="https://www.latimes.kr/news/articleView.html?idxno=51248" TargetMode="External"/><Relationship Id="rId19" Type="http://schemas.openxmlformats.org/officeDocument/2006/relationships/hyperlink" Target="https://korean.visitkorea.or.kr/detail/fes_detail.do?cotid=6d7bc7b7-aa29-453a-b903-f7e88e361c69" TargetMode="External"/><Relationship Id="rId20" Type="http://schemas.openxmlformats.org/officeDocument/2006/relationships/hyperlink" Target="https://korean.visitkorea.or.kr/detail/rem_detail.do?cotid=ec1515b2-8a5c-45c9-99dc-a8c23fea9f9b" TargetMode="External"/><Relationship Id="rId21" Type="http://schemas.openxmlformats.org/officeDocument/2006/relationships/hyperlink" Target="https://www.latimes.kr/news/articleView.html?idxno=51248" TargetMode="External"/><Relationship Id="rId22" Type="http://schemas.openxmlformats.org/officeDocument/2006/relationships/hyperlink" Target="https://korean.visitkorea.or.kr/detail/ms_detail.do?cotid=3c98e24b-9fb9-4ecf-b8a2-f26a5890748f" TargetMode="External"/><Relationship Id="rId23" Type="http://schemas.openxmlformats.org/officeDocument/2006/relationships/hyperlink" Target="https://korean.visitkorea.or.kr/detail/rem_detail.do?cotid=ec1515b2-8a5c-45c9-99dc-a8c23fea9f9b" TargetMode="External"/><Relationship Id="rId24" Type="http://schemas.openxmlformats.org/officeDocument/2006/relationships/hyperlink" Target="https://www.latimes.kr/news/articleView.html?idxno=51248" TargetMode="External"/><Relationship Id="rId25" Type="http://schemas.openxmlformats.org/officeDocument/2006/relationships/hyperlink" Target="https://korean.visitkorea.or.kr/detail/rem_detail.do?cotid=ec1515b2-8a5c-45c9-99dc-a8c23fea9f9b" TargetMode="External"/><Relationship Id="rId26" Type="http://schemas.openxmlformats.org/officeDocument/2006/relationships/hyperlink" Target="https://www.latimes.kr/news/articleView.html?idxno=51248" TargetMode="External"/><Relationship Id="rId27" Type="http://schemas.openxmlformats.org/officeDocument/2006/relationships/hyperlink" Target="https://korean.visitkorea.or.kr/detail/fes_detail.do?cotid=0c8f4aa0-b00e-4f6e-8974-b07503c6bf7d" TargetMode="External"/><Relationship Id="rId28" Type="http://schemas.openxmlformats.org/officeDocument/2006/relationships/hyperlink" Target="https://korean.visitkorea.or.kr/detail/rem_detail.do?cotid=ec1515b2-8a5c-45c9-99dc-a8c23fea9f9b" TargetMode="External"/><Relationship Id="rId29" Type="http://schemas.openxmlformats.org/officeDocument/2006/relationships/hyperlink" Target="https://www.latimes.kr/news/articleView.html?idxno=51248" TargetMode="External"/><Relationship Id="rId30" Type="http://schemas.openxmlformats.org/officeDocument/2006/relationships/hyperlink" Target="https://korean.visitkorea.or.kr/detail/ms_detail.do?cotid=0c3f5d56-ac09-4b34-915d-620035c29238" TargetMode="External"/><Relationship Id="rId31" Type="http://schemas.openxmlformats.org/officeDocument/2006/relationships/hyperlink" Target="https://korean.visitkorea.or.kr/detail/rem_detail.do?cotid=ec1515b2-8a5c-45c9-99dc-a8c23fea9f9b" TargetMode="External"/><Relationship Id="rId32" Type="http://schemas.openxmlformats.org/officeDocument/2006/relationships/hyperlink" Target="https://www.latimes.kr/news/articleView.html?idxno=51248" TargetMode="External"/><Relationship Id="rId33" Type="http://schemas.openxmlformats.org/officeDocument/2006/relationships/hyperlink" Target="https://korean.visitkorea.or.kr/detail/ms_detail.do?cotid=2c53ae63-15ab-4f9e-9d66-2cbb008601d7" TargetMode="External"/><Relationship Id="rId34" Type="http://schemas.openxmlformats.org/officeDocument/2006/relationships/hyperlink" Target="https://korean.visitkorea.or.kr/detail/rem_detail.do?cotid=ec1515b2-8a5c-45c9-99dc-a8c23fea9f9b" TargetMode="External"/><Relationship Id="rId35" Type="http://schemas.openxmlformats.org/officeDocument/2006/relationships/hyperlink" Target="https://www.latimes.kr/news/articleView.html?idxno=51248" TargetMode="External"/><Relationship Id="rId36" Type="http://schemas.openxmlformats.org/officeDocument/2006/relationships/hyperlink" Target="https://korean.visitkorea.or.kr/detail/ms_detail.do?cotid=3b7044ac-6578-4dba-b0a4-b54a645c23f0" TargetMode="External"/><Relationship Id="rId37" Type="http://schemas.openxmlformats.org/officeDocument/2006/relationships/hyperlink" Target="https://korean.visitkorea.or.kr/detail/rem_detail.do?cotid=ec1515b2-8a5c-45c9-99dc-a8c23fea9f9b" TargetMode="External"/><Relationship Id="rId38" Type="http://schemas.openxmlformats.org/officeDocument/2006/relationships/hyperlink" Target="https://www.latimes.kr/news/articleView.html?idxno=51248" TargetMode="External"/><Relationship Id="rId39" Type="http://schemas.openxmlformats.org/officeDocument/2006/relationships/hyperlink" Target="https://korean.visitkorea.or.kr/detail/fes_detail.do?cotid=3f61273a-8ae7-4c8f-b62f-e3fa52489826" TargetMode="External"/><Relationship Id="rId40" Type="http://schemas.openxmlformats.org/officeDocument/2006/relationships/hyperlink" Target="https://korean.visitkorea.or.kr/detail/rem_detail.do?cotid=ec1515b2-8a5c-45c9-99dc-a8c23fea9f9b" TargetMode="External"/><Relationship Id="rId41" Type="http://schemas.openxmlformats.org/officeDocument/2006/relationships/hyperlink" Target="https://www.latimes.kr/news/articleView.html?idxno=51248" TargetMode="External"/><Relationship Id="rId42" Type="http://schemas.openxmlformats.org/officeDocument/2006/relationships/hyperlink" Target="https://korean.visitkorea.or.kr/kfes/detail/fstvlDetail.do?fstvlCntntsId=4cb06aa3-9d38-45b4-90ce-4deb1d77efb4" TargetMode="External"/><Relationship Id="rId43" Type="http://schemas.openxmlformats.org/officeDocument/2006/relationships/hyperlink" Target="https://korean.visitkorea.or.kr/detail/rem_detail.do?cotid=ec1515b2-8a5c-45c9-99dc-a8c23fea9f9b" TargetMode="External"/><Relationship Id="rId44" Type="http://schemas.openxmlformats.org/officeDocument/2006/relationships/hyperlink" Target="https://www.latimes.kr/news/articleView.html?idxno=51248" TargetMode="External"/><Relationship Id="rId45" Type="http://schemas.openxmlformats.org/officeDocument/2006/relationships/hyperlink" Target="https://korean.visitkorea.or.kr/detail/fes_detail.do?cotid=352301c5-9109-457d-bc9a-1078ee234ab6" TargetMode="External"/><Relationship Id="rId46" Type="http://schemas.openxmlformats.org/officeDocument/2006/relationships/hyperlink" Target="https://korean.visitkorea.or.kr/detail/rem_detail.do?cotid=ec1515b2-8a5c-45c9-99dc-a8c23fea9f9b" TargetMode="External"/><Relationship Id="rId47" Type="http://schemas.openxmlformats.org/officeDocument/2006/relationships/hyperlink" Target="https://www.latimes.kr/news/articleView.html?idxno=51248" TargetMode="External"/><Relationship Id="rId48" Type="http://schemas.openxmlformats.org/officeDocument/2006/relationships/hyperlink" Target="https://korean.visitkorea.or.kr/detail/ms_detail.do?cotid=af55f079-93b5-4f2d-bc46-0848e95de04b" TargetMode="External"/><Relationship Id="rId49" Type="http://schemas.openxmlformats.org/officeDocument/2006/relationships/hyperlink" Target="https://korean.visitkorea.or.kr/detail/rem_detail.do?cotid=ec1515b2-8a5c-45c9-99dc-a8c23fea9f9b" TargetMode="External"/><Relationship Id="rId50" Type="http://schemas.openxmlformats.org/officeDocument/2006/relationships/hyperlink" Target="https://www.latimes.kr/news/articleView.html?idxno=51248" TargetMode="External"/><Relationship Id="rId51" Type="http://schemas.openxmlformats.org/officeDocument/2006/relationships/hyperlink" Target="https://korean.visitkorea.or.kr/detail/ms_detail.do?cotid=da15d47f-c0b6-4cb0-9f91-3e9e5c217ce2" TargetMode="External"/><Relationship Id="rId52" Type="http://schemas.openxmlformats.org/officeDocument/2006/relationships/hyperlink" Target="https://korean.visitkorea.or.kr/detail/rem_detail.do?cotid=ec1515b2-8a5c-45c9-99dc-a8c23fea9f9b" TargetMode="External"/><Relationship Id="rId53" Type="http://schemas.openxmlformats.org/officeDocument/2006/relationships/hyperlink" Target="https://www.latimes.kr/news/articleView.html?idxno=51248" TargetMode="External"/><Relationship Id="rId54" Type="http://schemas.openxmlformats.org/officeDocument/2006/relationships/hyperlink" Target="https://korean.visitkorea.or.kr/detail/ms_detail.do?cotid=214a6b35-763e-4071-bba7-63dbaa3dd72d" TargetMode="External"/><Relationship Id="rId55" Type="http://schemas.openxmlformats.org/officeDocument/2006/relationships/hyperlink" Target="https://korean.visitkorea.or.kr/detail/rem_detail.do?cotid=ec1515b2-8a5c-45c9-99dc-a8c23fea9f9b" TargetMode="External"/><Relationship Id="rId56" Type="http://schemas.openxmlformats.org/officeDocument/2006/relationships/hyperlink" Target="https://www.latimes.kr/news/articleView.html?idxno=51248" TargetMode="External"/><Relationship Id="rId57" Type="http://schemas.openxmlformats.org/officeDocument/2006/relationships/hyperlink" Target="https://korean.visitkorea.or.kr/detail/fes_detail.do?cotid=2b8b5453-9431-4099-9990-389db594f6bd" TargetMode="External"/><Relationship Id="rId58" Type="http://schemas.openxmlformats.org/officeDocument/2006/relationships/hyperlink" Target="https://korean.visitkorea.or.kr/detail/rem_detail.do?cotid=ec1515b2-8a5c-45c9-99dc-a8c23fea9f9b" TargetMode="External"/><Relationship Id="rId59" Type="http://schemas.openxmlformats.org/officeDocument/2006/relationships/hyperlink" Target="https://www.latimes.kr/news/articleView.html?idxno=51248" TargetMode="External"/><Relationship Id="rId60" Type="http://schemas.openxmlformats.org/officeDocument/2006/relationships/hyperlink" Target="https://korean.visitkorea.or.kr/detail/ms_detail.do?cotid=c560c170-53fc-425f-aea9-7443e764ea4b" TargetMode="External"/><Relationship Id="rId61" Type="http://schemas.openxmlformats.org/officeDocument/2006/relationships/hyperlink" Target="https://korean.visitkorea.or.kr/detail/rem_detail.do?cotid=ec1515b2-8a5c-45c9-99dc-a8c23fea9f9b" TargetMode="External"/><Relationship Id="rId62" Type="http://schemas.openxmlformats.org/officeDocument/2006/relationships/hyperlink" Target="https://www.latimes.kr/news/articleView.html?idxno=51248" TargetMode="External"/><Relationship Id="rId63" Type="http://schemas.openxmlformats.org/officeDocument/2006/relationships/hyperlink" Target="https://korean.visitkorea.or.kr/detail/ms_detail.do?cotid=6ce47e47-af78-40da-8e8a-41b4a7039383" TargetMode="External"/><Relationship Id="rId64" Type="http://schemas.openxmlformats.org/officeDocument/2006/relationships/hyperlink" Target="https://korean.visitkorea.or.kr/detail/rem_detail.do?cotid=ec1515b2-8a5c-45c9-99dc-a8c23fea9f9b" TargetMode="External"/><Relationship Id="rId65" Type="http://schemas.openxmlformats.org/officeDocument/2006/relationships/hyperlink" Target="https://www.latimes.kr/news/articleView.html?idxno=51248" TargetMode="External"/><Relationship Id="rId66" Type="http://schemas.openxmlformats.org/officeDocument/2006/relationships/hyperlink" Target="https://korean.visitkorea.or.kr/detail/rem_detail.do?cotid=ec1515b2-8a5c-45c9-99dc-a8c23fea9f9b" TargetMode="External"/><Relationship Id="rId67" Type="http://schemas.openxmlformats.org/officeDocument/2006/relationships/hyperlink" Target="https://www.latimes.kr/news/articleView.html?idxno=51248" TargetMode="External"/><Relationship Id="rId68" Type="http://schemas.openxmlformats.org/officeDocument/2006/relationships/hyperlink" Target="https://korean.visitkorea.or.kr/detail/ms_detail.do?cotid=87e613c6-f7c3-4d3f-8d60-13c2f8166b95" TargetMode="External"/><Relationship Id="rId69" Type="http://schemas.openxmlformats.org/officeDocument/2006/relationships/hyperlink" Target="https://korean.visitkorea.or.kr/detail/rem_detail.do?cotid=ec1515b2-8a5c-45c9-99dc-a8c23fea9f9b" TargetMode="External"/><Relationship Id="rId70" Type="http://schemas.openxmlformats.org/officeDocument/2006/relationships/hyperlink" Target="https://www.latimes.kr/news/articleView.html?idxno=51248" TargetMode="External"/><Relationship Id="rId71" Type="http://schemas.openxmlformats.org/officeDocument/2006/relationships/hyperlink" Target="https://korean.visitkorea.or.kr/detail/ms_detail.do?cotid=3aa48408-dc2f-4094-8e7b-685f2a10b1f8" TargetMode="External"/><Relationship Id="rId72" Type="http://schemas.openxmlformats.org/officeDocument/2006/relationships/hyperlink" Target="https://korean.visitkorea.or.kr/detail/rem_detail.do?cotid=ec1515b2-8a5c-45c9-99dc-a8c23fea9f9b" TargetMode="External"/><Relationship Id="rId73" Type="http://schemas.openxmlformats.org/officeDocument/2006/relationships/hyperlink" Target="https://www.latimes.kr/news/articleView.html?idxno=51248" TargetMode="External"/><Relationship Id="rId74" Type="http://schemas.openxmlformats.org/officeDocument/2006/relationships/hyperlink" Target="https://korean.visitkorea.or.kr/detail/ms_detail.do?cotid=a0522fb7-8f73-4b87-9ff5-643c387b0dd7" TargetMode="External"/><Relationship Id="rId75" Type="http://schemas.openxmlformats.org/officeDocument/2006/relationships/hyperlink" Target="https://korean.visitkorea.or.kr/detail/rem_detail.do?cotid=ec1515b2-8a5c-45c9-99dc-a8c23fea9f9b" TargetMode="External"/><Relationship Id="rId76" Type="http://schemas.openxmlformats.org/officeDocument/2006/relationships/hyperlink" Target="https://www.latimes.kr/news/articleView.html?idxno=51248" TargetMode="External"/><Relationship Id="rId77" Type="http://schemas.openxmlformats.org/officeDocument/2006/relationships/hyperlink" Target="https://korean.visitkorea.or.kr/detail/ms_detail.do?cotid=ed22ac19-ce77-42ec-8641-e18ebcf15611" TargetMode="External"/><Relationship Id="rId78" Type="http://schemas.openxmlformats.org/officeDocument/2006/relationships/hyperlink" Target="https://korean.visitkorea.or.kr/detail/rem_detail.do?cotid=ec1515b2-8a5c-45c9-99dc-a8c23fea9f9b" TargetMode="External"/><Relationship Id="rId79" Type="http://schemas.openxmlformats.org/officeDocument/2006/relationships/hyperlink" Target="https://www.latimes.kr/news/articleView.html?idxno=51248" TargetMode="External"/><Relationship Id="rId80" Type="http://schemas.openxmlformats.org/officeDocument/2006/relationships/hyperlink" Target="https://korean.visitkorea.or.kr/detail/ms_detail.do?cotid=e31b433d-10ac-42e3-8605-ffb4c5a04187" TargetMode="External"/><Relationship Id="rId81" Type="http://schemas.openxmlformats.org/officeDocument/2006/relationships/hyperlink" Target="https://korean.visitkorea.or.kr/detail/rem_detail.do?cotid=ec1515b2-8a5c-45c9-99dc-a8c23fea9f9b" TargetMode="External"/><Relationship Id="rId82" Type="http://schemas.openxmlformats.org/officeDocument/2006/relationships/hyperlink" Target="https://www.latimes.kr/news/articleView.html?idxno=51248" TargetMode="External"/><Relationship Id="rId83" Type="http://schemas.openxmlformats.org/officeDocument/2006/relationships/hyperlink" Target="https://korean.visitkorea.or.kr/detail/rem_detail.do?cotid=ec1515b2-8a5c-45c9-99dc-a8c23fea9f9b" TargetMode="External"/><Relationship Id="rId84" Type="http://schemas.openxmlformats.org/officeDocument/2006/relationships/hyperlink" Target="https://www.latimes.kr/news/articleView.html?idxno=51248" TargetMode="External"/><Relationship Id="rId85" Type="http://schemas.openxmlformats.org/officeDocument/2006/relationships/hyperlink" Target="https://korean.visitkorea.or.kr/detail/fes_detail.do?cotid=9749190a-18da-479c-819d-a1f8662b3595" TargetMode="External"/><Relationship Id="rId86" Type="http://schemas.openxmlformats.org/officeDocument/2006/relationships/hyperlink" Target="https://korean.visitkorea.or.kr/detail/rem_detail.do?cotid=ec1515b2-8a5c-45c9-99dc-a8c23fea9f9b" TargetMode="External"/><Relationship Id="rId87" Type="http://schemas.openxmlformats.org/officeDocument/2006/relationships/hyperlink" Target="https://www.latimes.kr/news/articleView.html?idxno=51248" TargetMode="External"/><Relationship Id="rId88" Type="http://schemas.openxmlformats.org/officeDocument/2006/relationships/hyperlink" Target="https://korean.visitkorea.or.kr/detail/ms_detail.do?cotid=b2b8cedb-5a9c-494b-9d9e-acbbe731bc04" TargetMode="External"/><Relationship Id="rId89" Type="http://schemas.openxmlformats.org/officeDocument/2006/relationships/hyperlink" Target="https://korean.visitkorea.or.kr/detail/rem_detail.do?cotid=ec1515b2-8a5c-45c9-99dc-a8c23fea9f9b" TargetMode="External"/><Relationship Id="rId90" Type="http://schemas.openxmlformats.org/officeDocument/2006/relationships/hyperlink" Target="https://www.latimes.kr/news/articleView.html?idxno=51248" TargetMode="External"/><Relationship Id="rId91" Type="http://schemas.openxmlformats.org/officeDocument/2006/relationships/hyperlink" Target="https://korean.visitkorea.or.kr/detail/ms_detail.do?cotid=0460fc0b-711d-491f-92c3-a70481371ae3" TargetMode="External"/><Relationship Id="rId92" Type="http://schemas.openxmlformats.org/officeDocument/2006/relationships/hyperlink" Target="https://korean.visitkorea.or.kr/detail/rem_detail.do?cotid=ec1515b2-8a5c-45c9-99dc-a8c23fea9f9b" TargetMode="External"/><Relationship Id="rId93" Type="http://schemas.openxmlformats.org/officeDocument/2006/relationships/hyperlink" Target="https://www.latimes.kr/news/articleView.html?idxno=51248" TargetMode="External"/><Relationship Id="rId94" Type="http://schemas.openxmlformats.org/officeDocument/2006/relationships/hyperlink" Target="https://korean.visitkorea.or.kr/detail/rem_detail.do?cotid=ec1515b2-8a5c-45c9-99dc-a8c23fea9f9b" TargetMode="External"/><Relationship Id="rId95" Type="http://schemas.openxmlformats.org/officeDocument/2006/relationships/hyperlink" Target="https://www.latimes.kr/news/articleView.html?idxno=51248" TargetMode="External"/><Relationship Id="rId96" Type="http://schemas.openxmlformats.org/officeDocument/2006/relationships/hyperlink" Target="https://korean.visitkorea.or.kr/detail/ms_detail.do?cotid=7fab7f3f-c38a-4e3c-8590-0afb69127b6f" TargetMode="External"/><Relationship Id="rId97" Type="http://schemas.openxmlformats.org/officeDocument/2006/relationships/hyperlink" Target="https://korean.visitkorea.or.kr/detail/rem_detail.do?cotid=ec1515b2-8a5c-45c9-99dc-a8c23fea9f9b" TargetMode="External"/><Relationship Id="rId98" Type="http://schemas.openxmlformats.org/officeDocument/2006/relationships/hyperlink" Target="https://www.latimes.kr/news/articleView.html?idxno=51248" TargetMode="External"/><Relationship Id="rId99" Type="http://schemas.openxmlformats.org/officeDocument/2006/relationships/hyperlink" Target="https://korean.visitkorea.or.kr/detail/rem_detail.do?cotid=ec1515b2-8a5c-45c9-99dc-a8c23fea9f9b" TargetMode="External"/><Relationship Id="rId100" Type="http://schemas.openxmlformats.org/officeDocument/2006/relationships/hyperlink" Target="https://www.latimes.kr/news/articleView.html?idxno=51248" TargetMode="External"/><Relationship Id="rId101" Type="http://schemas.openxmlformats.org/officeDocument/2006/relationships/hyperlink" Target="https://korean.visitkorea.or.kr/detail/ms_detail.do?cotid=c95db770-ff20-4a0c-bf2b-c45bc2a6335d" TargetMode="External"/><Relationship Id="rId102" Type="http://schemas.openxmlformats.org/officeDocument/2006/relationships/hyperlink" Target="https://korean.visitkorea.or.kr/detail/rem_detail.do?cotid=ec1515b2-8a5c-45c9-99dc-a8c23fea9f9b" TargetMode="External"/><Relationship Id="rId103" Type="http://schemas.openxmlformats.org/officeDocument/2006/relationships/hyperlink" Target="https://www.latimes.kr/news/articleView.html?idxno=51248" TargetMode="External"/><Relationship Id="rId104" Type="http://schemas.openxmlformats.org/officeDocument/2006/relationships/hyperlink" Target="https://korean.visitkorea.or.kr/detail/ms_detail.do?cotid=e8660b54-9a93-4e87-9bb8-6ff0cb934b19" TargetMode="External"/><Relationship Id="rId105" Type="http://schemas.openxmlformats.org/officeDocument/2006/relationships/hyperlink" Target="https://korean.visitkorea.or.kr/detail/rem_detail.do?cotid=ec1515b2-8a5c-45c9-99dc-a8c23fea9f9b" TargetMode="External"/><Relationship Id="rId106" Type="http://schemas.openxmlformats.org/officeDocument/2006/relationships/hyperlink" Target="https://www.latimes.kr/news/articleView.html?idxno=51248" TargetMode="External"/><Relationship Id="rId107" Type="http://schemas.openxmlformats.org/officeDocument/2006/relationships/hyperlink" Target="https://korean.visitkorea.or.kr/detail/fes_detail.do?cotid=72c61e4f-6a63-48f0-b590-249463c372d3" TargetMode="External"/><Relationship Id="rId108" Type="http://schemas.openxmlformats.org/officeDocument/2006/relationships/hyperlink" Target="https://korean.visitkorea.or.kr/detail/rem_detail.do?cotid=ec1515b2-8a5c-45c9-99dc-a8c23fea9f9b" TargetMode="External"/><Relationship Id="rId109" Type="http://schemas.openxmlformats.org/officeDocument/2006/relationships/hyperlink" Target="https://www.latimes.kr/news/articleView.html?idxno=51248" TargetMode="External"/><Relationship Id="rId110" Type="http://schemas.openxmlformats.org/officeDocument/2006/relationships/hyperlink" Target="https://korean.visitkorea.or.kr/detail/ms_detail.do?cotid=37ce975b-c2bd-4ea1-83aa-cba93120a746" TargetMode="External"/><Relationship Id="rId111" Type="http://schemas.openxmlformats.org/officeDocument/2006/relationships/hyperlink" Target="https://korean.visitkorea.or.kr/detail/rem_detail.do?cotid=ec1515b2-8a5c-45c9-99dc-a8c23fea9f9b" TargetMode="External"/><Relationship Id="rId112" Type="http://schemas.openxmlformats.org/officeDocument/2006/relationships/hyperlink" Target="https://www.latimes.kr/news/articleView.html?idxno=51248" TargetMode="External"/><Relationship Id="rId113" Type="http://schemas.openxmlformats.org/officeDocument/2006/relationships/hyperlink" Target="https://korean.visitkorea.or.kr/detail/ms_detail.do?cotid=a62d5503-2483-4a7d-95d3-925bc8c067e3" TargetMode="External"/><Relationship Id="rId114" Type="http://schemas.openxmlformats.org/officeDocument/2006/relationships/hyperlink" Target="https://korean.visitkorea.or.kr/detail/rem_detail.do?cotid=ec1515b2-8a5c-45c9-99dc-a8c23fea9f9b" TargetMode="External"/><Relationship Id="rId115" Type="http://schemas.openxmlformats.org/officeDocument/2006/relationships/hyperlink" Target="https://www.latimes.kr/news/articleView.html?idxno=51248" TargetMode="External"/><Relationship Id="rId116" Type="http://schemas.openxmlformats.org/officeDocument/2006/relationships/hyperlink" Target="https://korean.visitkorea.or.kr/detail/ms_detail.do?cotid=7be6babf-e785-44da-9f4c-f7117f83ab23" TargetMode="External"/><Relationship Id="rId117" Type="http://schemas.openxmlformats.org/officeDocument/2006/relationships/hyperlink" Target="https://korean.visitkorea.or.kr/detail/rem_detail.do?cotid=ec1515b2-8a5c-45c9-99dc-a8c23fea9f9b" TargetMode="External"/><Relationship Id="rId118" Type="http://schemas.openxmlformats.org/officeDocument/2006/relationships/hyperlink" Target="https://www.latimes.kr/news/articleView.html?idxno=51248" TargetMode="External"/><Relationship Id="rId119" Type="http://schemas.openxmlformats.org/officeDocument/2006/relationships/hyperlink" Target="https://korean.visitkorea.or.kr/detail/ms_detail.do?cotid=9601cbf8-f259-4ad4-aea1-337c3c634fad" TargetMode="External"/><Relationship Id="rId120" Type="http://schemas.openxmlformats.org/officeDocument/2006/relationships/hyperlink" Target="https://korean.visitkorea.or.kr/detail/rem_detail.do?cotid=ec1515b2-8a5c-45c9-99dc-a8c23fea9f9b" TargetMode="External"/><Relationship Id="rId121" Type="http://schemas.openxmlformats.org/officeDocument/2006/relationships/hyperlink" Target="https://www.latimes.kr/news/articleView.html?idxno=51248" TargetMode="External"/><Relationship Id="rId122" Type="http://schemas.openxmlformats.org/officeDocument/2006/relationships/hyperlink" Target="https://korean.visitkorea.or.kr/detail/ms_detail.do?cotid=eee5ecee-a493-4dc0-b82f-fe8f6c08dbd7" TargetMode="External"/><Relationship Id="rId123" Type="http://schemas.openxmlformats.org/officeDocument/2006/relationships/hyperlink" Target="https://korean.visitkorea.or.kr/detail/rem_detail.do?cotid=ec1515b2-8a5c-45c9-99dc-a8c23fea9f9b" TargetMode="External"/><Relationship Id="rId124" Type="http://schemas.openxmlformats.org/officeDocument/2006/relationships/hyperlink" Target="https://www.latimes.kr/news/articleView.html?idxno=51248" TargetMode="External"/><Relationship Id="rId125" Type="http://schemas.openxmlformats.org/officeDocument/2006/relationships/hyperlink" Target="https://korean.visitkorea.or.kr/detail/ms_detail.do?cotid=484e2027-1d0c-4a1b-ac33-0f7b61e02cde" TargetMode="External"/><Relationship Id="rId126" Type="http://schemas.openxmlformats.org/officeDocument/2006/relationships/hyperlink" Target="https://korean.visitkorea.or.kr/detail/rem_detail.do?cotid=ec1515b2-8a5c-45c9-99dc-a8c23fea9f9b" TargetMode="External"/><Relationship Id="rId127" Type="http://schemas.openxmlformats.org/officeDocument/2006/relationships/hyperlink" Target="https://www.latimes.kr/news/articleView.html?idxno=51248" TargetMode="External"/><Relationship Id="rId128" Type="http://schemas.openxmlformats.org/officeDocument/2006/relationships/hyperlink" Target="https://korean.visitkorea.or.kr/detail/ms_detail.do?cotid=1545e671-68f3-4680-b8c1-8bfac00191eb" TargetMode="External"/><Relationship Id="rId129" Type="http://schemas.openxmlformats.org/officeDocument/2006/relationships/hyperlink" Target="https://korean.visitkorea.or.kr/detail/rem_detail.do?cotid=ec1515b2-8a5c-45c9-99dc-a8c23fea9f9b" TargetMode="External"/><Relationship Id="rId130" Type="http://schemas.openxmlformats.org/officeDocument/2006/relationships/hyperlink" Target="https://www.latimes.kr/news/articleView.html?idxno=51248" TargetMode="External"/><Relationship Id="rId131" Type="http://schemas.openxmlformats.org/officeDocument/2006/relationships/hyperlink" Target="https://korean.visitkorea.or.kr/detail/ms_detail.do?cotid=0c661c4e-6d1f-4dd2-8264-3ffb88a6bbc2" TargetMode="External"/><Relationship Id="rId132" Type="http://schemas.openxmlformats.org/officeDocument/2006/relationships/hyperlink" Target="https://korean.visitkorea.or.kr/detail/rem_detail.do?cotid=ec1515b2-8a5c-45c9-99dc-a8c23fea9f9b" TargetMode="External"/><Relationship Id="rId133" Type="http://schemas.openxmlformats.org/officeDocument/2006/relationships/hyperlink" Target="https://www.latimes.kr/news/articleView.html?idxno=51248" TargetMode="External"/><Relationship Id="rId134" Type="http://schemas.openxmlformats.org/officeDocument/2006/relationships/hyperlink" Target="https://korean.visitkorea.or.kr/detail/fes_detail.do?cotid=5b14ce01-d312-46ed-8474-e041898e8b83" TargetMode="External"/><Relationship Id="rId135" Type="http://schemas.openxmlformats.org/officeDocument/2006/relationships/hyperlink" Target="https://korean.visitkorea.or.kr/detail/rem_detail.do?cotid=ec1515b2-8a5c-45c9-99dc-a8c23fea9f9b" TargetMode="External"/><Relationship Id="rId136" Type="http://schemas.openxmlformats.org/officeDocument/2006/relationships/hyperlink" Target="https://www.latimes.kr/news/articleView.html?idxno=51248" TargetMode="External"/><Relationship Id="rId137" Type="http://schemas.openxmlformats.org/officeDocument/2006/relationships/hyperlink" Target="https://korean.visitkorea.or.kr/detail/ms_detail.do?cotid=8abcb54d-20cc-4712-99c0-2ccbc5370c51" TargetMode="External"/><Relationship Id="rId138" Type="http://schemas.openxmlformats.org/officeDocument/2006/relationships/hyperlink" Target="https://korean.visitkorea.or.kr/detail/rem_detail.do?cotid=ec1515b2-8a5c-45c9-99dc-a8c23fea9f9b" TargetMode="External"/><Relationship Id="rId139" Type="http://schemas.openxmlformats.org/officeDocument/2006/relationships/hyperlink" Target="https://www.latimes.kr/news/articleView.html?idxno=51248" TargetMode="External"/><Relationship Id="rId140" Type="http://schemas.openxmlformats.org/officeDocument/2006/relationships/hyperlink" Target="https://korean.visitkorea.or.kr/detail/ms_detail.do?cotid=1ee41394-2efa-4ae3-9ffb-e8b29c94201b" TargetMode="External"/><Relationship Id="rId141" Type="http://schemas.openxmlformats.org/officeDocument/2006/relationships/hyperlink" Target="https://korean.visitkorea.or.kr/detail/rem_detail.do?cotid=ec1515b2-8a5c-45c9-99dc-a8c23fea9f9b" TargetMode="External"/><Relationship Id="rId142" Type="http://schemas.openxmlformats.org/officeDocument/2006/relationships/hyperlink" Target="https://www.latimes.kr/news/articleView.html?idxno=51248" TargetMode="External"/><Relationship Id="rId143" Type="http://schemas.openxmlformats.org/officeDocument/2006/relationships/hyperlink" Target="https://korean.visitkorea.or.kr/detail/rem_detail.do?cotid=ec1515b2-8a5c-45c9-99dc-a8c23fea9f9b" TargetMode="External"/><Relationship Id="rId144" Type="http://schemas.openxmlformats.org/officeDocument/2006/relationships/hyperlink" Target="https://www.latimes.kr/news/articleView.html?idxno=51248" TargetMode="External"/><Relationship Id="rId145" Type="http://schemas.openxmlformats.org/officeDocument/2006/relationships/hyperlink" Target="https://korean.visitkorea.or.kr/detail/ms_detail.do?cotid=78d14f23-dca9-43c3-82d9-cc715c1d8dd8" TargetMode="External"/><Relationship Id="rId146" Type="http://schemas.openxmlformats.org/officeDocument/2006/relationships/hyperlink" Target="https://korean.visitkorea.or.kr/detail/rem_detail.do?cotid=ec1515b2-8a5c-45c9-99dc-a8c23fea9f9b" TargetMode="External"/><Relationship Id="rId147" Type="http://schemas.openxmlformats.org/officeDocument/2006/relationships/hyperlink" Target="https://www.latimes.kr/news/articleView.html?idxno=51248" TargetMode="External"/><Relationship Id="rId148" Type="http://schemas.openxmlformats.org/officeDocument/2006/relationships/hyperlink" Target="https://korean.visitkorea.or.kr/detail/ms_detail.do?cotid=1fb3cc64-aabd-495f-ae45-52b76c162a9f" TargetMode="External"/><Relationship Id="rId149" Type="http://schemas.openxmlformats.org/officeDocument/2006/relationships/hyperlink" Target="https://korean.visitkorea.or.kr/detail/rem_detail.do?cotid=ec1515b2-8a5c-45c9-99dc-a8c23fea9f9b" TargetMode="External"/><Relationship Id="rId150" Type="http://schemas.openxmlformats.org/officeDocument/2006/relationships/hyperlink" Target="https://www.latimes.kr/news/articleView.html?idxno=51248" TargetMode="External"/><Relationship Id="rId151" Type="http://schemas.openxmlformats.org/officeDocument/2006/relationships/hyperlink" Target="https://korean.visitkorea.or.kr/detail/ms_detail.do?cotid=c58680b5-e48b-4e92-9255-43794b7aa93e" TargetMode="External"/><Relationship Id="rId152" Type="http://schemas.openxmlformats.org/officeDocument/2006/relationships/hyperlink" Target="https://korean.visitkorea.or.kr/detail/rem_detail.do?cotid=ec1515b2-8a5c-45c9-99dc-a8c23fea9f9b" TargetMode="External"/><Relationship Id="rId153" Type="http://schemas.openxmlformats.org/officeDocument/2006/relationships/hyperlink" Target="https://www.latimes.kr/news/articleView.html?idxno=51248" TargetMode="External"/><Relationship Id="rId154" Type="http://schemas.openxmlformats.org/officeDocument/2006/relationships/hyperlink" Target="https://korean.visitkorea.or.kr/detail/ms_detail.do?cotid=d6a0777a-3350-4743-87a9-f4d304ac0c8e" TargetMode="External"/><Relationship Id="rId155" Type="http://schemas.openxmlformats.org/officeDocument/2006/relationships/hyperlink" Target="https://korean.visitkorea.or.kr/detail/rem_detail.do?cotid=ec1515b2-8a5c-45c9-99dc-a8c23fea9f9b" TargetMode="External"/><Relationship Id="rId156" Type="http://schemas.openxmlformats.org/officeDocument/2006/relationships/hyperlink" Target="https://www.latimes.kr/news/articleView.html?idxno=51248" TargetMode="External"/><Relationship Id="rId157" Type="http://schemas.openxmlformats.org/officeDocument/2006/relationships/hyperlink" Target="https://korean.visitkorea.or.kr/detail/ms_detail.do?cotid=87a8fbad-70cb-4ce2-9a7c-a37578204fd3" TargetMode="External"/><Relationship Id="rId158" Type="http://schemas.openxmlformats.org/officeDocument/2006/relationships/hyperlink" Target="https://korean.visitkorea.or.kr/detail/rem_detail.do?cotid=ec1515b2-8a5c-45c9-99dc-a8c23fea9f9b" TargetMode="External"/><Relationship Id="rId159" Type="http://schemas.openxmlformats.org/officeDocument/2006/relationships/hyperlink" Target="https://www.latimes.kr/news/articleView.html?idxno=51248" TargetMode="External"/><Relationship Id="rId160" Type="http://schemas.openxmlformats.org/officeDocument/2006/relationships/hyperlink" Target="https://korean.visitkorea.or.kr/detail/fes_detail.do?cotid=a7442b26-fce5-42cd-a6eb-4575e7a347b7" TargetMode="External"/><Relationship Id="rId161" Type="http://schemas.openxmlformats.org/officeDocument/2006/relationships/hyperlink" Target="https://korean.visitkorea.or.kr/detail/rem_detail.do?cotid=ec1515b2-8a5c-45c9-99dc-a8c23fea9f9b" TargetMode="External"/><Relationship Id="rId162" Type="http://schemas.openxmlformats.org/officeDocument/2006/relationships/hyperlink" Target="https://www.latimes.kr/news/articleView.html?idxno=51248" TargetMode="External"/><Relationship Id="rId163" Type="http://schemas.openxmlformats.org/officeDocument/2006/relationships/hyperlink" Target="https://korean.visitkorea.or.kr/detail/ms_detail.do?cotid=8275d64e-1fc0-4511-984e-2de88cb5e593" TargetMode="External"/><Relationship Id="rId164" Type="http://schemas.openxmlformats.org/officeDocument/2006/relationships/hyperlink" Target="https://korean.visitkorea.or.kr/detail/rem_detail.do?cotid=ec1515b2-8a5c-45c9-99dc-a8c23fea9f9b" TargetMode="External"/><Relationship Id="rId165" Type="http://schemas.openxmlformats.org/officeDocument/2006/relationships/hyperlink" Target="https://www.latimes.kr/news/articleView.html?idxno=51248" TargetMode="External"/><Relationship Id="rId166" Type="http://schemas.openxmlformats.org/officeDocument/2006/relationships/hyperlink" Target="https://korean.visitkorea.or.kr/detail/ms_detail.do?cotid=ef24ef32-cdd3-42a8-8fcb-bee4afa4c458" TargetMode="External"/><Relationship Id="rId167" Type="http://schemas.openxmlformats.org/officeDocument/2006/relationships/hyperlink" Target="https://korean.visitkorea.or.kr/detail/rem_detail.do?cotid=ec1515b2-8a5c-45c9-99dc-a8c23fea9f9b" TargetMode="External"/><Relationship Id="rId168" Type="http://schemas.openxmlformats.org/officeDocument/2006/relationships/hyperlink" Target="https://www.latimes.kr/news/articleView.html?idxno=51248" TargetMode="External"/><Relationship Id="rId169" Type="http://schemas.openxmlformats.org/officeDocument/2006/relationships/hyperlink" Target="https://korean.visitkorea.or.kr/detail/ms_detail.do?cotid=ae0ab957-abb8-4ea6-a777-ec2d9e782d2e" TargetMode="External"/><Relationship Id="rId170" Type="http://schemas.openxmlformats.org/officeDocument/2006/relationships/hyperlink" Target="https://korean.visitkorea.or.kr/detail/rem_detail.do?cotid=ec1515b2-8a5c-45c9-99dc-a8c23fea9f9b" TargetMode="External"/><Relationship Id="rId171" Type="http://schemas.openxmlformats.org/officeDocument/2006/relationships/hyperlink" Target="https://www.latimes.kr/news/articleView.html?idxno=51248" TargetMode="External"/><Relationship Id="rId172" Type="http://schemas.openxmlformats.org/officeDocument/2006/relationships/hyperlink" Target="https://korean.visitkorea.or.kr/detail/rem_detail.do?cotid=ec1515b2-8a5c-45c9-99dc-a8c23fea9f9b" TargetMode="External"/><Relationship Id="rId173" Type="http://schemas.openxmlformats.org/officeDocument/2006/relationships/hyperlink" Target="https://www.latimes.kr/news/articleView.html?idxno=51248" TargetMode="External"/><Relationship Id="rId174" Type="http://schemas.openxmlformats.org/officeDocument/2006/relationships/hyperlink" Target="https://korean.visitkorea.or.kr/detail/ms_detail.do?cotid=27ed68b5-c921-40d0-a8de-960d9a6b8939" TargetMode="External"/><Relationship Id="rId175" Type="http://schemas.openxmlformats.org/officeDocument/2006/relationships/hyperlink" Target="https://korean.visitkorea.or.kr/detail/rem_detail.do?cotid=ec1515b2-8a5c-45c9-99dc-a8c23fea9f9b" TargetMode="External"/><Relationship Id="rId176" Type="http://schemas.openxmlformats.org/officeDocument/2006/relationships/hyperlink" Target="https://www.latimes.kr/news/articleView.html?idxno=51248" TargetMode="External"/><Relationship Id="rId177" Type="http://schemas.openxmlformats.org/officeDocument/2006/relationships/hyperlink" Target="https://korean.visitkorea.or.kr/detail/fes_detail.do?cotid=bcc4ea14-1068-4c2f-be53-b03b48abd94d" TargetMode="External"/><Relationship Id="rId178" Type="http://schemas.openxmlformats.org/officeDocument/2006/relationships/hyperlink" Target="https://korean.visitkorea.or.kr/detail/rem_detail.do?cotid=ec1515b2-8a5c-45c9-99dc-a8c23fea9f9b" TargetMode="External"/><Relationship Id="rId179" Type="http://schemas.openxmlformats.org/officeDocument/2006/relationships/hyperlink" Target="https://www.latimes.kr/news/articleView.html?idxno=51248" TargetMode="External"/><Relationship Id="rId180" Type="http://schemas.openxmlformats.org/officeDocument/2006/relationships/hyperlink" Target="https://korean.visitkorea.or.kr/detail/fes_detail.do?cotid=da2c0d94-e3e2-433a-8d2c-94932aee8776" TargetMode="External"/><Relationship Id="rId181" Type="http://schemas.openxmlformats.org/officeDocument/2006/relationships/hyperlink" Target="https://korean.visitkorea.or.kr/detail/rem_detail.do?cotid=ec1515b2-8a5c-45c9-99dc-a8c23fea9f9b" TargetMode="External"/><Relationship Id="rId182" Type="http://schemas.openxmlformats.org/officeDocument/2006/relationships/hyperlink" Target="https://www.latimes.kr/news/articleView.html?idxno=51248" TargetMode="External"/><Relationship Id="rId183" Type="http://schemas.openxmlformats.org/officeDocument/2006/relationships/hyperlink" Target="https://korean.visitkorea.or.kr/detail/ms_detail.do?cotid=95fc3873-a4b8-4a78-a72f-ed566acb9d86" TargetMode="External"/><Relationship Id="rId184" Type="http://schemas.openxmlformats.org/officeDocument/2006/relationships/hyperlink" Target="https://korean.visitkorea.or.kr/detail/rem_detail.do?cotid=ec1515b2-8a5c-45c9-99dc-a8c23fea9f9b" TargetMode="External"/><Relationship Id="rId185" Type="http://schemas.openxmlformats.org/officeDocument/2006/relationships/hyperlink" Target="https://www.latimes.kr/news/articleView.html?idxno=51248" TargetMode="External"/><Relationship Id="rId186" Type="http://schemas.openxmlformats.org/officeDocument/2006/relationships/hyperlink" Target="https://korean.visitkorea.or.kr/detail/fes_detail.do?cotid=8489d4ff-8cf1-4bf6-86bd-bc196affc988" TargetMode="External"/><Relationship Id="rId187" Type="http://schemas.openxmlformats.org/officeDocument/2006/relationships/hyperlink" Target="https://korean.visitkorea.or.kr/detail/rem_detail.do?cotid=ec1515b2-8a5c-45c9-99dc-a8c23fea9f9b" TargetMode="External"/><Relationship Id="rId188" Type="http://schemas.openxmlformats.org/officeDocument/2006/relationships/hyperlink" Target="https://www.latimes.kr/news/articleView.html?idxno=51248" TargetMode="External"/><Relationship Id="rId189" Type="http://schemas.openxmlformats.org/officeDocument/2006/relationships/hyperlink" Target="https://korean.visitkorea.or.kr/detail/fes_detail.do?cotid=a012ffd2-ecdc-4479-a4a9-4b1f157b6f77" TargetMode="External"/><Relationship Id="rId190" Type="http://schemas.openxmlformats.org/officeDocument/2006/relationships/hyperlink" Target="https://korean.visitkorea.or.kr/detail/rem_detail.do?cotid=ec1515b2-8a5c-45c9-99dc-a8c23fea9f9b" TargetMode="External"/><Relationship Id="rId191" Type="http://schemas.openxmlformats.org/officeDocument/2006/relationships/hyperlink" Target="https://www.latimes.kr/news/articleView.html?idxno=51248" TargetMode="External"/><Relationship Id="rId192" Type="http://schemas.openxmlformats.org/officeDocument/2006/relationships/hyperlink" Target="https://korean.visitkorea.or.kr/kfes/detail/fstvlDetail.do?cmsCntntsId=637546" TargetMode="External"/><Relationship Id="rId193" Type="http://schemas.openxmlformats.org/officeDocument/2006/relationships/hyperlink" Target="https://korean.visitkorea.or.kr/detail/rem_detail.do?cotid=ec1515b2-8a5c-45c9-99dc-a8c23fea9f9b" TargetMode="External"/><Relationship Id="rId194" Type="http://schemas.openxmlformats.org/officeDocument/2006/relationships/hyperlink" Target="https://www.latimes.kr/news/articleView.html?idxno=51248" TargetMode="External"/><Relationship Id="rId195" Type="http://schemas.openxmlformats.org/officeDocument/2006/relationships/hyperlink" Target="https://korean.visitkorea.or.kr/detail/fes_detail.do?cotid=c3ae5756-a5a1-4258-98d7-ea8a49c6f99e" TargetMode="External"/><Relationship Id="rId196" Type="http://schemas.openxmlformats.org/officeDocument/2006/relationships/hyperlink" Target="https://korean.visitkorea.or.kr/detail/rem_detail.do?cotid=ec1515b2-8a5c-45c9-99dc-a8c23fea9f9b" TargetMode="External"/><Relationship Id="rId197" Type="http://schemas.openxmlformats.org/officeDocument/2006/relationships/hyperlink" Target="https://www.latimes.kr/news/articleView.html?idxno=51248" TargetMode="External"/><Relationship Id="rId198" Type="http://schemas.openxmlformats.org/officeDocument/2006/relationships/hyperlink" Target="https://korean.visitkorea.or.kr/detail/ms_detail.do?cotid=3f5ee0d8-eae1-4506-bce0-b8e10436723b" TargetMode="External"/><Relationship Id="rId199" Type="http://schemas.openxmlformats.org/officeDocument/2006/relationships/hyperlink" Target="https://korean.visitkorea.or.kr/detail/rem_detail.do?cotid=ec1515b2-8a5c-45c9-99dc-a8c23fea9f9b" TargetMode="External"/><Relationship Id="rId200" Type="http://schemas.openxmlformats.org/officeDocument/2006/relationships/hyperlink" Target="https://www.latimes.kr/news/articleView.html?idxno=51248" TargetMode="External"/><Relationship Id="rId201" Type="http://schemas.openxmlformats.org/officeDocument/2006/relationships/hyperlink" Target="https://korean.visitkorea.or.kr/detail/ms_detail.do?cotid=f3435a31-7d31-4808-adad-0696272126ab" TargetMode="External"/><Relationship Id="rId202" Type="http://schemas.openxmlformats.org/officeDocument/2006/relationships/hyperlink" Target="https://korean.visitkorea.or.kr/detail/rem_detail.do?cotid=ec1515b2-8a5c-45c9-99dc-a8c23fea9f9b" TargetMode="External"/><Relationship Id="rId203" Type="http://schemas.openxmlformats.org/officeDocument/2006/relationships/hyperlink" Target="https://www.latimes.kr/news/articleView.html?idxno=51248" TargetMode="External"/><Relationship Id="rId204" Type="http://schemas.openxmlformats.org/officeDocument/2006/relationships/hyperlink" Target="https://korean.visitkorea.or.kr/detail/fes_detail.do?cotid=1201bb55-0ca1-47b2-bfc4-3c88f165613b" TargetMode="External"/><Relationship Id="rId205" Type="http://schemas.openxmlformats.org/officeDocument/2006/relationships/hyperlink" Target="https://korean.visitkorea.or.kr/detail/rem_detail.do?cotid=ec1515b2-8a5c-45c9-99dc-a8c23fea9f9b" TargetMode="External"/><Relationship Id="rId206" Type="http://schemas.openxmlformats.org/officeDocument/2006/relationships/hyperlink" Target="https://www.latimes.kr/news/articleView.html?idxno=51248" TargetMode="External"/><Relationship Id="rId207" Type="http://schemas.openxmlformats.org/officeDocument/2006/relationships/hyperlink" Target="https://korean.visitkorea.or.kr/detail/rem_detail.do?cotid=ec1515b2-8a5c-45c9-99dc-a8c23fea9f9b" TargetMode="External"/><Relationship Id="rId208" Type="http://schemas.openxmlformats.org/officeDocument/2006/relationships/hyperlink" Target="https://www.latimes.kr/news/articleView.html?idxno=51248" TargetMode="External"/><Relationship Id="rId209" Type="http://schemas.openxmlformats.org/officeDocument/2006/relationships/hyperlink" Target="https://korean.visitkorea.or.kr/detail/rem_detail.do?cotid=ec1515b2-8a5c-45c9-99dc-a8c23fea9f9b" TargetMode="External"/><Relationship Id="rId210" Type="http://schemas.openxmlformats.org/officeDocument/2006/relationships/hyperlink" Target="https://www.latimes.kr/news/articleView.html?idxno=51248" TargetMode="External"/><Relationship Id="rId211" Type="http://schemas.openxmlformats.org/officeDocument/2006/relationships/hyperlink" Target="https://korean.visitkorea.or.kr/detail/rem_detail.do?cotid=ec1515b2-8a5c-45c9-99dc-a8c23fea9f9b" TargetMode="External"/><Relationship Id="rId212" Type="http://schemas.openxmlformats.org/officeDocument/2006/relationships/hyperlink" Target="https://www.latimes.kr/news/articleView.html?idxno=51248" TargetMode="External"/><Relationship Id="rId213" Type="http://schemas.openxmlformats.org/officeDocument/2006/relationships/hyperlink" Target="https://korean.visitkorea.or.kr/detail/ms_detail.do?cotid=b9a1511c-98d9-4197-88dc-1a73aa3be740" TargetMode="External"/><Relationship Id="rId214" Type="http://schemas.openxmlformats.org/officeDocument/2006/relationships/hyperlink" Target="https://korean.visitkorea.or.kr/detail/rem_detail.do?cotid=ec1515b2-8a5c-45c9-99dc-a8c23fea9f9b" TargetMode="External"/><Relationship Id="rId215" Type="http://schemas.openxmlformats.org/officeDocument/2006/relationships/hyperlink" Target="https://www.latimes.kr/news/articleView.html?idxno=51248" TargetMode="External"/><Relationship Id="rId216" Type="http://schemas.openxmlformats.org/officeDocument/2006/relationships/hyperlink" Target="https://korean.visitkorea.or.kr/detail/ms_detail.do?cotid=7770a339-d073-4b39-ad71-b08eb7e5d308" TargetMode="External"/><Relationship Id="rId217" Type="http://schemas.openxmlformats.org/officeDocument/2006/relationships/hyperlink" Target="https://korean.visitkorea.or.kr/detail/rem_detail.do?cotid=ec1515b2-8a5c-45c9-99dc-a8c23fea9f9b" TargetMode="External"/><Relationship Id="rId218" Type="http://schemas.openxmlformats.org/officeDocument/2006/relationships/hyperlink" Target="https://www.latimes.kr/news/articleView.html?idxno=51248" TargetMode="External"/><Relationship Id="rId219" Type="http://schemas.openxmlformats.org/officeDocument/2006/relationships/hyperlink" Target="https://korean.visitkorea.or.kr/detail/ms_detail.do?cotid=6da54421-9ab9-4853-80d6-1eadbf0ad73b" TargetMode="External"/><Relationship Id="rId220" Type="http://schemas.openxmlformats.org/officeDocument/2006/relationships/hyperlink" Target="https://korean.visitkorea.or.kr/detail/rem_detail.do?cotid=ec1515b2-8a5c-45c9-99dc-a8c23fea9f9b" TargetMode="External"/><Relationship Id="rId221" Type="http://schemas.openxmlformats.org/officeDocument/2006/relationships/hyperlink" Target="https://www.latimes.kr/news/articleView.html?idxno=51248" TargetMode="External"/><Relationship Id="rId222" Type="http://schemas.openxmlformats.org/officeDocument/2006/relationships/hyperlink" Target="https://korean.visitkorea.or.kr/detail/ms_detail.do?cotid=b046dbdc-67db-49f0-acca-fffa75befdf9" TargetMode="External"/><Relationship Id="rId223" Type="http://schemas.openxmlformats.org/officeDocument/2006/relationships/hyperlink" Target="https://korean.visitkorea.or.kr/detail/rem_detail.do?cotid=ec1515b2-8a5c-45c9-99dc-a8c23fea9f9b" TargetMode="External"/><Relationship Id="rId224" Type="http://schemas.openxmlformats.org/officeDocument/2006/relationships/hyperlink" Target="https://www.latimes.kr/news/articleView.html?idxno=51248" TargetMode="External"/><Relationship Id="rId225" Type="http://schemas.openxmlformats.org/officeDocument/2006/relationships/hyperlink" Target="https://korean.visitkorea.or.kr/detail/ms_detail.do?cotid=ec28bc85-95ba-4b58-a36d-3f02988eeae1" TargetMode="External"/><Relationship Id="rId226" Type="http://schemas.openxmlformats.org/officeDocument/2006/relationships/hyperlink" Target="https://korean.visitkorea.or.kr/detail/rem_detail.do?cotid=ec1515b2-8a5c-45c9-99dc-a8c23fea9f9b" TargetMode="External"/><Relationship Id="rId227" Type="http://schemas.openxmlformats.org/officeDocument/2006/relationships/hyperlink" Target="https://www.latimes.kr/news/articleView.html?idxno=51248" TargetMode="External"/><Relationship Id="rId228" Type="http://schemas.openxmlformats.org/officeDocument/2006/relationships/hyperlink" Target="https://korean.visitkorea.or.kr/detail/ms_detail.do?cotid=f2ddf685-03cd-4936-b819-71102e909961" TargetMode="External"/><Relationship Id="rId229" Type="http://schemas.openxmlformats.org/officeDocument/2006/relationships/hyperlink" Target="https://korean.visitkorea.or.kr/detail/rem_detail.do?cotid=ec1515b2-8a5c-45c9-99dc-a8c23fea9f9b" TargetMode="External"/><Relationship Id="rId230" Type="http://schemas.openxmlformats.org/officeDocument/2006/relationships/hyperlink" Target="https://www.latimes.kr/news/articleView.html?idxno=51248" TargetMode="External"/><Relationship Id="rId231" Type="http://schemas.openxmlformats.org/officeDocument/2006/relationships/hyperlink" Target="https://korean.visitkorea.or.kr/detail/ms_detail.do?cotid=bab0ebe9-31cc-4305-82a2-904542009326" TargetMode="External"/><Relationship Id="rId232" Type="http://schemas.openxmlformats.org/officeDocument/2006/relationships/hyperlink" Target="https://korean.visitkorea.or.kr/detail/rem_detail.do?cotid=ec1515b2-8a5c-45c9-99dc-a8c23fea9f9b" TargetMode="External"/><Relationship Id="rId233" Type="http://schemas.openxmlformats.org/officeDocument/2006/relationships/hyperlink" Target="https://www.latimes.kr/news/articleView.html?idxno=51248" TargetMode="External"/><Relationship Id="rId234" Type="http://schemas.openxmlformats.org/officeDocument/2006/relationships/hyperlink" Target="https://korean.visitkorea.or.kr/detail/rem_detail.do?cotid=ec1515b2-8a5c-45c9-99dc-a8c23fea9f9b" TargetMode="External"/><Relationship Id="rId235" Type="http://schemas.openxmlformats.org/officeDocument/2006/relationships/hyperlink" Target="https://www.latimes.kr/news/articleView.html?idxno=51248" TargetMode="External"/><Relationship Id="rId236" Type="http://schemas.openxmlformats.org/officeDocument/2006/relationships/hyperlink" Target="https://korean.visitkorea.or.kr/detail/rem_detail.do?cotid=ec1515b2-8a5c-45c9-99dc-a8c23fea9f9b" TargetMode="External"/><Relationship Id="rId237" Type="http://schemas.openxmlformats.org/officeDocument/2006/relationships/hyperlink" Target="https://www.latimes.kr/news/articleView.html?idxno=51248" TargetMode="External"/><Relationship Id="rId238" Type="http://schemas.openxmlformats.org/officeDocument/2006/relationships/hyperlink" Target="https://korean.visitkorea.or.kr/detail/rem_detail.do?cotid=ec1515b2-8a5c-45c9-99dc-a8c23fea9f9b" TargetMode="External"/><Relationship Id="rId239" Type="http://schemas.openxmlformats.org/officeDocument/2006/relationships/hyperlink" Target="https://www.latimes.kr/news/articleView.html?idxno=51248" TargetMode="External"/><Relationship Id="rId240" Type="http://schemas.openxmlformats.org/officeDocument/2006/relationships/hyperlink" Target="https://korean.visitkorea.or.kr/detail/ms_detail.do?cotid=a2c8627c-a567-4779-be8d-d5b76e893e46" TargetMode="External"/><Relationship Id="rId241" Type="http://schemas.openxmlformats.org/officeDocument/2006/relationships/hyperlink" Target="https://korean.visitkorea.or.kr/detail/rem_detail.do?cotid=ec1515b2-8a5c-45c9-99dc-a8c23fea9f9b" TargetMode="External"/><Relationship Id="rId242" Type="http://schemas.openxmlformats.org/officeDocument/2006/relationships/hyperlink" Target="https://www.latimes.kr/news/articleView.html?idxno=51248" TargetMode="External"/><Relationship Id="rId243" Type="http://schemas.openxmlformats.org/officeDocument/2006/relationships/hyperlink" Target="https://korean.visitkorea.or.kr/detail/rem_detail.do?cotid=ec1515b2-8a5c-45c9-99dc-a8c23fea9f9b" TargetMode="External"/><Relationship Id="rId244" Type="http://schemas.openxmlformats.org/officeDocument/2006/relationships/hyperlink" Target="https://www.latimes.kr/news/articleView.html?idxno=51248" TargetMode="External"/><Relationship Id="rId245" Type="http://schemas.openxmlformats.org/officeDocument/2006/relationships/hyperlink" Target="https://korean.visitkorea.or.kr/detail/ms_detail.do?cotid=c5ea6ff8-ebfc-4bda-af4a-ffbf48cbe21a" TargetMode="External"/><Relationship Id="rId246" Type="http://schemas.openxmlformats.org/officeDocument/2006/relationships/hyperlink" Target="https://korean.visitkorea.or.kr/detail/rem_detail.do?cotid=ec1515b2-8a5c-45c9-99dc-a8c23fea9f9b" TargetMode="External"/><Relationship Id="rId247" Type="http://schemas.openxmlformats.org/officeDocument/2006/relationships/hyperlink" Target="https://www.latimes.kr/news/articleView.html?idxno=51248" TargetMode="External"/><Relationship Id="rId248" Type="http://schemas.openxmlformats.org/officeDocument/2006/relationships/hyperlink" Target="https://korean.visitkorea.or.kr/detail/rem_detail.do?cotid=ec1515b2-8a5c-45c9-99dc-a8c23fea9f9b" TargetMode="External"/><Relationship Id="rId249" Type="http://schemas.openxmlformats.org/officeDocument/2006/relationships/hyperlink" Target="https://www.latimes.kr/news/articleView.html?idxno=51248" TargetMode="External"/><Relationship Id="rId250" Type="http://schemas.openxmlformats.org/officeDocument/2006/relationships/hyperlink" Target="https://korean.visitkorea.or.kr/detail/detail_view.do?cotid=d0ef562d-cf39-423c-94df-240aa1ea0d06" TargetMode="External"/><Relationship Id="rId251" Type="http://schemas.openxmlformats.org/officeDocument/2006/relationships/hyperlink" Target="https://korean.visitkorea.or.kr/detail/rem_detail.do?cotid=ec1515b2-8a5c-45c9-99dc-a8c23fea9f9b" TargetMode="External"/><Relationship Id="rId252" Type="http://schemas.openxmlformats.org/officeDocument/2006/relationships/hyperlink" Target="https://www.latimes.kr/news/articleView.html?idxno=51248" TargetMode="External"/><Relationship Id="rId253" Type="http://schemas.openxmlformats.org/officeDocument/2006/relationships/hyperlink" Target="https://korean.visitkorea.or.kr/detail/ms_detail.do?cotid=2a08732b-eba3-45e7-8b72-384abd02c9be" TargetMode="External"/><Relationship Id="rId254" Type="http://schemas.openxmlformats.org/officeDocument/2006/relationships/hyperlink" Target="https://korean.visitkorea.or.kr/detail/rem_detail.do?cotid=ec1515b2-8a5c-45c9-99dc-a8c23fea9f9b" TargetMode="External"/><Relationship Id="rId255" Type="http://schemas.openxmlformats.org/officeDocument/2006/relationships/hyperlink" Target="https://www.latimes.kr/news/articleView.html?idxno=51248" TargetMode="External"/><Relationship Id="rId256" Type="http://schemas.openxmlformats.org/officeDocument/2006/relationships/hyperlink" Target="https://korean.visitkorea.or.kr/detail/fes_detail.do?cotid=58de2a24-22b4-4a8a-a652-104b1a6fc5a5" TargetMode="External"/><Relationship Id="rId257" Type="http://schemas.openxmlformats.org/officeDocument/2006/relationships/hyperlink" Target="https://korean.visitkorea.or.kr/detail/rem_detail.do?cotid=ec1515b2-8a5c-45c9-99dc-a8c23fea9f9b" TargetMode="External"/><Relationship Id="rId258" Type="http://schemas.openxmlformats.org/officeDocument/2006/relationships/hyperlink" Target="https://www.latimes.kr/news/articleView.html?idxno=51248" TargetMode="External"/><Relationship Id="rId259" Type="http://schemas.openxmlformats.org/officeDocument/2006/relationships/hyperlink" Target="https://korean.visitkorea.or.kr/detail/ms_detail.do?cotid=c8664819-5f7d-429f-a390-124c1d5cc390" TargetMode="External"/><Relationship Id="rId260" Type="http://schemas.openxmlformats.org/officeDocument/2006/relationships/hyperlink" Target="https://korean.visitkorea.or.kr/detail/rem_detail.do?cotid=ec1515b2-8a5c-45c9-99dc-a8c23fea9f9b" TargetMode="External"/><Relationship Id="rId261" Type="http://schemas.openxmlformats.org/officeDocument/2006/relationships/hyperlink" Target="https://www.latimes.kr/news/articleView.html?idxno=51248" TargetMode="External"/><Relationship Id="rId262" Type="http://schemas.openxmlformats.org/officeDocument/2006/relationships/hyperlink" Target="https://korean.visitkorea.or.kr/detail/rem_detail.do?cotid=ec1515b2-8a5c-45c9-99dc-a8c23fea9f9b" TargetMode="External"/><Relationship Id="rId263" Type="http://schemas.openxmlformats.org/officeDocument/2006/relationships/hyperlink" Target="https://www.latimes.kr/news/articleView.html?idxno=51248" TargetMode="External"/><Relationship Id="rId264" Type="http://schemas.openxmlformats.org/officeDocument/2006/relationships/hyperlink" Target="https://korean.visitkorea.or.kr/detail/fes_detail.do?cotid=1e38f854-c8c5-49fa-af19-2f055be3d200" TargetMode="External"/><Relationship Id="rId265" Type="http://schemas.openxmlformats.org/officeDocument/2006/relationships/hyperlink" Target="https://korean.visitkorea.or.kr/detail/rem_detail.do?cotid=ec1515b2-8a5c-45c9-99dc-a8c23fea9f9b" TargetMode="External"/><Relationship Id="rId266" Type="http://schemas.openxmlformats.org/officeDocument/2006/relationships/hyperlink" Target="https://www.latimes.kr/news/articleView.html?idxno=51248" TargetMode="External"/><Relationship Id="rId267" Type="http://schemas.openxmlformats.org/officeDocument/2006/relationships/hyperlink" Target="https://korean.visitkorea.or.kr/detail/fes_detail.do?cotid=99049320-b002-45f8-81c9-4b5febd7dcfa" TargetMode="External"/><Relationship Id="rId268" Type="http://schemas.openxmlformats.org/officeDocument/2006/relationships/hyperlink" Target="https://korean.visitkorea.or.kr/detail/rem_detail.do?cotid=ec1515b2-8a5c-45c9-99dc-a8c23fea9f9b" TargetMode="External"/><Relationship Id="rId269" Type="http://schemas.openxmlformats.org/officeDocument/2006/relationships/hyperlink" Target="https://www.latimes.kr/news/articleView.html?idxno=51248" TargetMode="External"/><Relationship Id="rId270" Type="http://schemas.openxmlformats.org/officeDocument/2006/relationships/hyperlink" Target="https://korean.visitkorea.or.kr/detail/rem_detail.do?cotid=ec1515b2-8a5c-45c9-99dc-a8c23fea9f9b" TargetMode="External"/><Relationship Id="rId271" Type="http://schemas.openxmlformats.org/officeDocument/2006/relationships/hyperlink" Target="https://www.latimes.kr/news/articleView.html?idxno=51248" TargetMode="External"/><Relationship Id="rId272" Type="http://schemas.openxmlformats.org/officeDocument/2006/relationships/hyperlink" Target="https://korean.visitkorea.or.kr/detail/ms_detail.do?cotid=9ab6d6ed-abd9-456a-9623-0d2132e9686f" TargetMode="External"/><Relationship Id="rId273" Type="http://schemas.openxmlformats.org/officeDocument/2006/relationships/hyperlink" Target="https://korean.visitkorea.or.kr/detail/rem_detail.do?cotid=ec1515b2-8a5c-45c9-99dc-a8c23fea9f9b" TargetMode="External"/><Relationship Id="rId274" Type="http://schemas.openxmlformats.org/officeDocument/2006/relationships/hyperlink" Target="https://www.latimes.kr/news/articleView.html?idxno=51248" TargetMode="External"/><Relationship Id="rId275" Type="http://schemas.openxmlformats.org/officeDocument/2006/relationships/hyperlink" Target="https://korean.visitkorea.or.kr/detail/ms_detail.do?cotid=173e124a-46ee-4d07-affd-0a77894e2ea9" TargetMode="External"/><Relationship Id="rId276" Type="http://schemas.openxmlformats.org/officeDocument/2006/relationships/hyperlink" Target="https://korean.visitkorea.or.kr/detail/rem_detail.do?cotid=ec1515b2-8a5c-45c9-99dc-a8c23fea9f9b" TargetMode="External"/><Relationship Id="rId277" Type="http://schemas.openxmlformats.org/officeDocument/2006/relationships/hyperlink" Target="https://www.latimes.kr/news/articleView.html?idxno=51248" TargetMode="External"/><Relationship Id="rId278" Type="http://schemas.openxmlformats.org/officeDocument/2006/relationships/hyperlink" Target="https://korean.visitkorea.or.kr/detail/rem_detail.do?cotid=ec1515b2-8a5c-45c9-99dc-a8c23fea9f9b" TargetMode="External"/><Relationship Id="rId279" Type="http://schemas.openxmlformats.org/officeDocument/2006/relationships/hyperlink" Target="https://www.latimes.kr/news/articleView.html?idxno=51248" TargetMode="External"/><Relationship Id="rId280" Type="http://schemas.openxmlformats.org/officeDocument/2006/relationships/hyperlink" Target="https://korean.visitkorea.or.kr/detail/ms_detail.do?cotid=6be6dfa5-fab3-4153-a63f-9461faecd8a1" TargetMode="External"/><Relationship Id="rId281" Type="http://schemas.openxmlformats.org/officeDocument/2006/relationships/hyperlink" Target="https://korean.visitkorea.or.kr/detail/rem_detail.do?cotid=ec1515b2-8a5c-45c9-99dc-a8c23fea9f9b" TargetMode="External"/><Relationship Id="rId282" Type="http://schemas.openxmlformats.org/officeDocument/2006/relationships/hyperlink" Target="https://www.latimes.kr/news/articleView.html?idxno=51248" TargetMode="External"/><Relationship Id="rId28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5.84"/>
    <col collapsed="false" customWidth="true" hidden="false" outlineLevel="0" max="3" min="3" style="0" width="25.04"/>
    <col collapsed="false" customWidth="true" hidden="false" outlineLevel="0" max="4" min="4" style="0" width="10.02"/>
    <col collapsed="false" customWidth="true" hidden="false" outlineLevel="0" max="5" min="5" style="0" width="13.35"/>
    <col collapsed="false" customWidth="true" hidden="false" outlineLevel="0" max="6" min="6" style="0" width="6.68"/>
    <col collapsed="false" customWidth="true" hidden="false" outlineLevel="0" max="7" min="7" style="0" width="25.04"/>
    <col collapsed="false" customWidth="true" hidden="false" outlineLevel="0" max="8" min="8" style="0" width="6.68"/>
    <col collapsed="false" customWidth="true" hidden="false" outlineLevel="0" max="10" min="9" style="0" width="25.04"/>
    <col collapsed="false" customWidth="true" hidden="false" outlineLevel="0" max="11" min="11" style="0" width="16.69"/>
    <col collapsed="false" customWidth="true" hidden="false" outlineLevel="0" max="12" min="12" style="0" width="25.04"/>
    <col collapsed="false" customWidth="true" hidden="false" outlineLevel="0" max="14" min="13" style="0" width="9.18"/>
    <col collapsed="false" customWidth="true" hidden="false" outlineLevel="0" max="15" min="15" style="0" width="21.7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s">
        <v>15</v>
      </c>
      <c r="B2" s="2"/>
      <c r="C2" s="3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n">
        <v>1</v>
      </c>
      <c r="I2" s="4" t="s">
        <v>21</v>
      </c>
      <c r="J2" s="4" t="s">
        <v>22</v>
      </c>
      <c r="K2" s="3" t="s">
        <v>23</v>
      </c>
      <c r="L2" s="4" t="s">
        <v>24</v>
      </c>
      <c r="M2" s="3" t="s">
        <v>25</v>
      </c>
      <c r="N2" s="5" t="n">
        <v>46286</v>
      </c>
      <c r="O2" s="2" t="s">
        <v>26</v>
      </c>
    </row>
    <row r="3" customFormat="false" ht="23.85" hidden="false" customHeight="false" outlineLevel="0" collapsed="false">
      <c r="A3" s="2" t="s">
        <v>15</v>
      </c>
      <c r="B3" s="2"/>
      <c r="C3" s="2" t="s">
        <v>27</v>
      </c>
      <c r="D3" s="2" t="s">
        <v>28</v>
      </c>
      <c r="E3" s="2" t="s">
        <v>18</v>
      </c>
      <c r="F3" s="2" t="s">
        <v>19</v>
      </c>
      <c r="G3" s="2" t="s">
        <v>27</v>
      </c>
      <c r="H3" s="2" t="n">
        <v>17</v>
      </c>
      <c r="I3" s="4" t="s">
        <v>29</v>
      </c>
      <c r="J3" s="4" t="s">
        <v>22</v>
      </c>
      <c r="K3" s="3" t="s">
        <v>23</v>
      </c>
      <c r="L3" s="4" t="s">
        <v>24</v>
      </c>
      <c r="M3" s="3" t="s">
        <v>25</v>
      </c>
      <c r="N3" s="5" t="n">
        <v>46286</v>
      </c>
      <c r="O3" s="2" t="s">
        <v>30</v>
      </c>
    </row>
    <row r="4" customFormat="false" ht="23.85" hidden="false" customHeight="false" outlineLevel="0" collapsed="false">
      <c r="A4" s="2" t="s">
        <v>15</v>
      </c>
      <c r="B4" s="2"/>
      <c r="C4" s="2" t="s">
        <v>31</v>
      </c>
      <c r="D4" s="2" t="s">
        <v>28</v>
      </c>
      <c r="E4" s="2" t="s">
        <v>18</v>
      </c>
      <c r="F4" s="2" t="s">
        <v>19</v>
      </c>
      <c r="G4" s="2" t="s">
        <v>31</v>
      </c>
      <c r="H4" s="2" t="n">
        <v>28</v>
      </c>
      <c r="I4" s="4" t="s">
        <v>32</v>
      </c>
      <c r="J4" s="4" t="s">
        <v>22</v>
      </c>
      <c r="K4" s="3" t="s">
        <v>23</v>
      </c>
      <c r="L4" s="4" t="s">
        <v>24</v>
      </c>
      <c r="M4" s="3" t="s">
        <v>25</v>
      </c>
      <c r="N4" s="5" t="n">
        <v>46286</v>
      </c>
      <c r="O4" s="2" t="s">
        <v>30</v>
      </c>
    </row>
    <row r="5" customFormat="false" ht="23.85" hidden="false" customHeight="false" outlineLevel="0" collapsed="false">
      <c r="A5" s="2" t="s">
        <v>15</v>
      </c>
      <c r="B5" s="2"/>
      <c r="C5" s="2" t="s">
        <v>33</v>
      </c>
      <c r="D5" s="2" t="s">
        <v>28</v>
      </c>
      <c r="E5" s="2" t="s">
        <v>18</v>
      </c>
      <c r="F5" s="2" t="s">
        <v>19</v>
      </c>
      <c r="G5" s="2" t="s">
        <v>33</v>
      </c>
      <c r="H5" s="2" t="n">
        <v>32</v>
      </c>
      <c r="I5" s="4" t="s">
        <v>34</v>
      </c>
      <c r="J5" s="4" t="s">
        <v>22</v>
      </c>
      <c r="K5" s="3" t="s">
        <v>23</v>
      </c>
      <c r="L5" s="4" t="s">
        <v>24</v>
      </c>
      <c r="M5" s="3" t="s">
        <v>25</v>
      </c>
      <c r="N5" s="5" t="n">
        <v>46286</v>
      </c>
      <c r="O5" s="2" t="s">
        <v>30</v>
      </c>
    </row>
    <row r="6" customFormat="false" ht="23.85" hidden="false" customHeight="false" outlineLevel="0" collapsed="false">
      <c r="A6" s="2" t="s">
        <v>15</v>
      </c>
      <c r="B6" s="2"/>
      <c r="C6" s="2" t="s">
        <v>35</v>
      </c>
      <c r="D6" s="2" t="s">
        <v>36</v>
      </c>
      <c r="E6" s="2" t="s">
        <v>37</v>
      </c>
      <c r="F6" s="2" t="s">
        <v>19</v>
      </c>
      <c r="G6" s="2" t="s">
        <v>35</v>
      </c>
      <c r="H6" s="2" t="n">
        <v>55</v>
      </c>
      <c r="I6" s="4" t="s">
        <v>38</v>
      </c>
      <c r="J6" s="4" t="s">
        <v>22</v>
      </c>
      <c r="K6" s="3" t="s">
        <v>23</v>
      </c>
      <c r="L6" s="4" t="s">
        <v>24</v>
      </c>
      <c r="M6" s="3" t="s">
        <v>25</v>
      </c>
      <c r="N6" s="5" t="n">
        <v>46286</v>
      </c>
      <c r="O6" s="2" t="s">
        <v>30</v>
      </c>
    </row>
    <row r="7" customFormat="false" ht="23.85" hidden="false" customHeight="false" outlineLevel="0" collapsed="false">
      <c r="A7" s="2" t="s">
        <v>15</v>
      </c>
      <c r="B7" s="2"/>
      <c r="C7" s="2" t="s">
        <v>39</v>
      </c>
      <c r="D7" s="2" t="s">
        <v>36</v>
      </c>
      <c r="E7" s="2" t="s">
        <v>40</v>
      </c>
      <c r="F7" s="2" t="s">
        <v>19</v>
      </c>
      <c r="G7" s="2" t="s">
        <v>39</v>
      </c>
      <c r="H7" s="2" t="n">
        <v>58</v>
      </c>
      <c r="I7" s="4" t="s">
        <v>41</v>
      </c>
      <c r="J7" s="4" t="s">
        <v>22</v>
      </c>
      <c r="K7" s="3" t="s">
        <v>23</v>
      </c>
      <c r="L7" s="4" t="s">
        <v>24</v>
      </c>
      <c r="M7" s="3" t="s">
        <v>25</v>
      </c>
      <c r="N7" s="5" t="n">
        <v>46286</v>
      </c>
      <c r="O7" s="2" t="s">
        <v>30</v>
      </c>
    </row>
    <row r="8" customFormat="false" ht="23.85" hidden="false" customHeight="false" outlineLevel="0" collapsed="false">
      <c r="A8" s="2" t="s">
        <v>15</v>
      </c>
      <c r="B8" s="2"/>
      <c r="C8" s="2" t="s">
        <v>42</v>
      </c>
      <c r="D8" s="2" t="s">
        <v>36</v>
      </c>
      <c r="E8" s="2" t="s">
        <v>43</v>
      </c>
      <c r="F8" s="2" t="s">
        <v>19</v>
      </c>
      <c r="G8" s="2" t="s">
        <v>44</v>
      </c>
      <c r="H8" s="2" t="n">
        <v>93</v>
      </c>
      <c r="I8" s="4" t="s">
        <v>45</v>
      </c>
      <c r="J8" s="4" t="s">
        <v>22</v>
      </c>
      <c r="K8" s="3" t="s">
        <v>23</v>
      </c>
      <c r="L8" s="4" t="s">
        <v>24</v>
      </c>
      <c r="M8" s="3" t="s">
        <v>25</v>
      </c>
      <c r="N8" s="5" t="n">
        <v>46286</v>
      </c>
      <c r="O8" s="2" t="s">
        <v>26</v>
      </c>
    </row>
    <row r="9" customFormat="false" ht="23.85" hidden="false" customHeight="false" outlineLevel="0" collapsed="false">
      <c r="A9" s="2" t="s">
        <v>15</v>
      </c>
      <c r="B9" s="2"/>
      <c r="C9" s="2" t="s">
        <v>46</v>
      </c>
      <c r="D9" s="2" t="s">
        <v>28</v>
      </c>
      <c r="E9" s="2" t="s">
        <v>18</v>
      </c>
      <c r="F9" s="2" t="s">
        <v>19</v>
      </c>
      <c r="G9" s="2" t="s">
        <v>46</v>
      </c>
      <c r="H9" s="2" t="n">
        <v>94</v>
      </c>
      <c r="I9" s="4" t="s">
        <v>47</v>
      </c>
      <c r="J9" s="4" t="s">
        <v>22</v>
      </c>
      <c r="K9" s="3" t="s">
        <v>23</v>
      </c>
      <c r="L9" s="4" t="s">
        <v>24</v>
      </c>
      <c r="M9" s="3" t="s">
        <v>25</v>
      </c>
      <c r="N9" s="5" t="n">
        <v>46286</v>
      </c>
      <c r="O9" s="2" t="s">
        <v>30</v>
      </c>
    </row>
    <row r="10" customFormat="false" ht="23.85" hidden="false" customHeight="false" outlineLevel="0" collapsed="false">
      <c r="A10" s="2" t="s">
        <v>48</v>
      </c>
      <c r="B10" s="2"/>
      <c r="C10" s="2" t="s">
        <v>49</v>
      </c>
      <c r="D10" s="2" t="s">
        <v>36</v>
      </c>
      <c r="E10" s="2" t="s">
        <v>37</v>
      </c>
      <c r="F10" s="2" t="s">
        <v>50</v>
      </c>
      <c r="G10" s="2" t="s">
        <v>49</v>
      </c>
      <c r="H10" s="2" t="n">
        <v>7</v>
      </c>
      <c r="I10" s="3" t="s">
        <v>51</v>
      </c>
      <c r="J10" s="4" t="s">
        <v>22</v>
      </c>
      <c r="K10" s="3" t="s">
        <v>23</v>
      </c>
      <c r="L10" s="4" t="s">
        <v>24</v>
      </c>
      <c r="M10" s="3" t="s">
        <v>25</v>
      </c>
      <c r="N10" s="5" t="n">
        <v>46286</v>
      </c>
      <c r="O10" s="2" t="s">
        <v>30</v>
      </c>
    </row>
    <row r="11" customFormat="false" ht="23.85" hidden="false" customHeight="false" outlineLevel="0" collapsed="false">
      <c r="A11" s="2" t="s">
        <v>48</v>
      </c>
      <c r="B11" s="2"/>
      <c r="C11" s="2" t="s">
        <v>52</v>
      </c>
      <c r="D11" s="2" t="s">
        <v>36</v>
      </c>
      <c r="E11" s="2" t="s">
        <v>18</v>
      </c>
      <c r="F11" s="2" t="s">
        <v>50</v>
      </c>
      <c r="G11" s="2" t="s">
        <v>52</v>
      </c>
      <c r="H11" s="2" t="n">
        <v>8</v>
      </c>
      <c r="I11" s="4" t="s">
        <v>53</v>
      </c>
      <c r="J11" s="4" t="s">
        <v>22</v>
      </c>
      <c r="K11" s="3" t="s">
        <v>23</v>
      </c>
      <c r="L11" s="4" t="s">
        <v>24</v>
      </c>
      <c r="M11" s="3" t="s">
        <v>25</v>
      </c>
      <c r="N11" s="5" t="n">
        <v>46286</v>
      </c>
      <c r="O11" s="2" t="s">
        <v>30</v>
      </c>
    </row>
    <row r="12" customFormat="false" ht="23.85" hidden="false" customHeight="false" outlineLevel="0" collapsed="false">
      <c r="A12" s="2" t="s">
        <v>48</v>
      </c>
      <c r="B12" s="2"/>
      <c r="C12" s="2" t="s">
        <v>54</v>
      </c>
      <c r="D12" s="2" t="s">
        <v>36</v>
      </c>
      <c r="E12" s="2" t="s">
        <v>40</v>
      </c>
      <c r="F12" s="2" t="s">
        <v>50</v>
      </c>
      <c r="G12" s="2" t="s">
        <v>54</v>
      </c>
      <c r="H12" s="2" t="n">
        <v>21</v>
      </c>
      <c r="I12" s="4" t="s">
        <v>55</v>
      </c>
      <c r="J12" s="4" t="s">
        <v>22</v>
      </c>
      <c r="K12" s="3" t="s">
        <v>23</v>
      </c>
      <c r="L12" s="4" t="s">
        <v>24</v>
      </c>
      <c r="M12" s="3" t="s">
        <v>25</v>
      </c>
      <c r="N12" s="5" t="n">
        <v>46286</v>
      </c>
      <c r="O12" s="2" t="s">
        <v>30</v>
      </c>
    </row>
    <row r="13" customFormat="false" ht="23.85" hidden="false" customHeight="false" outlineLevel="0" collapsed="false">
      <c r="A13" s="2" t="s">
        <v>48</v>
      </c>
      <c r="B13" s="2"/>
      <c r="C13" s="2" t="s">
        <v>56</v>
      </c>
      <c r="D13" s="2" t="s">
        <v>57</v>
      </c>
      <c r="E13" s="2" t="s">
        <v>58</v>
      </c>
      <c r="F13" s="2" t="s">
        <v>50</v>
      </c>
      <c r="G13" s="2" t="s">
        <v>56</v>
      </c>
      <c r="H13" s="2" t="n">
        <v>24</v>
      </c>
      <c r="I13" s="4" t="s">
        <v>59</v>
      </c>
      <c r="J13" s="4" t="s">
        <v>22</v>
      </c>
      <c r="K13" s="3" t="s">
        <v>23</v>
      </c>
      <c r="L13" s="4" t="s">
        <v>24</v>
      </c>
      <c r="M13" s="3" t="s">
        <v>25</v>
      </c>
      <c r="N13" s="5" t="n">
        <v>46286</v>
      </c>
      <c r="O13" s="2" t="s">
        <v>30</v>
      </c>
    </row>
    <row r="14" customFormat="false" ht="23.85" hidden="false" customHeight="false" outlineLevel="0" collapsed="false">
      <c r="A14" s="2" t="s">
        <v>48</v>
      </c>
      <c r="B14" s="2"/>
      <c r="C14" s="2" t="s">
        <v>60</v>
      </c>
      <c r="D14" s="2" t="s">
        <v>57</v>
      </c>
      <c r="E14" s="2" t="s">
        <v>61</v>
      </c>
      <c r="F14" s="2" t="s">
        <v>50</v>
      </c>
      <c r="G14" s="2" t="s">
        <v>60</v>
      </c>
      <c r="H14" s="2" t="n">
        <v>36</v>
      </c>
      <c r="I14" s="4" t="s">
        <v>62</v>
      </c>
      <c r="J14" s="4" t="s">
        <v>22</v>
      </c>
      <c r="K14" s="3" t="s">
        <v>23</v>
      </c>
      <c r="L14" s="4" t="s">
        <v>24</v>
      </c>
      <c r="M14" s="3" t="s">
        <v>25</v>
      </c>
      <c r="N14" s="5" t="n">
        <v>46286</v>
      </c>
      <c r="O14" s="2" t="s">
        <v>30</v>
      </c>
    </row>
    <row r="15" customFormat="false" ht="23.85" hidden="false" customHeight="false" outlineLevel="0" collapsed="false">
      <c r="A15" s="2" t="s">
        <v>48</v>
      </c>
      <c r="B15" s="2"/>
      <c r="C15" s="2" t="s">
        <v>63</v>
      </c>
      <c r="D15" s="2" t="s">
        <v>36</v>
      </c>
      <c r="E15" s="2" t="s">
        <v>37</v>
      </c>
      <c r="F15" s="2" t="s">
        <v>50</v>
      </c>
      <c r="G15" s="2" t="s">
        <v>63</v>
      </c>
      <c r="H15" s="2" t="n">
        <v>42</v>
      </c>
      <c r="I15" s="4" t="s">
        <v>64</v>
      </c>
      <c r="J15" s="4" t="s">
        <v>22</v>
      </c>
      <c r="K15" s="3" t="s">
        <v>23</v>
      </c>
      <c r="L15" s="4" t="s">
        <v>24</v>
      </c>
      <c r="M15" s="3" t="s">
        <v>25</v>
      </c>
      <c r="N15" s="5" t="n">
        <v>46286</v>
      </c>
      <c r="O15" s="2" t="s">
        <v>30</v>
      </c>
    </row>
    <row r="16" customFormat="false" ht="23.85" hidden="false" customHeight="false" outlineLevel="0" collapsed="false">
      <c r="A16" s="2" t="s">
        <v>48</v>
      </c>
      <c r="B16" s="2"/>
      <c r="C16" s="2" t="s">
        <v>65</v>
      </c>
      <c r="D16" s="2" t="s">
        <v>36</v>
      </c>
      <c r="E16" s="2" t="s">
        <v>37</v>
      </c>
      <c r="F16" s="2" t="s">
        <v>50</v>
      </c>
      <c r="G16" s="2" t="s">
        <v>65</v>
      </c>
      <c r="H16" s="2" t="n">
        <v>52</v>
      </c>
      <c r="I16" s="4" t="s">
        <v>66</v>
      </c>
      <c r="J16" s="4" t="s">
        <v>22</v>
      </c>
      <c r="K16" s="3" t="s">
        <v>23</v>
      </c>
      <c r="L16" s="4" t="s">
        <v>24</v>
      </c>
      <c r="M16" s="3" t="s">
        <v>25</v>
      </c>
      <c r="N16" s="5" t="n">
        <v>46286</v>
      </c>
      <c r="O16" s="2" t="s">
        <v>30</v>
      </c>
    </row>
    <row r="17" customFormat="false" ht="23.85" hidden="false" customHeight="false" outlineLevel="0" collapsed="false">
      <c r="A17" s="2" t="s">
        <v>48</v>
      </c>
      <c r="B17" s="2"/>
      <c r="C17" s="2" t="s">
        <v>67</v>
      </c>
      <c r="D17" s="2" t="s">
        <v>36</v>
      </c>
      <c r="E17" s="2" t="s">
        <v>37</v>
      </c>
      <c r="F17" s="2" t="s">
        <v>50</v>
      </c>
      <c r="G17" s="2" t="s">
        <v>67</v>
      </c>
      <c r="H17" s="2" t="n">
        <v>98</v>
      </c>
      <c r="I17" s="4" t="s">
        <v>68</v>
      </c>
      <c r="J17" s="4" t="s">
        <v>22</v>
      </c>
      <c r="K17" s="3" t="s">
        <v>23</v>
      </c>
      <c r="L17" s="4" t="s">
        <v>24</v>
      </c>
      <c r="M17" s="3" t="s">
        <v>25</v>
      </c>
      <c r="N17" s="5" t="n">
        <v>46286</v>
      </c>
      <c r="O17" s="2" t="s">
        <v>30</v>
      </c>
    </row>
    <row r="18" customFormat="false" ht="23.85" hidden="false" customHeight="false" outlineLevel="0" collapsed="false">
      <c r="A18" s="2" t="s">
        <v>69</v>
      </c>
      <c r="B18" s="2"/>
      <c r="C18" s="2" t="s">
        <v>70</v>
      </c>
      <c r="D18" s="2" t="s">
        <v>57</v>
      </c>
      <c r="E18" s="2" t="s">
        <v>18</v>
      </c>
      <c r="F18" s="2" t="s">
        <v>50</v>
      </c>
      <c r="G18" s="2" t="s">
        <v>70</v>
      </c>
      <c r="H18" s="2" t="n">
        <v>14</v>
      </c>
      <c r="I18" s="4" t="s">
        <v>71</v>
      </c>
      <c r="J18" s="4" t="s">
        <v>22</v>
      </c>
      <c r="K18" s="3" t="s">
        <v>23</v>
      </c>
      <c r="L18" s="4" t="s">
        <v>24</v>
      </c>
      <c r="M18" s="3" t="s">
        <v>25</v>
      </c>
      <c r="N18" s="5" t="n">
        <v>46286</v>
      </c>
      <c r="O18" s="2" t="s">
        <v>30</v>
      </c>
    </row>
    <row r="19" customFormat="false" ht="23.85" hidden="false" customHeight="false" outlineLevel="0" collapsed="false">
      <c r="A19" s="2" t="s">
        <v>69</v>
      </c>
      <c r="B19" s="2"/>
      <c r="C19" s="2" t="s">
        <v>72</v>
      </c>
      <c r="D19" s="2" t="s">
        <v>73</v>
      </c>
      <c r="E19" s="2" t="s">
        <v>18</v>
      </c>
      <c r="F19" s="2" t="s">
        <v>50</v>
      </c>
      <c r="G19" s="2" t="s">
        <v>72</v>
      </c>
      <c r="H19" s="2" t="n">
        <v>41</v>
      </c>
      <c r="I19" s="4" t="s">
        <v>74</v>
      </c>
      <c r="J19" s="4" t="s">
        <v>22</v>
      </c>
      <c r="K19" s="3" t="s">
        <v>23</v>
      </c>
      <c r="L19" s="4" t="s">
        <v>24</v>
      </c>
      <c r="M19" s="3" t="s">
        <v>25</v>
      </c>
      <c r="N19" s="5" t="n">
        <v>46286</v>
      </c>
      <c r="O19" s="2" t="s">
        <v>30</v>
      </c>
    </row>
    <row r="20" customFormat="false" ht="23.85" hidden="false" customHeight="false" outlineLevel="0" collapsed="false">
      <c r="A20" s="2" t="s">
        <v>69</v>
      </c>
      <c r="B20" s="2"/>
      <c r="C20" s="2" t="s">
        <v>75</v>
      </c>
      <c r="D20" s="2" t="s">
        <v>73</v>
      </c>
      <c r="E20" s="2" t="s">
        <v>18</v>
      </c>
      <c r="F20" s="2" t="s">
        <v>50</v>
      </c>
      <c r="G20" s="2" t="s">
        <v>75</v>
      </c>
      <c r="H20" s="2" t="n">
        <v>53</v>
      </c>
      <c r="I20" s="4" t="s">
        <v>76</v>
      </c>
      <c r="J20" s="4" t="s">
        <v>22</v>
      </c>
      <c r="K20" s="3" t="s">
        <v>23</v>
      </c>
      <c r="L20" s="4" t="s">
        <v>24</v>
      </c>
      <c r="M20" s="3" t="s">
        <v>25</v>
      </c>
      <c r="N20" s="5" t="n">
        <v>46286</v>
      </c>
      <c r="O20" s="2" t="s">
        <v>30</v>
      </c>
    </row>
    <row r="21" customFormat="false" ht="23.85" hidden="false" customHeight="false" outlineLevel="0" collapsed="false">
      <c r="A21" s="2" t="s">
        <v>69</v>
      </c>
      <c r="B21" s="2"/>
      <c r="C21" s="2" t="s">
        <v>77</v>
      </c>
      <c r="D21" s="2" t="s">
        <v>36</v>
      </c>
      <c r="E21" s="2" t="s">
        <v>37</v>
      </c>
      <c r="F21" s="2" t="s">
        <v>50</v>
      </c>
      <c r="G21" s="2" t="s">
        <v>77</v>
      </c>
      <c r="H21" s="2" t="n">
        <v>60</v>
      </c>
      <c r="I21" s="4" t="s">
        <v>78</v>
      </c>
      <c r="J21" s="4" t="s">
        <v>22</v>
      </c>
      <c r="K21" s="3" t="s">
        <v>23</v>
      </c>
      <c r="L21" s="4" t="s">
        <v>24</v>
      </c>
      <c r="M21" s="3" t="s">
        <v>25</v>
      </c>
      <c r="N21" s="5" t="n">
        <v>46286</v>
      </c>
      <c r="O21" s="2" t="s">
        <v>30</v>
      </c>
    </row>
    <row r="22" customFormat="false" ht="23.85" hidden="false" customHeight="false" outlineLevel="0" collapsed="false">
      <c r="A22" s="2" t="s">
        <v>69</v>
      </c>
      <c r="B22" s="2"/>
      <c r="C22" s="2" t="s">
        <v>79</v>
      </c>
      <c r="D22" s="2" t="s">
        <v>80</v>
      </c>
      <c r="E22" s="2" t="s">
        <v>18</v>
      </c>
      <c r="F22" s="2" t="s">
        <v>50</v>
      </c>
      <c r="G22" s="2" t="s">
        <v>79</v>
      </c>
      <c r="H22" s="2" t="n">
        <v>80</v>
      </c>
      <c r="I22" s="4" t="s">
        <v>81</v>
      </c>
      <c r="J22" s="4" t="s">
        <v>22</v>
      </c>
      <c r="K22" s="3" t="s">
        <v>23</v>
      </c>
      <c r="L22" s="4" t="s">
        <v>24</v>
      </c>
      <c r="M22" s="3" t="s">
        <v>25</v>
      </c>
      <c r="N22" s="5" t="n">
        <v>46286</v>
      </c>
      <c r="O22" s="2" t="s">
        <v>30</v>
      </c>
    </row>
    <row r="23" customFormat="false" ht="23.85" hidden="false" customHeight="false" outlineLevel="0" collapsed="false">
      <c r="A23" s="2" t="s">
        <v>82</v>
      </c>
      <c r="B23" s="2"/>
      <c r="C23" s="2" t="s">
        <v>83</v>
      </c>
      <c r="D23" s="2" t="s">
        <v>28</v>
      </c>
      <c r="E23" s="2" t="s">
        <v>18</v>
      </c>
      <c r="F23" s="2" t="s">
        <v>19</v>
      </c>
      <c r="G23" s="2" t="s">
        <v>83</v>
      </c>
      <c r="H23" s="2" t="n">
        <v>5</v>
      </c>
      <c r="I23" s="4" t="s">
        <v>84</v>
      </c>
      <c r="J23" s="4" t="s">
        <v>22</v>
      </c>
      <c r="K23" s="3" t="s">
        <v>23</v>
      </c>
      <c r="L23" s="4" t="s">
        <v>24</v>
      </c>
      <c r="M23" s="3" t="s">
        <v>25</v>
      </c>
      <c r="N23" s="5" t="n">
        <v>46286</v>
      </c>
      <c r="O23" s="2" t="s">
        <v>30</v>
      </c>
    </row>
    <row r="24" customFormat="false" ht="23.85" hidden="false" customHeight="false" outlineLevel="0" collapsed="false">
      <c r="A24" s="2" t="s">
        <v>82</v>
      </c>
      <c r="B24" s="2"/>
      <c r="C24" s="2" t="s">
        <v>85</v>
      </c>
      <c r="D24" s="2" t="s">
        <v>57</v>
      </c>
      <c r="E24" s="2" t="s">
        <v>40</v>
      </c>
      <c r="F24" s="2" t="s">
        <v>19</v>
      </c>
      <c r="G24" s="2" t="s">
        <v>85</v>
      </c>
      <c r="H24" s="2" t="n">
        <v>20</v>
      </c>
      <c r="I24" s="3" t="s">
        <v>51</v>
      </c>
      <c r="J24" s="4" t="s">
        <v>22</v>
      </c>
      <c r="K24" s="3" t="s">
        <v>23</v>
      </c>
      <c r="L24" s="4" t="s">
        <v>24</v>
      </c>
      <c r="M24" s="3" t="s">
        <v>25</v>
      </c>
      <c r="N24" s="5" t="n">
        <v>46286</v>
      </c>
      <c r="O24" s="2" t="s">
        <v>30</v>
      </c>
    </row>
    <row r="25" customFormat="false" ht="23.85" hidden="false" customHeight="false" outlineLevel="0" collapsed="false">
      <c r="A25" s="2" t="s">
        <v>82</v>
      </c>
      <c r="B25" s="2"/>
      <c r="C25" s="2" t="s">
        <v>86</v>
      </c>
      <c r="D25" s="2" t="s">
        <v>28</v>
      </c>
      <c r="E25" s="2" t="s">
        <v>18</v>
      </c>
      <c r="F25" s="2" t="s">
        <v>19</v>
      </c>
      <c r="G25" s="2" t="s">
        <v>86</v>
      </c>
      <c r="H25" s="2" t="n">
        <v>59</v>
      </c>
      <c r="I25" s="4" t="s">
        <v>87</v>
      </c>
      <c r="J25" s="4" t="s">
        <v>22</v>
      </c>
      <c r="K25" s="3" t="s">
        <v>23</v>
      </c>
      <c r="L25" s="4" t="s">
        <v>24</v>
      </c>
      <c r="M25" s="3" t="s">
        <v>25</v>
      </c>
      <c r="N25" s="5" t="n">
        <v>46286</v>
      </c>
      <c r="O25" s="2" t="s">
        <v>30</v>
      </c>
    </row>
    <row r="26" customFormat="false" ht="23.85" hidden="false" customHeight="false" outlineLevel="0" collapsed="false">
      <c r="A26" s="2" t="s">
        <v>82</v>
      </c>
      <c r="B26" s="2"/>
      <c r="C26" s="2" t="s">
        <v>88</v>
      </c>
      <c r="D26" s="2" t="s">
        <v>80</v>
      </c>
      <c r="E26" s="2" t="s">
        <v>18</v>
      </c>
      <c r="F26" s="2" t="s">
        <v>19</v>
      </c>
      <c r="G26" s="2" t="s">
        <v>88</v>
      </c>
      <c r="H26" s="2" t="n">
        <v>76</v>
      </c>
      <c r="I26" s="4" t="s">
        <v>89</v>
      </c>
      <c r="J26" s="4" t="s">
        <v>22</v>
      </c>
      <c r="K26" s="3" t="s">
        <v>23</v>
      </c>
      <c r="L26" s="4" t="s">
        <v>24</v>
      </c>
      <c r="M26" s="3" t="s">
        <v>25</v>
      </c>
      <c r="N26" s="5" t="n">
        <v>46286</v>
      </c>
      <c r="O26" s="2" t="s">
        <v>30</v>
      </c>
    </row>
    <row r="27" customFormat="false" ht="23.85" hidden="false" customHeight="false" outlineLevel="0" collapsed="false">
      <c r="A27" s="2" t="s">
        <v>82</v>
      </c>
      <c r="B27" s="2"/>
      <c r="C27" s="2" t="s">
        <v>90</v>
      </c>
      <c r="D27" s="2" t="s">
        <v>28</v>
      </c>
      <c r="E27" s="2" t="s">
        <v>18</v>
      </c>
      <c r="F27" s="2" t="s">
        <v>19</v>
      </c>
      <c r="G27" s="2" t="s">
        <v>90</v>
      </c>
      <c r="H27" s="2" t="n">
        <v>91</v>
      </c>
      <c r="I27" s="4" t="s">
        <v>91</v>
      </c>
      <c r="J27" s="4" t="s">
        <v>22</v>
      </c>
      <c r="K27" s="3" t="s">
        <v>23</v>
      </c>
      <c r="L27" s="4" t="s">
        <v>24</v>
      </c>
      <c r="M27" s="3" t="s">
        <v>25</v>
      </c>
      <c r="N27" s="5" t="n">
        <v>46286</v>
      </c>
      <c r="O27" s="2" t="s">
        <v>30</v>
      </c>
    </row>
    <row r="28" customFormat="false" ht="23.85" hidden="false" customHeight="false" outlineLevel="0" collapsed="false">
      <c r="A28" s="2" t="s">
        <v>92</v>
      </c>
      <c r="B28" s="2"/>
      <c r="C28" s="2" t="s">
        <v>93</v>
      </c>
      <c r="D28" s="2" t="s">
        <v>28</v>
      </c>
      <c r="E28" s="2" t="s">
        <v>18</v>
      </c>
      <c r="F28" s="2" t="s">
        <v>94</v>
      </c>
      <c r="G28" s="2" t="s">
        <v>93</v>
      </c>
      <c r="H28" s="2" t="n">
        <v>48</v>
      </c>
      <c r="I28" s="4" t="s">
        <v>95</v>
      </c>
      <c r="J28" s="4" t="s">
        <v>22</v>
      </c>
      <c r="K28" s="3" t="s">
        <v>23</v>
      </c>
      <c r="L28" s="4" t="s">
        <v>24</v>
      </c>
      <c r="M28" s="3" t="s">
        <v>25</v>
      </c>
      <c r="N28" s="5" t="n">
        <v>46286</v>
      </c>
      <c r="O28" s="2" t="s">
        <v>30</v>
      </c>
    </row>
    <row r="29" customFormat="false" ht="23.85" hidden="false" customHeight="false" outlineLevel="0" collapsed="false">
      <c r="A29" s="2" t="s">
        <v>92</v>
      </c>
      <c r="B29" s="2"/>
      <c r="C29" s="2" t="s">
        <v>96</v>
      </c>
      <c r="D29" s="2" t="s">
        <v>57</v>
      </c>
      <c r="E29" s="2" t="s">
        <v>18</v>
      </c>
      <c r="F29" s="2" t="s">
        <v>94</v>
      </c>
      <c r="G29" s="2" t="s">
        <v>96</v>
      </c>
      <c r="H29" s="2" t="n">
        <v>64</v>
      </c>
      <c r="I29" s="4" t="s">
        <v>97</v>
      </c>
      <c r="J29" s="4" t="s">
        <v>22</v>
      </c>
      <c r="K29" s="3" t="s">
        <v>23</v>
      </c>
      <c r="L29" s="4" t="s">
        <v>24</v>
      </c>
      <c r="M29" s="3" t="s">
        <v>25</v>
      </c>
      <c r="N29" s="5" t="n">
        <v>46286</v>
      </c>
      <c r="O29" s="2" t="s">
        <v>30</v>
      </c>
    </row>
    <row r="30" customFormat="false" ht="23.85" hidden="false" customHeight="false" outlineLevel="0" collapsed="false">
      <c r="A30" s="2" t="s">
        <v>98</v>
      </c>
      <c r="B30" s="2"/>
      <c r="C30" s="2" t="s">
        <v>99</v>
      </c>
      <c r="D30" s="2" t="s">
        <v>36</v>
      </c>
      <c r="E30" s="2" t="s">
        <v>100</v>
      </c>
      <c r="F30" s="2" t="s">
        <v>101</v>
      </c>
      <c r="G30" s="2" t="s">
        <v>99</v>
      </c>
      <c r="H30" s="2" t="n">
        <v>26</v>
      </c>
      <c r="I30" s="3" t="s">
        <v>51</v>
      </c>
      <c r="J30" s="4" t="s">
        <v>22</v>
      </c>
      <c r="K30" s="3" t="s">
        <v>23</v>
      </c>
      <c r="L30" s="4" t="s">
        <v>24</v>
      </c>
      <c r="M30" s="3" t="s">
        <v>25</v>
      </c>
      <c r="N30" s="5" t="n">
        <v>46286</v>
      </c>
      <c r="O30" s="2" t="s">
        <v>30</v>
      </c>
    </row>
    <row r="31" customFormat="false" ht="23.85" hidden="false" customHeight="false" outlineLevel="0" collapsed="false">
      <c r="A31" s="2" t="s">
        <v>98</v>
      </c>
      <c r="B31" s="2"/>
      <c r="C31" s="2" t="s">
        <v>102</v>
      </c>
      <c r="D31" s="2" t="s">
        <v>36</v>
      </c>
      <c r="E31" s="2" t="s">
        <v>58</v>
      </c>
      <c r="F31" s="2" t="s">
        <v>101</v>
      </c>
      <c r="G31" s="2" t="s">
        <v>102</v>
      </c>
      <c r="H31" s="2" t="n">
        <v>27</v>
      </c>
      <c r="I31" s="4" t="s">
        <v>103</v>
      </c>
      <c r="J31" s="4" t="s">
        <v>22</v>
      </c>
      <c r="K31" s="3" t="s">
        <v>23</v>
      </c>
      <c r="L31" s="4" t="s">
        <v>24</v>
      </c>
      <c r="M31" s="3" t="s">
        <v>25</v>
      </c>
      <c r="N31" s="5" t="n">
        <v>46286</v>
      </c>
      <c r="O31" s="2" t="s">
        <v>30</v>
      </c>
    </row>
    <row r="32" customFormat="false" ht="23.85" hidden="false" customHeight="false" outlineLevel="0" collapsed="false">
      <c r="A32" s="2" t="s">
        <v>98</v>
      </c>
      <c r="B32" s="2"/>
      <c r="C32" s="2" t="s">
        <v>104</v>
      </c>
      <c r="D32" s="2" t="s">
        <v>28</v>
      </c>
      <c r="E32" s="2" t="s">
        <v>18</v>
      </c>
      <c r="F32" s="2" t="s">
        <v>101</v>
      </c>
      <c r="G32" s="2" t="s">
        <v>104</v>
      </c>
      <c r="H32" s="2" t="n">
        <v>66</v>
      </c>
      <c r="I32" s="4" t="s">
        <v>105</v>
      </c>
      <c r="J32" s="4" t="s">
        <v>22</v>
      </c>
      <c r="K32" s="3" t="s">
        <v>23</v>
      </c>
      <c r="L32" s="4" t="s">
        <v>24</v>
      </c>
      <c r="M32" s="3" t="s">
        <v>25</v>
      </c>
      <c r="N32" s="5" t="n">
        <v>46286</v>
      </c>
      <c r="O32" s="2" t="s">
        <v>30</v>
      </c>
    </row>
    <row r="33" customFormat="false" ht="23.85" hidden="false" customHeight="false" outlineLevel="0" collapsed="false">
      <c r="A33" s="2" t="s">
        <v>106</v>
      </c>
      <c r="B33" s="2"/>
      <c r="C33" s="2" t="s">
        <v>107</v>
      </c>
      <c r="D33" s="2" t="s">
        <v>80</v>
      </c>
      <c r="E33" s="2" t="s">
        <v>18</v>
      </c>
      <c r="F33" s="2" t="s">
        <v>50</v>
      </c>
      <c r="G33" s="2" t="s">
        <v>107</v>
      </c>
      <c r="H33" s="2" t="n">
        <v>6</v>
      </c>
      <c r="I33" s="4" t="s">
        <v>108</v>
      </c>
      <c r="J33" s="4" t="s">
        <v>22</v>
      </c>
      <c r="K33" s="3" t="s">
        <v>23</v>
      </c>
      <c r="L33" s="4" t="s">
        <v>24</v>
      </c>
      <c r="M33" s="3" t="s">
        <v>25</v>
      </c>
      <c r="N33" s="5" t="n">
        <v>46286</v>
      </c>
      <c r="O33" s="2" t="s">
        <v>30</v>
      </c>
    </row>
    <row r="34" customFormat="false" ht="23.85" hidden="false" customHeight="false" outlineLevel="0" collapsed="false">
      <c r="A34" s="2" t="s">
        <v>106</v>
      </c>
      <c r="B34" s="2"/>
      <c r="C34" s="2" t="s">
        <v>109</v>
      </c>
      <c r="D34" s="2" t="s">
        <v>17</v>
      </c>
      <c r="E34" s="2" t="s">
        <v>18</v>
      </c>
      <c r="F34" s="2" t="s">
        <v>50</v>
      </c>
      <c r="G34" s="2" t="s">
        <v>109</v>
      </c>
      <c r="H34" s="2" t="n">
        <v>46</v>
      </c>
      <c r="I34" s="3" t="s">
        <v>51</v>
      </c>
      <c r="J34" s="4" t="s">
        <v>22</v>
      </c>
      <c r="K34" s="3" t="s">
        <v>23</v>
      </c>
      <c r="L34" s="4" t="s">
        <v>24</v>
      </c>
      <c r="M34" s="3" t="s">
        <v>25</v>
      </c>
      <c r="N34" s="5" t="n">
        <v>46286</v>
      </c>
      <c r="O34" s="2" t="s">
        <v>30</v>
      </c>
    </row>
    <row r="35" customFormat="false" ht="23.85" hidden="false" customHeight="false" outlineLevel="0" collapsed="false">
      <c r="A35" s="2" t="s">
        <v>106</v>
      </c>
      <c r="B35" s="2"/>
      <c r="C35" s="2" t="s">
        <v>110</v>
      </c>
      <c r="D35" s="2" t="s">
        <v>73</v>
      </c>
      <c r="E35" s="2" t="s">
        <v>18</v>
      </c>
      <c r="F35" s="2" t="s">
        <v>50</v>
      </c>
      <c r="G35" s="2" t="s">
        <v>110</v>
      </c>
      <c r="H35" s="2" t="n">
        <v>74</v>
      </c>
      <c r="I35" s="4" t="s">
        <v>111</v>
      </c>
      <c r="J35" s="4" t="s">
        <v>22</v>
      </c>
      <c r="K35" s="3" t="s">
        <v>23</v>
      </c>
      <c r="L35" s="4" t="s">
        <v>24</v>
      </c>
      <c r="M35" s="3" t="s">
        <v>25</v>
      </c>
      <c r="N35" s="5" t="n">
        <v>46286</v>
      </c>
      <c r="O35" s="2" t="s">
        <v>30</v>
      </c>
    </row>
    <row r="36" customFormat="false" ht="23.85" hidden="false" customHeight="false" outlineLevel="0" collapsed="false">
      <c r="A36" s="2" t="s">
        <v>106</v>
      </c>
      <c r="B36" s="2"/>
      <c r="C36" s="2" t="s">
        <v>112</v>
      </c>
      <c r="D36" s="2" t="s">
        <v>28</v>
      </c>
      <c r="E36" s="2" t="s">
        <v>18</v>
      </c>
      <c r="F36" s="2" t="s">
        <v>50</v>
      </c>
      <c r="G36" s="2" t="s">
        <v>112</v>
      </c>
      <c r="H36" s="2" t="n">
        <v>75</v>
      </c>
      <c r="I36" s="3" t="s">
        <v>51</v>
      </c>
      <c r="J36" s="4" t="s">
        <v>22</v>
      </c>
      <c r="K36" s="3" t="s">
        <v>23</v>
      </c>
      <c r="L36" s="4" t="s">
        <v>24</v>
      </c>
      <c r="M36" s="3" t="s">
        <v>25</v>
      </c>
      <c r="N36" s="5" t="n">
        <v>46286</v>
      </c>
      <c r="O36" s="2" t="s">
        <v>30</v>
      </c>
    </row>
    <row r="37" customFormat="false" ht="23.85" hidden="false" customHeight="false" outlineLevel="0" collapsed="false">
      <c r="A37" s="2" t="s">
        <v>113</v>
      </c>
      <c r="B37" s="2"/>
      <c r="C37" s="2" t="s">
        <v>114</v>
      </c>
      <c r="D37" s="2" t="s">
        <v>28</v>
      </c>
      <c r="E37" s="2" t="s">
        <v>18</v>
      </c>
      <c r="F37" s="2" t="s">
        <v>101</v>
      </c>
      <c r="G37" s="2" t="s">
        <v>114</v>
      </c>
      <c r="H37" s="2" t="n">
        <v>81</v>
      </c>
      <c r="I37" s="4" t="s">
        <v>115</v>
      </c>
      <c r="J37" s="4" t="s">
        <v>22</v>
      </c>
      <c r="K37" s="3" t="s">
        <v>23</v>
      </c>
      <c r="L37" s="4" t="s">
        <v>24</v>
      </c>
      <c r="M37" s="3" t="s">
        <v>25</v>
      </c>
      <c r="N37" s="5" t="n">
        <v>46286</v>
      </c>
      <c r="O37" s="2" t="s">
        <v>30</v>
      </c>
    </row>
    <row r="38" customFormat="false" ht="23.85" hidden="false" customHeight="false" outlineLevel="0" collapsed="false">
      <c r="A38" s="2" t="s">
        <v>116</v>
      </c>
      <c r="B38" s="2" t="s">
        <v>117</v>
      </c>
      <c r="C38" s="2" t="s">
        <v>118</v>
      </c>
      <c r="D38" s="2" t="s">
        <v>28</v>
      </c>
      <c r="E38" s="2" t="s">
        <v>37</v>
      </c>
      <c r="F38" s="2" t="s">
        <v>19</v>
      </c>
      <c r="G38" s="2" t="s">
        <v>119</v>
      </c>
      <c r="H38" s="2" t="n">
        <v>63</v>
      </c>
      <c r="I38" s="4" t="s">
        <v>120</v>
      </c>
      <c r="J38" s="4" t="s">
        <v>22</v>
      </c>
      <c r="K38" s="3" t="s">
        <v>23</v>
      </c>
      <c r="L38" s="4" t="s">
        <v>24</v>
      </c>
      <c r="M38" s="3" t="s">
        <v>25</v>
      </c>
      <c r="N38" s="5" t="n">
        <v>46286</v>
      </c>
      <c r="O38" s="2" t="s">
        <v>121</v>
      </c>
    </row>
    <row r="39" customFormat="false" ht="23.85" hidden="false" customHeight="false" outlineLevel="0" collapsed="false">
      <c r="A39" s="2" t="s">
        <v>116</v>
      </c>
      <c r="B39" s="2" t="s">
        <v>122</v>
      </c>
      <c r="C39" s="2" t="s">
        <v>123</v>
      </c>
      <c r="D39" s="2" t="s">
        <v>36</v>
      </c>
      <c r="E39" s="2" t="s">
        <v>43</v>
      </c>
      <c r="F39" s="2" t="s">
        <v>19</v>
      </c>
      <c r="G39" s="2" t="s">
        <v>124</v>
      </c>
      <c r="H39" s="2" t="n">
        <v>99</v>
      </c>
      <c r="I39" s="4" t="s">
        <v>125</v>
      </c>
      <c r="J39" s="4" t="s">
        <v>22</v>
      </c>
      <c r="K39" s="3" t="s">
        <v>23</v>
      </c>
      <c r="L39" s="4" t="s">
        <v>24</v>
      </c>
      <c r="M39" s="3" t="s">
        <v>25</v>
      </c>
      <c r="N39" s="5" t="n">
        <v>46286</v>
      </c>
      <c r="O39" s="2"/>
    </row>
    <row r="40" customFormat="false" ht="23.85" hidden="false" customHeight="false" outlineLevel="0" collapsed="false">
      <c r="A40" s="2" t="s">
        <v>116</v>
      </c>
      <c r="B40" s="2" t="s">
        <v>92</v>
      </c>
      <c r="C40" s="2" t="s">
        <v>126</v>
      </c>
      <c r="D40" s="2" t="s">
        <v>28</v>
      </c>
      <c r="E40" s="2" t="s">
        <v>18</v>
      </c>
      <c r="F40" s="2" t="s">
        <v>19</v>
      </c>
      <c r="G40" s="2" t="s">
        <v>126</v>
      </c>
      <c r="H40" s="2" t="n">
        <v>18</v>
      </c>
      <c r="I40" s="4" t="s">
        <v>127</v>
      </c>
      <c r="J40" s="4" t="s">
        <v>22</v>
      </c>
      <c r="K40" s="3" t="s">
        <v>23</v>
      </c>
      <c r="L40" s="4" t="s">
        <v>24</v>
      </c>
      <c r="M40" s="3" t="s">
        <v>25</v>
      </c>
      <c r="N40" s="5" t="n">
        <v>46286</v>
      </c>
      <c r="O40" s="2"/>
    </row>
    <row r="41" customFormat="false" ht="23.85" hidden="false" customHeight="false" outlineLevel="0" collapsed="false">
      <c r="A41" s="2" t="s">
        <v>116</v>
      </c>
      <c r="B41" s="2" t="s">
        <v>128</v>
      </c>
      <c r="C41" s="2" t="s">
        <v>129</v>
      </c>
      <c r="D41" s="2" t="s">
        <v>28</v>
      </c>
      <c r="E41" s="2" t="s">
        <v>18</v>
      </c>
      <c r="F41" s="2" t="s">
        <v>19</v>
      </c>
      <c r="G41" s="2" t="s">
        <v>129</v>
      </c>
      <c r="H41" s="2" t="n">
        <v>31</v>
      </c>
      <c r="I41" s="4" t="s">
        <v>130</v>
      </c>
      <c r="J41" s="4" t="s">
        <v>22</v>
      </c>
      <c r="K41" s="3" t="s">
        <v>23</v>
      </c>
      <c r="L41" s="4" t="s">
        <v>24</v>
      </c>
      <c r="M41" s="3" t="s">
        <v>25</v>
      </c>
      <c r="N41" s="5" t="n">
        <v>46286</v>
      </c>
      <c r="O41" s="2"/>
    </row>
    <row r="42" customFormat="false" ht="23.85" hidden="false" customHeight="false" outlineLevel="0" collapsed="false">
      <c r="A42" s="2" t="s">
        <v>116</v>
      </c>
      <c r="B42" s="2" t="s">
        <v>131</v>
      </c>
      <c r="C42" s="2" t="s">
        <v>132</v>
      </c>
      <c r="D42" s="2" t="s">
        <v>80</v>
      </c>
      <c r="E42" s="2" t="s">
        <v>18</v>
      </c>
      <c r="F42" s="2" t="s">
        <v>19</v>
      </c>
      <c r="G42" s="2" t="s">
        <v>132</v>
      </c>
      <c r="H42" s="2" t="n">
        <v>65</v>
      </c>
      <c r="I42" s="4" t="s">
        <v>133</v>
      </c>
      <c r="J42" s="4" t="s">
        <v>22</v>
      </c>
      <c r="K42" s="3" t="s">
        <v>23</v>
      </c>
      <c r="L42" s="4" t="s">
        <v>24</v>
      </c>
      <c r="M42" s="3" t="s">
        <v>25</v>
      </c>
      <c r="N42" s="5" t="n">
        <v>46286</v>
      </c>
      <c r="O42" s="2"/>
    </row>
    <row r="43" customFormat="false" ht="23.85" hidden="false" customHeight="false" outlineLevel="0" collapsed="false">
      <c r="A43" s="2" t="s">
        <v>116</v>
      </c>
      <c r="B43" s="2" t="s">
        <v>134</v>
      </c>
      <c r="C43" s="2" t="s">
        <v>135</v>
      </c>
      <c r="D43" s="2" t="s">
        <v>36</v>
      </c>
      <c r="E43" s="2" t="s">
        <v>40</v>
      </c>
      <c r="F43" s="2" t="s">
        <v>19</v>
      </c>
      <c r="G43" s="2" t="s">
        <v>136</v>
      </c>
      <c r="H43" s="2" t="n">
        <v>90</v>
      </c>
      <c r="I43" s="4" t="s">
        <v>137</v>
      </c>
      <c r="J43" s="4" t="s">
        <v>22</v>
      </c>
      <c r="K43" s="3" t="s">
        <v>23</v>
      </c>
      <c r="L43" s="4" t="s">
        <v>24</v>
      </c>
      <c r="M43" s="3" t="s">
        <v>25</v>
      </c>
      <c r="N43" s="5" t="n">
        <v>46286</v>
      </c>
      <c r="O43" s="2"/>
    </row>
    <row r="44" customFormat="false" ht="23.85" hidden="false" customHeight="false" outlineLevel="0" collapsed="false">
      <c r="A44" s="2" t="s">
        <v>138</v>
      </c>
      <c r="B44" s="2" t="s">
        <v>139</v>
      </c>
      <c r="C44" s="2" t="s">
        <v>140</v>
      </c>
      <c r="D44" s="2" t="s">
        <v>28</v>
      </c>
      <c r="E44" s="2" t="s">
        <v>18</v>
      </c>
      <c r="F44" s="2" t="s">
        <v>141</v>
      </c>
      <c r="G44" s="2" t="s">
        <v>140</v>
      </c>
      <c r="H44" s="2" t="n">
        <v>38</v>
      </c>
      <c r="I44" s="4" t="s">
        <v>142</v>
      </c>
      <c r="J44" s="4" t="s">
        <v>22</v>
      </c>
      <c r="K44" s="3" t="s">
        <v>23</v>
      </c>
      <c r="L44" s="4" t="s">
        <v>24</v>
      </c>
      <c r="M44" s="3" t="s">
        <v>25</v>
      </c>
      <c r="N44" s="5" t="n">
        <v>46286</v>
      </c>
      <c r="O44" s="2"/>
    </row>
    <row r="45" customFormat="false" ht="23.85" hidden="false" customHeight="false" outlineLevel="0" collapsed="false">
      <c r="A45" s="2" t="s">
        <v>138</v>
      </c>
      <c r="B45" s="2" t="s">
        <v>139</v>
      </c>
      <c r="C45" s="2" t="s">
        <v>143</v>
      </c>
      <c r="D45" s="2" t="s">
        <v>28</v>
      </c>
      <c r="E45" s="2" t="s">
        <v>18</v>
      </c>
      <c r="F45" s="2" t="s">
        <v>141</v>
      </c>
      <c r="G45" s="2" t="s">
        <v>143</v>
      </c>
      <c r="H45" s="2" t="n">
        <v>100</v>
      </c>
      <c r="I45" s="4" t="s">
        <v>144</v>
      </c>
      <c r="J45" s="4" t="s">
        <v>22</v>
      </c>
      <c r="K45" s="3" t="s">
        <v>23</v>
      </c>
      <c r="L45" s="4" t="s">
        <v>24</v>
      </c>
      <c r="M45" s="3" t="s">
        <v>25</v>
      </c>
      <c r="N45" s="5" t="n">
        <v>46286</v>
      </c>
      <c r="O45" s="2"/>
    </row>
    <row r="46" customFormat="false" ht="23.85" hidden="false" customHeight="false" outlineLevel="0" collapsed="false">
      <c r="A46" s="2" t="s">
        <v>138</v>
      </c>
      <c r="B46" s="2" t="s">
        <v>145</v>
      </c>
      <c r="C46" s="2" t="s">
        <v>146</v>
      </c>
      <c r="D46" s="2" t="s">
        <v>28</v>
      </c>
      <c r="E46" s="2" t="s">
        <v>18</v>
      </c>
      <c r="F46" s="2" t="s">
        <v>141</v>
      </c>
      <c r="G46" s="2" t="s">
        <v>146</v>
      </c>
      <c r="H46" s="2" t="n">
        <v>88</v>
      </c>
      <c r="I46" s="4" t="s">
        <v>147</v>
      </c>
      <c r="J46" s="4" t="s">
        <v>22</v>
      </c>
      <c r="K46" s="3" t="s">
        <v>23</v>
      </c>
      <c r="L46" s="4" t="s">
        <v>24</v>
      </c>
      <c r="M46" s="3" t="s">
        <v>25</v>
      </c>
      <c r="N46" s="5" t="n">
        <v>46286</v>
      </c>
      <c r="O46" s="2"/>
    </row>
    <row r="47" customFormat="false" ht="23.85" hidden="false" customHeight="false" outlineLevel="0" collapsed="false">
      <c r="A47" s="2" t="s">
        <v>138</v>
      </c>
      <c r="B47" s="2" t="s">
        <v>148</v>
      </c>
      <c r="C47" s="2" t="s">
        <v>149</v>
      </c>
      <c r="D47" s="2" t="s">
        <v>28</v>
      </c>
      <c r="E47" s="2" t="s">
        <v>18</v>
      </c>
      <c r="F47" s="2" t="s">
        <v>141</v>
      </c>
      <c r="G47" s="2" t="s">
        <v>149</v>
      </c>
      <c r="H47" s="2" t="n">
        <v>40</v>
      </c>
      <c r="I47" s="4" t="s">
        <v>150</v>
      </c>
      <c r="J47" s="4" t="s">
        <v>22</v>
      </c>
      <c r="K47" s="3" t="s">
        <v>23</v>
      </c>
      <c r="L47" s="4" t="s">
        <v>24</v>
      </c>
      <c r="M47" s="3" t="s">
        <v>25</v>
      </c>
      <c r="N47" s="5" t="n">
        <v>46286</v>
      </c>
      <c r="O47" s="2"/>
    </row>
    <row r="48" customFormat="false" ht="23.85" hidden="false" customHeight="false" outlineLevel="0" collapsed="false">
      <c r="A48" s="2" t="s">
        <v>138</v>
      </c>
      <c r="B48" s="2" t="s">
        <v>151</v>
      </c>
      <c r="C48" s="2" t="s">
        <v>152</v>
      </c>
      <c r="D48" s="2" t="s">
        <v>36</v>
      </c>
      <c r="E48" s="2" t="s">
        <v>40</v>
      </c>
      <c r="F48" s="2" t="s">
        <v>141</v>
      </c>
      <c r="G48" s="2" t="s">
        <v>153</v>
      </c>
      <c r="H48" s="2" t="n">
        <v>15</v>
      </c>
      <c r="I48" s="4" t="s">
        <v>154</v>
      </c>
      <c r="J48" s="4" t="s">
        <v>22</v>
      </c>
      <c r="K48" s="3" t="s">
        <v>23</v>
      </c>
      <c r="L48" s="4" t="s">
        <v>24</v>
      </c>
      <c r="M48" s="3" t="s">
        <v>25</v>
      </c>
      <c r="N48" s="5" t="n">
        <v>46286</v>
      </c>
      <c r="O48" s="2"/>
    </row>
    <row r="49" customFormat="false" ht="23.85" hidden="false" customHeight="false" outlineLevel="0" collapsed="false">
      <c r="A49" s="2" t="s">
        <v>138</v>
      </c>
      <c r="B49" s="2" t="s">
        <v>155</v>
      </c>
      <c r="C49" s="2" t="s">
        <v>156</v>
      </c>
      <c r="D49" s="2" t="s">
        <v>80</v>
      </c>
      <c r="E49" s="2" t="s">
        <v>18</v>
      </c>
      <c r="F49" s="2" t="s">
        <v>141</v>
      </c>
      <c r="G49" s="2" t="s">
        <v>156</v>
      </c>
      <c r="H49" s="2" t="n">
        <v>50</v>
      </c>
      <c r="I49" s="4" t="s">
        <v>157</v>
      </c>
      <c r="J49" s="4" t="s">
        <v>22</v>
      </c>
      <c r="K49" s="3" t="s">
        <v>23</v>
      </c>
      <c r="L49" s="4" t="s">
        <v>24</v>
      </c>
      <c r="M49" s="3" t="s">
        <v>25</v>
      </c>
      <c r="N49" s="5" t="n">
        <v>46286</v>
      </c>
      <c r="O49" s="2"/>
    </row>
    <row r="50" customFormat="false" ht="23.85" hidden="false" customHeight="false" outlineLevel="0" collapsed="false">
      <c r="A50" s="2" t="s">
        <v>138</v>
      </c>
      <c r="B50" s="2" t="s">
        <v>155</v>
      </c>
      <c r="C50" s="2" t="s">
        <v>158</v>
      </c>
      <c r="D50" s="2" t="s">
        <v>36</v>
      </c>
      <c r="E50" s="2" t="s">
        <v>40</v>
      </c>
      <c r="F50" s="2" t="s">
        <v>141</v>
      </c>
      <c r="G50" s="2" t="s">
        <v>158</v>
      </c>
      <c r="H50" s="2" t="n">
        <v>89</v>
      </c>
      <c r="I50" s="4" t="s">
        <v>159</v>
      </c>
      <c r="J50" s="4" t="s">
        <v>22</v>
      </c>
      <c r="K50" s="3" t="s">
        <v>23</v>
      </c>
      <c r="L50" s="4" t="s">
        <v>24</v>
      </c>
      <c r="M50" s="3" t="s">
        <v>25</v>
      </c>
      <c r="N50" s="5" t="n">
        <v>46286</v>
      </c>
      <c r="O50" s="2"/>
    </row>
    <row r="51" customFormat="false" ht="23.85" hidden="false" customHeight="false" outlineLevel="0" collapsed="false">
      <c r="A51" s="2" t="s">
        <v>160</v>
      </c>
      <c r="B51" s="2" t="s">
        <v>161</v>
      </c>
      <c r="C51" s="2" t="s">
        <v>162</v>
      </c>
      <c r="D51" s="2" t="s">
        <v>57</v>
      </c>
      <c r="E51" s="2" t="s">
        <v>18</v>
      </c>
      <c r="F51" s="2" t="s">
        <v>101</v>
      </c>
      <c r="G51" s="2" t="s">
        <v>162</v>
      </c>
      <c r="H51" s="2" t="n">
        <v>22</v>
      </c>
      <c r="I51" s="3" t="s">
        <v>51</v>
      </c>
      <c r="J51" s="4" t="s">
        <v>22</v>
      </c>
      <c r="K51" s="3" t="s">
        <v>23</v>
      </c>
      <c r="L51" s="4" t="s">
        <v>24</v>
      </c>
      <c r="M51" s="3" t="s">
        <v>25</v>
      </c>
      <c r="N51" s="5" t="n">
        <v>46286</v>
      </c>
      <c r="O51" s="2"/>
    </row>
    <row r="52" customFormat="false" ht="23.85" hidden="false" customHeight="false" outlineLevel="0" collapsed="false">
      <c r="A52" s="2" t="s">
        <v>160</v>
      </c>
      <c r="B52" s="2" t="s">
        <v>161</v>
      </c>
      <c r="C52" s="2" t="s">
        <v>163</v>
      </c>
      <c r="D52" s="2" t="s">
        <v>28</v>
      </c>
      <c r="E52" s="2" t="s">
        <v>18</v>
      </c>
      <c r="F52" s="2" t="s">
        <v>101</v>
      </c>
      <c r="G52" s="2" t="s">
        <v>163</v>
      </c>
      <c r="H52" s="2" t="n">
        <v>23</v>
      </c>
      <c r="I52" s="4" t="s">
        <v>164</v>
      </c>
      <c r="J52" s="4" t="s">
        <v>22</v>
      </c>
      <c r="K52" s="3" t="s">
        <v>23</v>
      </c>
      <c r="L52" s="4" t="s">
        <v>24</v>
      </c>
      <c r="M52" s="3" t="s">
        <v>25</v>
      </c>
      <c r="N52" s="5" t="n">
        <v>46286</v>
      </c>
      <c r="O52" s="2"/>
    </row>
    <row r="53" customFormat="false" ht="23.85" hidden="false" customHeight="false" outlineLevel="0" collapsed="false">
      <c r="A53" s="2" t="s">
        <v>160</v>
      </c>
      <c r="B53" s="2" t="s">
        <v>161</v>
      </c>
      <c r="C53" s="2" t="s">
        <v>165</v>
      </c>
      <c r="D53" s="2" t="s">
        <v>17</v>
      </c>
      <c r="E53" s="2" t="s">
        <v>18</v>
      </c>
      <c r="F53" s="2" t="s">
        <v>101</v>
      </c>
      <c r="G53" s="2" t="s">
        <v>165</v>
      </c>
      <c r="H53" s="2" t="n">
        <v>61</v>
      </c>
      <c r="I53" s="4" t="s">
        <v>166</v>
      </c>
      <c r="J53" s="4" t="s">
        <v>22</v>
      </c>
      <c r="K53" s="3" t="s">
        <v>23</v>
      </c>
      <c r="L53" s="4" t="s">
        <v>24</v>
      </c>
      <c r="M53" s="3" t="s">
        <v>25</v>
      </c>
      <c r="N53" s="5" t="n">
        <v>46286</v>
      </c>
      <c r="O53" s="2"/>
    </row>
    <row r="54" customFormat="false" ht="23.85" hidden="false" customHeight="false" outlineLevel="0" collapsed="false">
      <c r="A54" s="2" t="s">
        <v>167</v>
      </c>
      <c r="B54" s="2" t="s">
        <v>168</v>
      </c>
      <c r="C54" s="2" t="s">
        <v>169</v>
      </c>
      <c r="D54" s="2" t="s">
        <v>80</v>
      </c>
      <c r="E54" s="2" t="s">
        <v>18</v>
      </c>
      <c r="F54" s="2" t="s">
        <v>101</v>
      </c>
      <c r="G54" s="2" t="s">
        <v>169</v>
      </c>
      <c r="H54" s="2" t="n">
        <v>51</v>
      </c>
      <c r="I54" s="4" t="s">
        <v>170</v>
      </c>
      <c r="J54" s="4" t="s">
        <v>22</v>
      </c>
      <c r="K54" s="3" t="s">
        <v>23</v>
      </c>
      <c r="L54" s="4" t="s">
        <v>24</v>
      </c>
      <c r="M54" s="3" t="s">
        <v>25</v>
      </c>
      <c r="N54" s="5" t="n">
        <v>46286</v>
      </c>
      <c r="O54" s="2"/>
    </row>
    <row r="55" customFormat="false" ht="23.85" hidden="false" customHeight="false" outlineLevel="0" collapsed="false">
      <c r="A55" s="2" t="s">
        <v>167</v>
      </c>
      <c r="B55" s="2" t="s">
        <v>168</v>
      </c>
      <c r="C55" s="2" t="s">
        <v>171</v>
      </c>
      <c r="D55" s="2" t="s">
        <v>28</v>
      </c>
      <c r="E55" s="2" t="s">
        <v>18</v>
      </c>
      <c r="F55" s="2" t="s">
        <v>101</v>
      </c>
      <c r="G55" s="2" t="s">
        <v>171</v>
      </c>
      <c r="H55" s="2" t="n">
        <v>97</v>
      </c>
      <c r="I55" s="4" t="s">
        <v>172</v>
      </c>
      <c r="J55" s="4" t="s">
        <v>22</v>
      </c>
      <c r="K55" s="3" t="s">
        <v>23</v>
      </c>
      <c r="L55" s="4" t="s">
        <v>24</v>
      </c>
      <c r="M55" s="3" t="s">
        <v>25</v>
      </c>
      <c r="N55" s="5" t="n">
        <v>46286</v>
      </c>
      <c r="O55" s="2"/>
    </row>
    <row r="56" customFormat="false" ht="23.85" hidden="false" customHeight="false" outlineLevel="0" collapsed="false">
      <c r="A56" s="2" t="s">
        <v>167</v>
      </c>
      <c r="B56" s="2" t="s">
        <v>173</v>
      </c>
      <c r="C56" s="2" t="s">
        <v>174</v>
      </c>
      <c r="D56" s="2" t="s">
        <v>28</v>
      </c>
      <c r="E56" s="2" t="s">
        <v>18</v>
      </c>
      <c r="F56" s="2" t="s">
        <v>101</v>
      </c>
      <c r="G56" s="2" t="s">
        <v>174</v>
      </c>
      <c r="H56" s="2" t="n">
        <v>12</v>
      </c>
      <c r="I56" s="4" t="s">
        <v>175</v>
      </c>
      <c r="J56" s="4" t="s">
        <v>22</v>
      </c>
      <c r="K56" s="3" t="s">
        <v>23</v>
      </c>
      <c r="L56" s="4" t="s">
        <v>24</v>
      </c>
      <c r="M56" s="3" t="s">
        <v>25</v>
      </c>
      <c r="N56" s="5" t="n">
        <v>46286</v>
      </c>
      <c r="O56" s="2"/>
    </row>
    <row r="57" customFormat="false" ht="23.85" hidden="false" customHeight="false" outlineLevel="0" collapsed="false">
      <c r="A57" s="2" t="s">
        <v>167</v>
      </c>
      <c r="B57" s="2" t="s">
        <v>173</v>
      </c>
      <c r="C57" s="2" t="s">
        <v>176</v>
      </c>
      <c r="D57" s="2" t="s">
        <v>17</v>
      </c>
      <c r="E57" s="2" t="s">
        <v>58</v>
      </c>
      <c r="F57" s="2" t="s">
        <v>101</v>
      </c>
      <c r="G57" s="2" t="s">
        <v>176</v>
      </c>
      <c r="H57" s="2" t="n">
        <v>44</v>
      </c>
      <c r="I57" s="4" t="s">
        <v>177</v>
      </c>
      <c r="J57" s="4" t="s">
        <v>22</v>
      </c>
      <c r="K57" s="3" t="s">
        <v>23</v>
      </c>
      <c r="L57" s="4" t="s">
        <v>24</v>
      </c>
      <c r="M57" s="3" t="s">
        <v>25</v>
      </c>
      <c r="N57" s="5" t="n">
        <v>46286</v>
      </c>
      <c r="O57" s="2"/>
    </row>
    <row r="58" customFormat="false" ht="23.85" hidden="false" customHeight="false" outlineLevel="0" collapsed="false">
      <c r="A58" s="2" t="s">
        <v>167</v>
      </c>
      <c r="B58" s="2" t="s">
        <v>178</v>
      </c>
      <c r="C58" s="2" t="s">
        <v>179</v>
      </c>
      <c r="D58" s="2" t="s">
        <v>28</v>
      </c>
      <c r="E58" s="2" t="s">
        <v>18</v>
      </c>
      <c r="F58" s="2" t="s">
        <v>101</v>
      </c>
      <c r="G58" s="2" t="s">
        <v>179</v>
      </c>
      <c r="H58" s="2" t="n">
        <v>3</v>
      </c>
      <c r="I58" s="4" t="s">
        <v>180</v>
      </c>
      <c r="J58" s="4" t="s">
        <v>22</v>
      </c>
      <c r="K58" s="3" t="s">
        <v>23</v>
      </c>
      <c r="L58" s="4" t="s">
        <v>24</v>
      </c>
      <c r="M58" s="3" t="s">
        <v>25</v>
      </c>
      <c r="N58" s="5" t="n">
        <v>46286</v>
      </c>
      <c r="O58" s="2"/>
    </row>
    <row r="59" customFormat="false" ht="23.85" hidden="false" customHeight="false" outlineLevel="0" collapsed="false">
      <c r="A59" s="2" t="s">
        <v>167</v>
      </c>
      <c r="B59" s="2" t="s">
        <v>178</v>
      </c>
      <c r="C59" s="2" t="s">
        <v>181</v>
      </c>
      <c r="D59" s="2" t="s">
        <v>28</v>
      </c>
      <c r="E59" s="2" t="s">
        <v>18</v>
      </c>
      <c r="F59" s="2" t="s">
        <v>101</v>
      </c>
      <c r="G59" s="2" t="s">
        <v>181</v>
      </c>
      <c r="H59" s="2" t="n">
        <v>54</v>
      </c>
      <c r="I59" s="4" t="s">
        <v>182</v>
      </c>
      <c r="J59" s="4" t="s">
        <v>22</v>
      </c>
      <c r="K59" s="3" t="s">
        <v>23</v>
      </c>
      <c r="L59" s="4" t="s">
        <v>24</v>
      </c>
      <c r="M59" s="3" t="s">
        <v>25</v>
      </c>
      <c r="N59" s="5" t="n">
        <v>46286</v>
      </c>
      <c r="O59" s="2"/>
    </row>
    <row r="60" customFormat="false" ht="23.85" hidden="false" customHeight="false" outlineLevel="0" collapsed="false">
      <c r="A60" s="2" t="s">
        <v>167</v>
      </c>
      <c r="B60" s="2" t="s">
        <v>183</v>
      </c>
      <c r="C60" s="2" t="s">
        <v>184</v>
      </c>
      <c r="D60" s="2" t="s">
        <v>36</v>
      </c>
      <c r="E60" s="2" t="s">
        <v>18</v>
      </c>
      <c r="F60" s="2" t="s">
        <v>101</v>
      </c>
      <c r="G60" s="2" t="s">
        <v>184</v>
      </c>
      <c r="H60" s="2" t="n">
        <v>71</v>
      </c>
      <c r="I60" s="4" t="s">
        <v>185</v>
      </c>
      <c r="J60" s="4" t="s">
        <v>22</v>
      </c>
      <c r="K60" s="3" t="s">
        <v>23</v>
      </c>
      <c r="L60" s="4" t="s">
        <v>24</v>
      </c>
      <c r="M60" s="3" t="s">
        <v>25</v>
      </c>
      <c r="N60" s="5" t="n">
        <v>46286</v>
      </c>
      <c r="O60" s="2"/>
    </row>
    <row r="61" customFormat="false" ht="23.85" hidden="false" customHeight="false" outlineLevel="0" collapsed="false">
      <c r="A61" s="2" t="s">
        <v>167</v>
      </c>
      <c r="B61" s="2" t="s">
        <v>186</v>
      </c>
      <c r="C61" s="2" t="s">
        <v>187</v>
      </c>
      <c r="D61" s="2" t="s">
        <v>36</v>
      </c>
      <c r="E61" s="2" t="s">
        <v>40</v>
      </c>
      <c r="F61" s="2" t="s">
        <v>101</v>
      </c>
      <c r="G61" s="2" t="s">
        <v>187</v>
      </c>
      <c r="H61" s="2" t="n">
        <v>16</v>
      </c>
      <c r="I61" s="3" t="s">
        <v>51</v>
      </c>
      <c r="J61" s="4" t="s">
        <v>22</v>
      </c>
      <c r="K61" s="3" t="s">
        <v>23</v>
      </c>
      <c r="L61" s="4" t="s">
        <v>24</v>
      </c>
      <c r="M61" s="3" t="s">
        <v>25</v>
      </c>
      <c r="N61" s="5" t="n">
        <v>46286</v>
      </c>
      <c r="O61" s="2"/>
    </row>
    <row r="62" customFormat="false" ht="23.85" hidden="false" customHeight="false" outlineLevel="0" collapsed="false">
      <c r="A62" s="2" t="s">
        <v>188</v>
      </c>
      <c r="B62" s="2" t="s">
        <v>189</v>
      </c>
      <c r="C62" s="2" t="s">
        <v>190</v>
      </c>
      <c r="D62" s="2" t="s">
        <v>28</v>
      </c>
      <c r="E62" s="2" t="s">
        <v>18</v>
      </c>
      <c r="F62" s="2" t="s">
        <v>94</v>
      </c>
      <c r="G62" s="2" t="s">
        <v>190</v>
      </c>
      <c r="H62" s="2" t="n">
        <v>9</v>
      </c>
      <c r="I62" s="4" t="s">
        <v>191</v>
      </c>
      <c r="J62" s="4" t="s">
        <v>22</v>
      </c>
      <c r="K62" s="3" t="s">
        <v>23</v>
      </c>
      <c r="L62" s="4" t="s">
        <v>24</v>
      </c>
      <c r="M62" s="3" t="s">
        <v>25</v>
      </c>
      <c r="N62" s="5" t="n">
        <v>46286</v>
      </c>
      <c r="O62" s="2"/>
    </row>
    <row r="63" customFormat="false" ht="23.85" hidden="false" customHeight="false" outlineLevel="0" collapsed="false">
      <c r="A63" s="2" t="s">
        <v>188</v>
      </c>
      <c r="B63" s="2" t="s">
        <v>192</v>
      </c>
      <c r="C63" s="2" t="s">
        <v>193</v>
      </c>
      <c r="D63" s="2" t="s">
        <v>36</v>
      </c>
      <c r="E63" s="2" t="s">
        <v>100</v>
      </c>
      <c r="F63" s="2" t="s">
        <v>94</v>
      </c>
      <c r="G63" s="2" t="s">
        <v>193</v>
      </c>
      <c r="H63" s="2" t="n">
        <v>33</v>
      </c>
      <c r="I63" s="4" t="s">
        <v>194</v>
      </c>
      <c r="J63" s="4" t="s">
        <v>22</v>
      </c>
      <c r="K63" s="3" t="s">
        <v>23</v>
      </c>
      <c r="L63" s="4" t="s">
        <v>24</v>
      </c>
      <c r="M63" s="3" t="s">
        <v>25</v>
      </c>
      <c r="N63" s="5" t="n">
        <v>46286</v>
      </c>
      <c r="O63" s="2"/>
    </row>
    <row r="64" customFormat="false" ht="23.85" hidden="false" customHeight="false" outlineLevel="0" collapsed="false">
      <c r="A64" s="2" t="s">
        <v>188</v>
      </c>
      <c r="B64" s="2" t="s">
        <v>192</v>
      </c>
      <c r="C64" s="2" t="s">
        <v>195</v>
      </c>
      <c r="D64" s="2" t="s">
        <v>36</v>
      </c>
      <c r="E64" s="2" t="s">
        <v>58</v>
      </c>
      <c r="F64" s="2" t="s">
        <v>94</v>
      </c>
      <c r="G64" s="2" t="s">
        <v>195</v>
      </c>
      <c r="H64" s="2" t="n">
        <v>34</v>
      </c>
      <c r="I64" s="4" t="s">
        <v>196</v>
      </c>
      <c r="J64" s="4" t="s">
        <v>22</v>
      </c>
      <c r="K64" s="3" t="s">
        <v>23</v>
      </c>
      <c r="L64" s="4" t="s">
        <v>24</v>
      </c>
      <c r="M64" s="3" t="s">
        <v>25</v>
      </c>
      <c r="N64" s="5" t="n">
        <v>46286</v>
      </c>
      <c r="O64" s="2"/>
    </row>
    <row r="65" customFormat="false" ht="23.85" hidden="false" customHeight="false" outlineLevel="0" collapsed="false">
      <c r="A65" s="2" t="s">
        <v>188</v>
      </c>
      <c r="B65" s="2" t="s">
        <v>197</v>
      </c>
      <c r="C65" s="2" t="s">
        <v>198</v>
      </c>
      <c r="D65" s="2" t="s">
        <v>36</v>
      </c>
      <c r="E65" s="2" t="s">
        <v>100</v>
      </c>
      <c r="F65" s="2" t="s">
        <v>94</v>
      </c>
      <c r="G65" s="2" t="s">
        <v>198</v>
      </c>
      <c r="H65" s="2" t="n">
        <v>39</v>
      </c>
      <c r="I65" s="4" t="s">
        <v>199</v>
      </c>
      <c r="J65" s="4" t="s">
        <v>22</v>
      </c>
      <c r="K65" s="3" t="s">
        <v>23</v>
      </c>
      <c r="L65" s="4" t="s">
        <v>24</v>
      </c>
      <c r="M65" s="3" t="s">
        <v>25</v>
      </c>
      <c r="N65" s="5" t="n">
        <v>46286</v>
      </c>
      <c r="O65" s="2"/>
    </row>
    <row r="66" customFormat="false" ht="23.85" hidden="false" customHeight="false" outlineLevel="0" collapsed="false">
      <c r="A66" s="2" t="s">
        <v>188</v>
      </c>
      <c r="B66" s="2" t="s">
        <v>197</v>
      </c>
      <c r="C66" s="2" t="s">
        <v>200</v>
      </c>
      <c r="D66" s="2" t="s">
        <v>36</v>
      </c>
      <c r="E66" s="2" t="s">
        <v>58</v>
      </c>
      <c r="F66" s="2" t="s">
        <v>94</v>
      </c>
      <c r="G66" s="2" t="s">
        <v>200</v>
      </c>
      <c r="H66" s="2" t="n">
        <v>43</v>
      </c>
      <c r="I66" s="4" t="s">
        <v>201</v>
      </c>
      <c r="J66" s="4" t="s">
        <v>22</v>
      </c>
      <c r="K66" s="3" t="s">
        <v>23</v>
      </c>
      <c r="L66" s="4" t="s">
        <v>24</v>
      </c>
      <c r="M66" s="3" t="s">
        <v>25</v>
      </c>
      <c r="N66" s="5" t="n">
        <v>46286</v>
      </c>
      <c r="O66" s="2"/>
    </row>
    <row r="67" customFormat="false" ht="23.85" hidden="false" customHeight="false" outlineLevel="0" collapsed="false">
      <c r="A67" s="2" t="s">
        <v>188</v>
      </c>
      <c r="B67" s="2" t="s">
        <v>202</v>
      </c>
      <c r="C67" s="2" t="s">
        <v>203</v>
      </c>
      <c r="D67" s="2" t="s">
        <v>36</v>
      </c>
      <c r="E67" s="2" t="s">
        <v>58</v>
      </c>
      <c r="F67" s="2" t="s">
        <v>94</v>
      </c>
      <c r="G67" s="2" t="s">
        <v>203</v>
      </c>
      <c r="H67" s="2" t="n">
        <v>37</v>
      </c>
      <c r="I67" s="4" t="s">
        <v>204</v>
      </c>
      <c r="J67" s="4" t="s">
        <v>22</v>
      </c>
      <c r="K67" s="3" t="s">
        <v>23</v>
      </c>
      <c r="L67" s="4" t="s">
        <v>24</v>
      </c>
      <c r="M67" s="3" t="s">
        <v>25</v>
      </c>
      <c r="N67" s="5" t="n">
        <v>46286</v>
      </c>
      <c r="O67" s="2"/>
    </row>
    <row r="68" customFormat="false" ht="23.85" hidden="false" customHeight="false" outlineLevel="0" collapsed="false">
      <c r="A68" s="2" t="s">
        <v>188</v>
      </c>
      <c r="B68" s="2" t="s">
        <v>202</v>
      </c>
      <c r="C68" s="2" t="s">
        <v>205</v>
      </c>
      <c r="D68" s="2" t="s">
        <v>36</v>
      </c>
      <c r="E68" s="2" t="s">
        <v>58</v>
      </c>
      <c r="F68" s="2" t="s">
        <v>94</v>
      </c>
      <c r="G68" s="2" t="s">
        <v>205</v>
      </c>
      <c r="H68" s="2" t="n">
        <v>82</v>
      </c>
      <c r="I68" s="4" t="s">
        <v>206</v>
      </c>
      <c r="J68" s="4" t="s">
        <v>22</v>
      </c>
      <c r="K68" s="3" t="s">
        <v>23</v>
      </c>
      <c r="L68" s="4" t="s">
        <v>24</v>
      </c>
      <c r="M68" s="3" t="s">
        <v>25</v>
      </c>
      <c r="N68" s="5" t="n">
        <v>46286</v>
      </c>
      <c r="O68" s="2"/>
    </row>
    <row r="69" customFormat="false" ht="23.85" hidden="false" customHeight="false" outlineLevel="0" collapsed="false">
      <c r="A69" s="2" t="s">
        <v>188</v>
      </c>
      <c r="B69" s="2" t="s">
        <v>202</v>
      </c>
      <c r="C69" s="2" t="s">
        <v>207</v>
      </c>
      <c r="D69" s="2" t="s">
        <v>36</v>
      </c>
      <c r="E69" s="2" t="s">
        <v>208</v>
      </c>
      <c r="F69" s="2" t="s">
        <v>94</v>
      </c>
      <c r="G69" s="2" t="s">
        <v>209</v>
      </c>
      <c r="H69" s="2" t="n">
        <v>83</v>
      </c>
      <c r="I69" s="4" t="s">
        <v>210</v>
      </c>
      <c r="J69" s="4" t="s">
        <v>22</v>
      </c>
      <c r="K69" s="3" t="s">
        <v>23</v>
      </c>
      <c r="L69" s="4" t="s">
        <v>24</v>
      </c>
      <c r="M69" s="3" t="s">
        <v>25</v>
      </c>
      <c r="N69" s="5" t="n">
        <v>46286</v>
      </c>
      <c r="O69" s="2"/>
    </row>
    <row r="70" customFormat="false" ht="23.85" hidden="false" customHeight="false" outlineLevel="0" collapsed="false">
      <c r="A70" s="2" t="s">
        <v>211</v>
      </c>
      <c r="B70" s="2" t="s">
        <v>212</v>
      </c>
      <c r="C70" s="2" t="s">
        <v>213</v>
      </c>
      <c r="D70" s="2" t="s">
        <v>28</v>
      </c>
      <c r="E70" s="2" t="s">
        <v>18</v>
      </c>
      <c r="F70" s="2" t="s">
        <v>94</v>
      </c>
      <c r="G70" s="2" t="s">
        <v>213</v>
      </c>
      <c r="H70" s="2" t="n">
        <v>11</v>
      </c>
      <c r="I70" s="4" t="s">
        <v>214</v>
      </c>
      <c r="J70" s="4" t="s">
        <v>22</v>
      </c>
      <c r="K70" s="3" t="s">
        <v>23</v>
      </c>
      <c r="L70" s="4" t="s">
        <v>24</v>
      </c>
      <c r="M70" s="3" t="s">
        <v>25</v>
      </c>
      <c r="N70" s="5" t="n">
        <v>46286</v>
      </c>
      <c r="O70" s="2"/>
    </row>
    <row r="71" customFormat="false" ht="23.85" hidden="false" customHeight="false" outlineLevel="0" collapsed="false">
      <c r="A71" s="2" t="s">
        <v>211</v>
      </c>
      <c r="B71" s="2" t="s">
        <v>215</v>
      </c>
      <c r="C71" s="2" t="s">
        <v>216</v>
      </c>
      <c r="D71" s="2" t="s">
        <v>73</v>
      </c>
      <c r="E71" s="2" t="s">
        <v>18</v>
      </c>
      <c r="F71" s="2" t="s">
        <v>94</v>
      </c>
      <c r="G71" s="2" t="s">
        <v>217</v>
      </c>
      <c r="H71" s="2" t="n">
        <v>19</v>
      </c>
      <c r="I71" s="4" t="s">
        <v>218</v>
      </c>
      <c r="J71" s="4" t="s">
        <v>22</v>
      </c>
      <c r="K71" s="3" t="s">
        <v>23</v>
      </c>
      <c r="L71" s="4" t="s">
        <v>24</v>
      </c>
      <c r="M71" s="3" t="s">
        <v>25</v>
      </c>
      <c r="N71" s="5" t="n">
        <v>46286</v>
      </c>
      <c r="O71" s="2" t="s">
        <v>121</v>
      </c>
    </row>
    <row r="72" customFormat="false" ht="23.85" hidden="false" customHeight="false" outlineLevel="0" collapsed="false">
      <c r="A72" s="2" t="s">
        <v>211</v>
      </c>
      <c r="B72" s="2" t="s">
        <v>215</v>
      </c>
      <c r="C72" s="2" t="s">
        <v>219</v>
      </c>
      <c r="D72" s="2" t="s">
        <v>36</v>
      </c>
      <c r="E72" s="2" t="s">
        <v>40</v>
      </c>
      <c r="F72" s="2" t="s">
        <v>94</v>
      </c>
      <c r="G72" s="2" t="s">
        <v>220</v>
      </c>
      <c r="H72" s="2" t="n">
        <v>45</v>
      </c>
      <c r="I72" s="4" t="s">
        <v>221</v>
      </c>
      <c r="J72" s="4" t="s">
        <v>22</v>
      </c>
      <c r="K72" s="3" t="s">
        <v>23</v>
      </c>
      <c r="L72" s="4" t="s">
        <v>24</v>
      </c>
      <c r="M72" s="3" t="s">
        <v>25</v>
      </c>
      <c r="N72" s="5" t="n">
        <v>46286</v>
      </c>
      <c r="O72" s="2"/>
    </row>
    <row r="73" customFormat="false" ht="23.85" hidden="false" customHeight="false" outlineLevel="0" collapsed="false">
      <c r="A73" s="2" t="s">
        <v>211</v>
      </c>
      <c r="B73" s="2" t="s">
        <v>215</v>
      </c>
      <c r="C73" s="2" t="s">
        <v>222</v>
      </c>
      <c r="D73" s="2" t="s">
        <v>57</v>
      </c>
      <c r="E73" s="2" t="s">
        <v>40</v>
      </c>
      <c r="F73" s="2" t="s">
        <v>94</v>
      </c>
      <c r="G73" s="2" t="s">
        <v>223</v>
      </c>
      <c r="H73" s="2" t="n">
        <v>67</v>
      </c>
      <c r="I73" s="3" t="s">
        <v>51</v>
      </c>
      <c r="J73" s="4" t="s">
        <v>22</v>
      </c>
      <c r="K73" s="3" t="s">
        <v>23</v>
      </c>
      <c r="L73" s="4" t="s">
        <v>24</v>
      </c>
      <c r="M73" s="3" t="s">
        <v>25</v>
      </c>
      <c r="N73" s="5" t="n">
        <v>46286</v>
      </c>
      <c r="O73" s="2"/>
    </row>
    <row r="74" customFormat="false" ht="23.85" hidden="false" customHeight="false" outlineLevel="0" collapsed="false">
      <c r="A74" s="2" t="s">
        <v>211</v>
      </c>
      <c r="B74" s="2" t="s">
        <v>215</v>
      </c>
      <c r="C74" s="2" t="s">
        <v>224</v>
      </c>
      <c r="D74" s="2" t="s">
        <v>36</v>
      </c>
      <c r="E74" s="2" t="s">
        <v>40</v>
      </c>
      <c r="F74" s="2" t="s">
        <v>94</v>
      </c>
      <c r="G74" s="2" t="s">
        <v>224</v>
      </c>
      <c r="H74" s="2" t="n">
        <v>68</v>
      </c>
      <c r="I74" s="3" t="s">
        <v>51</v>
      </c>
      <c r="J74" s="4" t="s">
        <v>22</v>
      </c>
      <c r="K74" s="3" t="s">
        <v>23</v>
      </c>
      <c r="L74" s="4" t="s">
        <v>24</v>
      </c>
      <c r="M74" s="3" t="s">
        <v>25</v>
      </c>
      <c r="N74" s="5" t="n">
        <v>46286</v>
      </c>
      <c r="O74" s="2"/>
    </row>
    <row r="75" customFormat="false" ht="23.85" hidden="false" customHeight="false" outlineLevel="0" collapsed="false">
      <c r="A75" s="2" t="s">
        <v>211</v>
      </c>
      <c r="B75" s="2" t="s">
        <v>225</v>
      </c>
      <c r="C75" s="2" t="s">
        <v>226</v>
      </c>
      <c r="D75" s="2" t="s">
        <v>36</v>
      </c>
      <c r="E75" s="2" t="s">
        <v>58</v>
      </c>
      <c r="F75" s="2" t="s">
        <v>94</v>
      </c>
      <c r="G75" s="2" t="s">
        <v>226</v>
      </c>
      <c r="H75" s="2" t="n">
        <v>70</v>
      </c>
      <c r="I75" s="3" t="s">
        <v>51</v>
      </c>
      <c r="J75" s="4" t="s">
        <v>22</v>
      </c>
      <c r="K75" s="3" t="s">
        <v>23</v>
      </c>
      <c r="L75" s="4" t="s">
        <v>24</v>
      </c>
      <c r="M75" s="3" t="s">
        <v>25</v>
      </c>
      <c r="N75" s="5" t="n">
        <v>46286</v>
      </c>
      <c r="O75" s="2"/>
    </row>
    <row r="76" customFormat="false" ht="23.85" hidden="false" customHeight="false" outlineLevel="0" collapsed="false">
      <c r="A76" s="2" t="s">
        <v>211</v>
      </c>
      <c r="B76" s="2" t="s">
        <v>227</v>
      </c>
      <c r="C76" s="2" t="s">
        <v>228</v>
      </c>
      <c r="D76" s="2" t="s">
        <v>28</v>
      </c>
      <c r="E76" s="2" t="s">
        <v>18</v>
      </c>
      <c r="F76" s="2" t="s">
        <v>94</v>
      </c>
      <c r="G76" s="2" t="s">
        <v>228</v>
      </c>
      <c r="H76" s="2" t="n">
        <v>96</v>
      </c>
      <c r="I76" s="4" t="s">
        <v>229</v>
      </c>
      <c r="J76" s="4" t="s">
        <v>22</v>
      </c>
      <c r="K76" s="3" t="s">
        <v>23</v>
      </c>
      <c r="L76" s="4" t="s">
        <v>24</v>
      </c>
      <c r="M76" s="3" t="s">
        <v>25</v>
      </c>
      <c r="N76" s="5" t="n">
        <v>46286</v>
      </c>
      <c r="O76" s="2"/>
    </row>
    <row r="77" customFormat="false" ht="23.85" hidden="false" customHeight="false" outlineLevel="0" collapsed="false">
      <c r="A77" s="2" t="s">
        <v>211</v>
      </c>
      <c r="B77" s="2" t="s">
        <v>230</v>
      </c>
      <c r="C77" s="2" t="s">
        <v>231</v>
      </c>
      <c r="D77" s="2" t="s">
        <v>28</v>
      </c>
      <c r="E77" s="2" t="s">
        <v>18</v>
      </c>
      <c r="F77" s="2" t="s">
        <v>94</v>
      </c>
      <c r="G77" s="2" t="s">
        <v>231</v>
      </c>
      <c r="H77" s="2" t="n">
        <v>73</v>
      </c>
      <c r="I77" s="4" t="s">
        <v>232</v>
      </c>
      <c r="J77" s="4" t="s">
        <v>22</v>
      </c>
      <c r="K77" s="3" t="s">
        <v>23</v>
      </c>
      <c r="L77" s="4" t="s">
        <v>24</v>
      </c>
      <c r="M77" s="3" t="s">
        <v>25</v>
      </c>
      <c r="N77" s="5" t="n">
        <v>46286</v>
      </c>
      <c r="O77" s="2"/>
    </row>
    <row r="78" customFormat="false" ht="23.85" hidden="false" customHeight="false" outlineLevel="0" collapsed="false">
      <c r="A78" s="2" t="s">
        <v>233</v>
      </c>
      <c r="B78" s="2" t="s">
        <v>234</v>
      </c>
      <c r="C78" s="2" t="s">
        <v>235</v>
      </c>
      <c r="D78" s="2" t="s">
        <v>28</v>
      </c>
      <c r="E78" s="2" t="s">
        <v>18</v>
      </c>
      <c r="F78" s="2" t="s">
        <v>50</v>
      </c>
      <c r="G78" s="2" t="s">
        <v>235</v>
      </c>
      <c r="H78" s="2" t="n">
        <v>25</v>
      </c>
      <c r="I78" s="4" t="s">
        <v>236</v>
      </c>
      <c r="J78" s="4" t="s">
        <v>22</v>
      </c>
      <c r="K78" s="3" t="s">
        <v>23</v>
      </c>
      <c r="L78" s="4" t="s">
        <v>24</v>
      </c>
      <c r="M78" s="3" t="s">
        <v>25</v>
      </c>
      <c r="N78" s="5" t="n">
        <v>46286</v>
      </c>
      <c r="O78" s="2"/>
    </row>
    <row r="79" customFormat="false" ht="23.85" hidden="false" customHeight="false" outlineLevel="0" collapsed="false">
      <c r="A79" s="2" t="s">
        <v>233</v>
      </c>
      <c r="B79" s="2" t="s">
        <v>234</v>
      </c>
      <c r="C79" s="2" t="s">
        <v>237</v>
      </c>
      <c r="D79" s="2" t="s">
        <v>28</v>
      </c>
      <c r="E79" s="2" t="s">
        <v>18</v>
      </c>
      <c r="F79" s="2" t="s">
        <v>50</v>
      </c>
      <c r="G79" s="2" t="s">
        <v>237</v>
      </c>
      <c r="H79" s="2" t="n">
        <v>29</v>
      </c>
      <c r="I79" s="4" t="s">
        <v>238</v>
      </c>
      <c r="J79" s="4" t="s">
        <v>22</v>
      </c>
      <c r="K79" s="3" t="s">
        <v>23</v>
      </c>
      <c r="L79" s="4" t="s">
        <v>24</v>
      </c>
      <c r="M79" s="3" t="s">
        <v>25</v>
      </c>
      <c r="N79" s="5" t="n">
        <v>46286</v>
      </c>
      <c r="O79" s="2"/>
    </row>
    <row r="80" customFormat="false" ht="23.85" hidden="false" customHeight="false" outlineLevel="0" collapsed="false">
      <c r="A80" s="2" t="s">
        <v>233</v>
      </c>
      <c r="B80" s="2" t="s">
        <v>234</v>
      </c>
      <c r="C80" s="2" t="s">
        <v>239</v>
      </c>
      <c r="D80" s="2" t="s">
        <v>28</v>
      </c>
      <c r="E80" s="2" t="s">
        <v>18</v>
      </c>
      <c r="F80" s="2" t="s">
        <v>50</v>
      </c>
      <c r="G80" s="2" t="s">
        <v>239</v>
      </c>
      <c r="H80" s="2" t="n">
        <v>78</v>
      </c>
      <c r="I80" s="4" t="s">
        <v>240</v>
      </c>
      <c r="J80" s="4" t="s">
        <v>22</v>
      </c>
      <c r="K80" s="3" t="s">
        <v>23</v>
      </c>
      <c r="L80" s="4" t="s">
        <v>24</v>
      </c>
      <c r="M80" s="3" t="s">
        <v>25</v>
      </c>
      <c r="N80" s="5" t="n">
        <v>46286</v>
      </c>
      <c r="O80" s="2"/>
    </row>
    <row r="81" customFormat="false" ht="23.85" hidden="false" customHeight="false" outlineLevel="0" collapsed="false">
      <c r="A81" s="2" t="s">
        <v>233</v>
      </c>
      <c r="B81" s="2" t="s">
        <v>241</v>
      </c>
      <c r="C81" s="2" t="s">
        <v>242</v>
      </c>
      <c r="D81" s="2" t="s">
        <v>28</v>
      </c>
      <c r="E81" s="2" t="s">
        <v>18</v>
      </c>
      <c r="F81" s="2" t="s">
        <v>50</v>
      </c>
      <c r="G81" s="2" t="s">
        <v>242</v>
      </c>
      <c r="H81" s="2" t="n">
        <v>47</v>
      </c>
      <c r="I81" s="4" t="s">
        <v>243</v>
      </c>
      <c r="J81" s="4" t="s">
        <v>22</v>
      </c>
      <c r="K81" s="3" t="s">
        <v>23</v>
      </c>
      <c r="L81" s="4" t="s">
        <v>24</v>
      </c>
      <c r="M81" s="3" t="s">
        <v>25</v>
      </c>
      <c r="N81" s="5" t="n">
        <v>46286</v>
      </c>
      <c r="O81" s="2"/>
    </row>
    <row r="82" customFormat="false" ht="23.85" hidden="false" customHeight="false" outlineLevel="0" collapsed="false">
      <c r="A82" s="2" t="s">
        <v>233</v>
      </c>
      <c r="B82" s="2" t="s">
        <v>241</v>
      </c>
      <c r="C82" s="2" t="s">
        <v>244</v>
      </c>
      <c r="D82" s="2" t="s">
        <v>28</v>
      </c>
      <c r="E82" s="2" t="s">
        <v>18</v>
      </c>
      <c r="F82" s="2" t="s">
        <v>50</v>
      </c>
      <c r="G82" s="2" t="s">
        <v>244</v>
      </c>
      <c r="H82" s="2" t="n">
        <v>69</v>
      </c>
      <c r="I82" s="4" t="s">
        <v>245</v>
      </c>
      <c r="J82" s="4" t="s">
        <v>22</v>
      </c>
      <c r="K82" s="3" t="s">
        <v>23</v>
      </c>
      <c r="L82" s="4" t="s">
        <v>24</v>
      </c>
      <c r="M82" s="3" t="s">
        <v>25</v>
      </c>
      <c r="N82" s="5" t="n">
        <v>46286</v>
      </c>
      <c r="O82" s="2"/>
    </row>
    <row r="83" customFormat="false" ht="23.85" hidden="false" customHeight="false" outlineLevel="0" collapsed="false">
      <c r="A83" s="2" t="s">
        <v>233</v>
      </c>
      <c r="B83" s="2" t="s">
        <v>246</v>
      </c>
      <c r="C83" s="2" t="s">
        <v>247</v>
      </c>
      <c r="D83" s="2" t="s">
        <v>57</v>
      </c>
      <c r="E83" s="2" t="s">
        <v>100</v>
      </c>
      <c r="F83" s="2" t="s">
        <v>50</v>
      </c>
      <c r="G83" s="2" t="s">
        <v>247</v>
      </c>
      <c r="H83" s="2" t="n">
        <v>35</v>
      </c>
      <c r="I83" s="3" t="s">
        <v>51</v>
      </c>
      <c r="J83" s="4" t="s">
        <v>22</v>
      </c>
      <c r="K83" s="3" t="s">
        <v>23</v>
      </c>
      <c r="L83" s="4" t="s">
        <v>24</v>
      </c>
      <c r="M83" s="3" t="s">
        <v>25</v>
      </c>
      <c r="N83" s="5" t="n">
        <v>46286</v>
      </c>
      <c r="O83" s="2"/>
    </row>
    <row r="84" customFormat="false" ht="23.85" hidden="false" customHeight="false" outlineLevel="0" collapsed="false">
      <c r="A84" s="2" t="s">
        <v>233</v>
      </c>
      <c r="B84" s="2" t="s">
        <v>246</v>
      </c>
      <c r="C84" s="2" t="s">
        <v>248</v>
      </c>
      <c r="D84" s="2" t="s">
        <v>57</v>
      </c>
      <c r="E84" s="2" t="s">
        <v>61</v>
      </c>
      <c r="F84" s="2" t="s">
        <v>50</v>
      </c>
      <c r="G84" s="2" t="s">
        <v>248</v>
      </c>
      <c r="H84" s="2" t="n">
        <v>79</v>
      </c>
      <c r="I84" s="3" t="s">
        <v>51</v>
      </c>
      <c r="J84" s="4" t="s">
        <v>22</v>
      </c>
      <c r="K84" s="3" t="s">
        <v>23</v>
      </c>
      <c r="L84" s="4" t="s">
        <v>24</v>
      </c>
      <c r="M84" s="3" t="s">
        <v>25</v>
      </c>
      <c r="N84" s="5" t="n">
        <v>46286</v>
      </c>
      <c r="O84" s="2"/>
    </row>
    <row r="85" customFormat="false" ht="23.85" hidden="false" customHeight="false" outlineLevel="0" collapsed="false">
      <c r="A85" s="2" t="s">
        <v>233</v>
      </c>
      <c r="B85" s="2" t="s">
        <v>246</v>
      </c>
      <c r="C85" s="2" t="s">
        <v>249</v>
      </c>
      <c r="D85" s="2" t="s">
        <v>57</v>
      </c>
      <c r="E85" s="2" t="s">
        <v>58</v>
      </c>
      <c r="F85" s="2" t="s">
        <v>50</v>
      </c>
      <c r="G85" s="2" t="s">
        <v>249</v>
      </c>
      <c r="H85" s="2" t="n">
        <v>84</v>
      </c>
      <c r="I85" s="3" t="s">
        <v>51</v>
      </c>
      <c r="J85" s="4" t="s">
        <v>22</v>
      </c>
      <c r="K85" s="3" t="s">
        <v>23</v>
      </c>
      <c r="L85" s="4" t="s">
        <v>24</v>
      </c>
      <c r="M85" s="3" t="s">
        <v>25</v>
      </c>
      <c r="N85" s="5" t="n">
        <v>46286</v>
      </c>
      <c r="O85" s="2"/>
    </row>
    <row r="86" customFormat="false" ht="23.85" hidden="false" customHeight="false" outlineLevel="0" collapsed="false">
      <c r="A86" s="2" t="s">
        <v>233</v>
      </c>
      <c r="B86" s="2" t="s">
        <v>250</v>
      </c>
      <c r="C86" s="2" t="s">
        <v>251</v>
      </c>
      <c r="D86" s="2" t="s">
        <v>28</v>
      </c>
      <c r="E86" s="2" t="s">
        <v>18</v>
      </c>
      <c r="F86" s="2" t="s">
        <v>50</v>
      </c>
      <c r="G86" s="2" t="s">
        <v>251</v>
      </c>
      <c r="H86" s="2" t="n">
        <v>57</v>
      </c>
      <c r="I86" s="4" t="s">
        <v>252</v>
      </c>
      <c r="J86" s="4" t="s">
        <v>22</v>
      </c>
      <c r="K86" s="3" t="s">
        <v>23</v>
      </c>
      <c r="L86" s="4" t="s">
        <v>24</v>
      </c>
      <c r="M86" s="3" t="s">
        <v>25</v>
      </c>
      <c r="N86" s="5" t="n">
        <v>46286</v>
      </c>
      <c r="O86" s="2"/>
    </row>
    <row r="87" customFormat="false" ht="23.85" hidden="false" customHeight="false" outlineLevel="0" collapsed="false">
      <c r="A87" s="2" t="s">
        <v>233</v>
      </c>
      <c r="B87" s="2" t="s">
        <v>253</v>
      </c>
      <c r="C87" s="2" t="s">
        <v>254</v>
      </c>
      <c r="D87" s="2" t="s">
        <v>36</v>
      </c>
      <c r="E87" s="2" t="s">
        <v>61</v>
      </c>
      <c r="F87" s="2" t="s">
        <v>50</v>
      </c>
      <c r="G87" s="2" t="s">
        <v>254</v>
      </c>
      <c r="H87" s="2" t="n">
        <v>56</v>
      </c>
      <c r="I87" s="3" t="s">
        <v>51</v>
      </c>
      <c r="J87" s="4" t="s">
        <v>22</v>
      </c>
      <c r="K87" s="3" t="s">
        <v>23</v>
      </c>
      <c r="L87" s="4" t="s">
        <v>24</v>
      </c>
      <c r="M87" s="3" t="s">
        <v>25</v>
      </c>
      <c r="N87" s="5" t="n">
        <v>46286</v>
      </c>
      <c r="O87" s="2"/>
    </row>
    <row r="88" customFormat="false" ht="23.85" hidden="false" customHeight="false" outlineLevel="0" collapsed="false">
      <c r="A88" s="2" t="s">
        <v>233</v>
      </c>
      <c r="B88" s="2" t="s">
        <v>253</v>
      </c>
      <c r="C88" s="2" t="s">
        <v>255</v>
      </c>
      <c r="D88" s="2" t="s">
        <v>28</v>
      </c>
      <c r="E88" s="2" t="s">
        <v>18</v>
      </c>
      <c r="F88" s="2" t="s">
        <v>50</v>
      </c>
      <c r="G88" s="2" t="s">
        <v>255</v>
      </c>
      <c r="H88" s="2" t="n">
        <v>77</v>
      </c>
      <c r="I88" s="4" t="s">
        <v>256</v>
      </c>
      <c r="J88" s="4" t="s">
        <v>22</v>
      </c>
      <c r="K88" s="3" t="s">
        <v>23</v>
      </c>
      <c r="L88" s="4" t="s">
        <v>24</v>
      </c>
      <c r="M88" s="3" t="s">
        <v>25</v>
      </c>
      <c r="N88" s="5" t="n">
        <v>46286</v>
      </c>
      <c r="O88" s="2"/>
    </row>
    <row r="89" customFormat="false" ht="23.85" hidden="false" customHeight="false" outlineLevel="0" collapsed="false">
      <c r="A89" s="2" t="s">
        <v>233</v>
      </c>
      <c r="B89" s="2" t="s">
        <v>257</v>
      </c>
      <c r="C89" s="2" t="s">
        <v>258</v>
      </c>
      <c r="D89" s="2" t="s">
        <v>36</v>
      </c>
      <c r="E89" s="2" t="s">
        <v>100</v>
      </c>
      <c r="F89" s="2" t="s">
        <v>50</v>
      </c>
      <c r="G89" s="2" t="s">
        <v>258</v>
      </c>
      <c r="H89" s="2" t="n">
        <v>2</v>
      </c>
      <c r="I89" s="3" t="s">
        <v>51</v>
      </c>
      <c r="J89" s="4" t="s">
        <v>22</v>
      </c>
      <c r="K89" s="3" t="s">
        <v>23</v>
      </c>
      <c r="L89" s="4" t="s">
        <v>24</v>
      </c>
      <c r="M89" s="3" t="s">
        <v>25</v>
      </c>
      <c r="N89" s="5" t="n">
        <v>46286</v>
      </c>
      <c r="O89" s="2"/>
    </row>
    <row r="90" customFormat="false" ht="23.85" hidden="false" customHeight="false" outlineLevel="0" collapsed="false">
      <c r="A90" s="2" t="s">
        <v>233</v>
      </c>
      <c r="B90" s="2" t="s">
        <v>259</v>
      </c>
      <c r="C90" s="2" t="s">
        <v>260</v>
      </c>
      <c r="D90" s="2" t="s">
        <v>17</v>
      </c>
      <c r="E90" s="2" t="s">
        <v>18</v>
      </c>
      <c r="F90" s="2" t="s">
        <v>50</v>
      </c>
      <c r="G90" s="2" t="s">
        <v>261</v>
      </c>
      <c r="H90" s="2" t="n">
        <v>10</v>
      </c>
      <c r="I90" s="4" t="s">
        <v>262</v>
      </c>
      <c r="J90" s="4" t="s">
        <v>22</v>
      </c>
      <c r="K90" s="3" t="s">
        <v>23</v>
      </c>
      <c r="L90" s="4" t="s">
        <v>24</v>
      </c>
      <c r="M90" s="3" t="s">
        <v>25</v>
      </c>
      <c r="N90" s="5" t="n">
        <v>46286</v>
      </c>
      <c r="O90" s="2"/>
    </row>
    <row r="91" customFormat="false" ht="23.85" hidden="false" customHeight="false" outlineLevel="0" collapsed="false">
      <c r="A91" s="2" t="s">
        <v>233</v>
      </c>
      <c r="B91" s="2" t="s">
        <v>259</v>
      </c>
      <c r="C91" s="2" t="s">
        <v>263</v>
      </c>
      <c r="D91" s="2" t="s">
        <v>28</v>
      </c>
      <c r="E91" s="2" t="s">
        <v>18</v>
      </c>
      <c r="F91" s="2" t="s">
        <v>50</v>
      </c>
      <c r="G91" s="2" t="s">
        <v>263</v>
      </c>
      <c r="H91" s="2" t="n">
        <v>62</v>
      </c>
      <c r="I91" s="4" t="s">
        <v>264</v>
      </c>
      <c r="J91" s="4" t="s">
        <v>22</v>
      </c>
      <c r="K91" s="3" t="s">
        <v>23</v>
      </c>
      <c r="L91" s="4" t="s">
        <v>24</v>
      </c>
      <c r="M91" s="3" t="s">
        <v>25</v>
      </c>
      <c r="N91" s="5" t="n">
        <v>46286</v>
      </c>
      <c r="O91" s="2"/>
    </row>
    <row r="92" customFormat="false" ht="23.85" hidden="false" customHeight="false" outlineLevel="0" collapsed="false">
      <c r="A92" s="2" t="s">
        <v>233</v>
      </c>
      <c r="B92" s="2" t="s">
        <v>259</v>
      </c>
      <c r="C92" s="2" t="s">
        <v>265</v>
      </c>
      <c r="D92" s="2" t="s">
        <v>36</v>
      </c>
      <c r="E92" s="2" t="s">
        <v>208</v>
      </c>
      <c r="F92" s="2" t="s">
        <v>50</v>
      </c>
      <c r="G92" s="2" t="s">
        <v>265</v>
      </c>
      <c r="H92" s="2" t="n">
        <v>92</v>
      </c>
      <c r="I92" s="4" t="s">
        <v>266</v>
      </c>
      <c r="J92" s="4" t="s">
        <v>22</v>
      </c>
      <c r="K92" s="3" t="s">
        <v>23</v>
      </c>
      <c r="L92" s="4" t="s">
        <v>24</v>
      </c>
      <c r="M92" s="3" t="s">
        <v>25</v>
      </c>
      <c r="N92" s="5" t="n">
        <v>46286</v>
      </c>
      <c r="O92" s="2"/>
    </row>
    <row r="93" customFormat="false" ht="23.85" hidden="false" customHeight="false" outlineLevel="0" collapsed="false">
      <c r="A93" s="2" t="s">
        <v>267</v>
      </c>
      <c r="B93" s="2" t="s">
        <v>268</v>
      </c>
      <c r="C93" s="2" t="s">
        <v>269</v>
      </c>
      <c r="D93" s="2" t="s">
        <v>80</v>
      </c>
      <c r="E93" s="2" t="s">
        <v>18</v>
      </c>
      <c r="F93" s="2" t="s">
        <v>50</v>
      </c>
      <c r="G93" s="2" t="s">
        <v>269</v>
      </c>
      <c r="H93" s="2" t="n">
        <v>49</v>
      </c>
      <c r="I93" s="4" t="s">
        <v>270</v>
      </c>
      <c r="J93" s="4" t="s">
        <v>22</v>
      </c>
      <c r="K93" s="3" t="s">
        <v>23</v>
      </c>
      <c r="L93" s="4" t="s">
        <v>24</v>
      </c>
      <c r="M93" s="3" t="s">
        <v>25</v>
      </c>
      <c r="N93" s="5" t="n">
        <v>46286</v>
      </c>
      <c r="O93" s="2"/>
    </row>
    <row r="94" customFormat="false" ht="23.85" hidden="false" customHeight="false" outlineLevel="0" collapsed="false">
      <c r="A94" s="2" t="s">
        <v>267</v>
      </c>
      <c r="B94" s="2" t="s">
        <v>271</v>
      </c>
      <c r="C94" s="2" t="s">
        <v>272</v>
      </c>
      <c r="D94" s="2" t="s">
        <v>73</v>
      </c>
      <c r="E94" s="2" t="s">
        <v>18</v>
      </c>
      <c r="F94" s="2" t="s">
        <v>50</v>
      </c>
      <c r="G94" s="2" t="s">
        <v>272</v>
      </c>
      <c r="H94" s="2" t="n">
        <v>72</v>
      </c>
      <c r="I94" s="3" t="s">
        <v>51</v>
      </c>
      <c r="J94" s="4" t="s">
        <v>22</v>
      </c>
      <c r="K94" s="3" t="s">
        <v>23</v>
      </c>
      <c r="L94" s="4" t="s">
        <v>24</v>
      </c>
      <c r="M94" s="3" t="s">
        <v>25</v>
      </c>
      <c r="N94" s="5" t="n">
        <v>46286</v>
      </c>
      <c r="O94" s="2"/>
    </row>
    <row r="95" customFormat="false" ht="23.85" hidden="false" customHeight="false" outlineLevel="0" collapsed="false">
      <c r="A95" s="2" t="s">
        <v>267</v>
      </c>
      <c r="B95" s="2" t="s">
        <v>271</v>
      </c>
      <c r="C95" s="2" t="s">
        <v>273</v>
      </c>
      <c r="D95" s="2" t="s">
        <v>36</v>
      </c>
      <c r="E95" s="2" t="s">
        <v>58</v>
      </c>
      <c r="F95" s="2" t="s">
        <v>50</v>
      </c>
      <c r="G95" s="2" t="s">
        <v>273</v>
      </c>
      <c r="H95" s="2" t="n">
        <v>86</v>
      </c>
      <c r="I95" s="4" t="s">
        <v>274</v>
      </c>
      <c r="J95" s="4" t="s">
        <v>22</v>
      </c>
      <c r="K95" s="3" t="s">
        <v>23</v>
      </c>
      <c r="L95" s="4" t="s">
        <v>24</v>
      </c>
      <c r="M95" s="3" t="s">
        <v>25</v>
      </c>
      <c r="N95" s="5" t="n">
        <v>46286</v>
      </c>
      <c r="O95" s="2"/>
    </row>
    <row r="96" customFormat="false" ht="23.85" hidden="false" customHeight="false" outlineLevel="0" collapsed="false">
      <c r="A96" s="2" t="s">
        <v>267</v>
      </c>
      <c r="B96" s="2" t="s">
        <v>271</v>
      </c>
      <c r="C96" s="2" t="s">
        <v>275</v>
      </c>
      <c r="D96" s="2" t="s">
        <v>36</v>
      </c>
      <c r="E96" s="2" t="s">
        <v>100</v>
      </c>
      <c r="F96" s="2" t="s">
        <v>50</v>
      </c>
      <c r="G96" s="2" t="s">
        <v>275</v>
      </c>
      <c r="H96" s="2" t="n">
        <v>87</v>
      </c>
      <c r="I96" s="4" t="s">
        <v>276</v>
      </c>
      <c r="J96" s="4" t="s">
        <v>22</v>
      </c>
      <c r="K96" s="3" t="s">
        <v>23</v>
      </c>
      <c r="L96" s="4" t="s">
        <v>24</v>
      </c>
      <c r="M96" s="3" t="s">
        <v>25</v>
      </c>
      <c r="N96" s="5" t="n">
        <v>46286</v>
      </c>
      <c r="O96" s="2"/>
    </row>
    <row r="97" customFormat="false" ht="23.85" hidden="false" customHeight="false" outlineLevel="0" collapsed="false">
      <c r="A97" s="2" t="s">
        <v>267</v>
      </c>
      <c r="B97" s="2" t="s">
        <v>277</v>
      </c>
      <c r="C97" s="2" t="s">
        <v>278</v>
      </c>
      <c r="D97" s="2" t="s">
        <v>17</v>
      </c>
      <c r="E97" s="2" t="s">
        <v>18</v>
      </c>
      <c r="F97" s="2" t="s">
        <v>50</v>
      </c>
      <c r="G97" s="2" t="s">
        <v>278</v>
      </c>
      <c r="H97" s="2" t="n">
        <v>13</v>
      </c>
      <c r="I97" s="3" t="s">
        <v>51</v>
      </c>
      <c r="J97" s="4" t="s">
        <v>22</v>
      </c>
      <c r="K97" s="3" t="s">
        <v>23</v>
      </c>
      <c r="L97" s="4" t="s">
        <v>24</v>
      </c>
      <c r="M97" s="3" t="s">
        <v>25</v>
      </c>
      <c r="N97" s="5" t="n">
        <v>46286</v>
      </c>
      <c r="O97" s="2"/>
    </row>
    <row r="98" customFormat="false" ht="23.85" hidden="false" customHeight="false" outlineLevel="0" collapsed="false">
      <c r="A98" s="2" t="s">
        <v>267</v>
      </c>
      <c r="B98" s="2" t="s">
        <v>279</v>
      </c>
      <c r="C98" s="2" t="s">
        <v>280</v>
      </c>
      <c r="D98" s="2" t="s">
        <v>28</v>
      </c>
      <c r="E98" s="2" t="s">
        <v>18</v>
      </c>
      <c r="F98" s="2" t="s">
        <v>50</v>
      </c>
      <c r="G98" s="2" t="s">
        <v>280</v>
      </c>
      <c r="H98" s="2" t="n">
        <v>4</v>
      </c>
      <c r="I98" s="4" t="s">
        <v>281</v>
      </c>
      <c r="J98" s="4" t="s">
        <v>22</v>
      </c>
      <c r="K98" s="3" t="s">
        <v>23</v>
      </c>
      <c r="L98" s="4" t="s">
        <v>24</v>
      </c>
      <c r="M98" s="3" t="s">
        <v>25</v>
      </c>
      <c r="N98" s="5" t="n">
        <v>46286</v>
      </c>
      <c r="O98" s="2"/>
    </row>
    <row r="99" customFormat="false" ht="23.85" hidden="false" customHeight="false" outlineLevel="0" collapsed="false">
      <c r="A99" s="2" t="s">
        <v>267</v>
      </c>
      <c r="B99" s="2" t="s">
        <v>279</v>
      </c>
      <c r="C99" s="2" t="s">
        <v>282</v>
      </c>
      <c r="D99" s="2" t="s">
        <v>17</v>
      </c>
      <c r="E99" s="2" t="s">
        <v>18</v>
      </c>
      <c r="F99" s="2" t="s">
        <v>50</v>
      </c>
      <c r="G99" s="2" t="s">
        <v>282</v>
      </c>
      <c r="H99" s="2" t="n">
        <v>30</v>
      </c>
      <c r="I99" s="4" t="s">
        <v>283</v>
      </c>
      <c r="J99" s="4" t="s">
        <v>22</v>
      </c>
      <c r="K99" s="3" t="s">
        <v>23</v>
      </c>
      <c r="L99" s="4" t="s">
        <v>24</v>
      </c>
      <c r="M99" s="3" t="s">
        <v>25</v>
      </c>
      <c r="N99" s="5" t="n">
        <v>46286</v>
      </c>
      <c r="O99" s="2"/>
    </row>
    <row r="100" customFormat="false" ht="23.85" hidden="false" customHeight="false" outlineLevel="0" collapsed="false">
      <c r="A100" s="2" t="s">
        <v>267</v>
      </c>
      <c r="B100" s="2" t="s">
        <v>284</v>
      </c>
      <c r="C100" s="2" t="s">
        <v>285</v>
      </c>
      <c r="D100" s="2" t="s">
        <v>36</v>
      </c>
      <c r="E100" s="2" t="s">
        <v>208</v>
      </c>
      <c r="F100" s="2" t="s">
        <v>50</v>
      </c>
      <c r="G100" s="2" t="s">
        <v>285</v>
      </c>
      <c r="H100" s="2" t="n">
        <v>95</v>
      </c>
      <c r="I100" s="3" t="s">
        <v>51</v>
      </c>
      <c r="J100" s="4" t="s">
        <v>22</v>
      </c>
      <c r="K100" s="3" t="s">
        <v>23</v>
      </c>
      <c r="L100" s="4" t="s">
        <v>24</v>
      </c>
      <c r="M100" s="3" t="s">
        <v>25</v>
      </c>
      <c r="N100" s="5" t="n">
        <v>46286</v>
      </c>
      <c r="O100" s="2"/>
    </row>
    <row r="101" customFormat="false" ht="23.85" hidden="false" customHeight="false" outlineLevel="0" collapsed="false">
      <c r="A101" s="2" t="s">
        <v>286</v>
      </c>
      <c r="B101" s="2" t="s">
        <v>286</v>
      </c>
      <c r="C101" s="2" t="s">
        <v>287</v>
      </c>
      <c r="D101" s="2" t="s">
        <v>28</v>
      </c>
      <c r="E101" s="2" t="s">
        <v>18</v>
      </c>
      <c r="F101" s="2" t="s">
        <v>288</v>
      </c>
      <c r="G101" s="2" t="s">
        <v>287</v>
      </c>
      <c r="H101" s="2" t="n">
        <v>85</v>
      </c>
      <c r="I101" s="4" t="s">
        <v>289</v>
      </c>
      <c r="J101" s="4" t="s">
        <v>22</v>
      </c>
      <c r="K101" s="3" t="s">
        <v>23</v>
      </c>
      <c r="L101" s="4" t="s">
        <v>24</v>
      </c>
      <c r="M101" s="3" t="s">
        <v>25</v>
      </c>
      <c r="N101" s="5" t="n">
        <v>46286</v>
      </c>
      <c r="O101" s="2"/>
    </row>
  </sheetData>
  <autoFilter ref="A1:O101"/>
  <hyperlinks>
    <hyperlink ref="I2" r:id="rId1" display="https://korean.visitkorea.or.kr/detail/ms_detail.do?cotid=758fb4e9-533f-4636-8753-73b8d059c54d"/>
    <hyperlink ref="J2" r:id="rId2" display="https://korean.visitkorea.or.kr/detail/rem_detail.do?cotid=ec1515b2-8a5c-45c9-99dc-a8c23fea9f9b"/>
    <hyperlink ref="L2" r:id="rId3" display="https://www.latimes.kr/news/articleView.html?idxno=51248"/>
    <hyperlink ref="I3" r:id="rId4" display="https://korean.visitkorea.or.kr/detail/ms_detail.do?cotid=ad931739-fca3-4135-a878-cc7fb82920ba"/>
    <hyperlink ref="J3" r:id="rId5" display="https://korean.visitkorea.or.kr/detail/rem_detail.do?cotid=ec1515b2-8a5c-45c9-99dc-a8c23fea9f9b"/>
    <hyperlink ref="L3" r:id="rId6" display="https://www.latimes.kr/news/articleView.html?idxno=51248"/>
    <hyperlink ref="I4" r:id="rId7" display="https://korean.visitkorea.or.kr/detail/ms_detail.do?cotid=e413abf3-f8a7-486d-95fd-4fb12598aefc"/>
    <hyperlink ref="J4" r:id="rId8" display="https://korean.visitkorea.or.kr/detail/rem_detail.do?cotid=ec1515b2-8a5c-45c9-99dc-a8c23fea9f9b"/>
    <hyperlink ref="L4" r:id="rId9" display="https://www.latimes.kr/news/articleView.html?idxno=51248"/>
    <hyperlink ref="I5" r:id="rId10" display="https://korean.visitkorea.or.kr/detail/ms_detail.do?cotid=7e26f7f5-dde8-4eab-b2e9-42d6d37aded1"/>
    <hyperlink ref="J5" r:id="rId11" display="https://korean.visitkorea.or.kr/detail/rem_detail.do?cotid=ec1515b2-8a5c-45c9-99dc-a8c23fea9f9b"/>
    <hyperlink ref="L5" r:id="rId12" display="https://www.latimes.kr/news/articleView.html?idxno=51248"/>
    <hyperlink ref="I6" r:id="rId13" display="https://korean.visitkorea.or.kr/detail/fes_detail.do?cotid=6ea28be2-79ab-4d79-b2a1-2aa9a0f04ae4"/>
    <hyperlink ref="J6" r:id="rId14" display="https://korean.visitkorea.or.kr/detail/rem_detail.do?cotid=ec1515b2-8a5c-45c9-99dc-a8c23fea9f9b"/>
    <hyperlink ref="L6" r:id="rId15" display="https://www.latimes.kr/news/articleView.html?idxno=51248"/>
    <hyperlink ref="I7" r:id="rId16" display="https://korean.visitkorea.or.kr/detail/ms_detail.do?cotid=b0e66d42-5c48-46f0-b6d7-1961fa3694d2"/>
    <hyperlink ref="J7" r:id="rId17" display="https://korean.visitkorea.or.kr/detail/rem_detail.do?cotid=ec1515b2-8a5c-45c9-99dc-a8c23fea9f9b"/>
    <hyperlink ref="L7" r:id="rId18" display="https://www.latimes.kr/news/articleView.html?idxno=51248"/>
    <hyperlink ref="I8" r:id="rId19" display="https://korean.visitkorea.or.kr/detail/fes_detail.do?cotid=6d7bc7b7-aa29-453a-b903-f7e88e361c69"/>
    <hyperlink ref="J8" r:id="rId20" display="https://korean.visitkorea.or.kr/detail/rem_detail.do?cotid=ec1515b2-8a5c-45c9-99dc-a8c23fea9f9b"/>
    <hyperlink ref="L8" r:id="rId21" display="https://www.latimes.kr/news/articleView.html?idxno=51248"/>
    <hyperlink ref="I9" r:id="rId22" display="https://korean.visitkorea.or.kr/detail/ms_detail.do?cotid=3c98e24b-9fb9-4ecf-b8a2-f26a5890748f"/>
    <hyperlink ref="J9" r:id="rId23" display="https://korean.visitkorea.or.kr/detail/rem_detail.do?cotid=ec1515b2-8a5c-45c9-99dc-a8c23fea9f9b"/>
    <hyperlink ref="L9" r:id="rId24" display="https://www.latimes.kr/news/articleView.html?idxno=51248"/>
    <hyperlink ref="J10" r:id="rId25" display="https://korean.visitkorea.or.kr/detail/rem_detail.do?cotid=ec1515b2-8a5c-45c9-99dc-a8c23fea9f9b"/>
    <hyperlink ref="L10" r:id="rId26" display="https://www.latimes.kr/news/articleView.html?idxno=51248"/>
    <hyperlink ref="I11" r:id="rId27" display="https://korean.visitkorea.or.kr/detail/fes_detail.do?cotid=0c8f4aa0-b00e-4f6e-8974-b07503c6bf7d"/>
    <hyperlink ref="J11" r:id="rId28" display="https://korean.visitkorea.or.kr/detail/rem_detail.do?cotid=ec1515b2-8a5c-45c9-99dc-a8c23fea9f9b"/>
    <hyperlink ref="L11" r:id="rId29" display="https://www.latimes.kr/news/articleView.html?idxno=51248"/>
    <hyperlink ref="I12" r:id="rId30" display="https://korean.visitkorea.or.kr/detail/ms_detail.do?cotid=0c3f5d56-ac09-4b34-915d-620035c29238"/>
    <hyperlink ref="J12" r:id="rId31" display="https://korean.visitkorea.or.kr/detail/rem_detail.do?cotid=ec1515b2-8a5c-45c9-99dc-a8c23fea9f9b"/>
    <hyperlink ref="L12" r:id="rId32" display="https://www.latimes.kr/news/articleView.html?idxno=51248"/>
    <hyperlink ref="I13" r:id="rId33" display="https://korean.visitkorea.or.kr/detail/ms_detail.do?cotid=2c53ae63-15ab-4f9e-9d66-2cbb008601d7"/>
    <hyperlink ref="J13" r:id="rId34" display="https://korean.visitkorea.or.kr/detail/rem_detail.do?cotid=ec1515b2-8a5c-45c9-99dc-a8c23fea9f9b"/>
    <hyperlink ref="L13" r:id="rId35" display="https://www.latimes.kr/news/articleView.html?idxno=51248"/>
    <hyperlink ref="I14" r:id="rId36" display="https://korean.visitkorea.or.kr/detail/ms_detail.do?cotid=3b7044ac-6578-4dba-b0a4-b54a645c23f0"/>
    <hyperlink ref="J14" r:id="rId37" display="https://korean.visitkorea.or.kr/detail/rem_detail.do?cotid=ec1515b2-8a5c-45c9-99dc-a8c23fea9f9b"/>
    <hyperlink ref="L14" r:id="rId38" display="https://www.latimes.kr/news/articleView.html?idxno=51248"/>
    <hyperlink ref="I15" r:id="rId39" display="https://korean.visitkorea.or.kr/detail/fes_detail.do?cotid=3f61273a-8ae7-4c8f-b62f-e3fa52489826"/>
    <hyperlink ref="J15" r:id="rId40" display="https://korean.visitkorea.or.kr/detail/rem_detail.do?cotid=ec1515b2-8a5c-45c9-99dc-a8c23fea9f9b"/>
    <hyperlink ref="L15" r:id="rId41" display="https://www.latimes.kr/news/articleView.html?idxno=51248"/>
    <hyperlink ref="I16" r:id="rId42" display="https://korean.visitkorea.or.kr/kfes/detail/fstvlDetail.do?fstvlCntntsId=4cb06aa3-9d38-45b4-90ce-4deb1d77efb4"/>
    <hyperlink ref="J16" r:id="rId43" display="https://korean.visitkorea.or.kr/detail/rem_detail.do?cotid=ec1515b2-8a5c-45c9-99dc-a8c23fea9f9b"/>
    <hyperlink ref="L16" r:id="rId44" display="https://www.latimes.kr/news/articleView.html?idxno=51248"/>
    <hyperlink ref="I17" r:id="rId45" display="https://korean.visitkorea.or.kr/detail/fes_detail.do?cotid=352301c5-9109-457d-bc9a-1078ee234ab6"/>
    <hyperlink ref="J17" r:id="rId46" display="https://korean.visitkorea.or.kr/detail/rem_detail.do?cotid=ec1515b2-8a5c-45c9-99dc-a8c23fea9f9b"/>
    <hyperlink ref="L17" r:id="rId47" display="https://www.latimes.kr/news/articleView.html?idxno=51248"/>
    <hyperlink ref="I18" r:id="rId48" display="https://korean.visitkorea.or.kr/detail/ms_detail.do?cotid=af55f079-93b5-4f2d-bc46-0848e95de04b"/>
    <hyperlink ref="J18" r:id="rId49" display="https://korean.visitkorea.or.kr/detail/rem_detail.do?cotid=ec1515b2-8a5c-45c9-99dc-a8c23fea9f9b"/>
    <hyperlink ref="L18" r:id="rId50" display="https://www.latimes.kr/news/articleView.html?idxno=51248"/>
    <hyperlink ref="I19" r:id="rId51" display="https://korean.visitkorea.or.kr/detail/ms_detail.do?cotid=da15d47f-c0b6-4cb0-9f91-3e9e5c217ce2"/>
    <hyperlink ref="J19" r:id="rId52" display="https://korean.visitkorea.or.kr/detail/rem_detail.do?cotid=ec1515b2-8a5c-45c9-99dc-a8c23fea9f9b"/>
    <hyperlink ref="L19" r:id="rId53" display="https://www.latimes.kr/news/articleView.html?idxno=51248"/>
    <hyperlink ref="I20" r:id="rId54" display="https://korean.visitkorea.or.kr/detail/ms_detail.do?cotid=214a6b35-763e-4071-bba7-63dbaa3dd72d"/>
    <hyperlink ref="J20" r:id="rId55" display="https://korean.visitkorea.or.kr/detail/rem_detail.do?cotid=ec1515b2-8a5c-45c9-99dc-a8c23fea9f9b"/>
    <hyperlink ref="L20" r:id="rId56" display="https://www.latimes.kr/news/articleView.html?idxno=51248"/>
    <hyperlink ref="I21" r:id="rId57" display="https://korean.visitkorea.or.kr/detail/fes_detail.do?cotid=2b8b5453-9431-4099-9990-389db594f6bd"/>
    <hyperlink ref="J21" r:id="rId58" display="https://korean.visitkorea.or.kr/detail/rem_detail.do?cotid=ec1515b2-8a5c-45c9-99dc-a8c23fea9f9b"/>
    <hyperlink ref="L21" r:id="rId59" display="https://www.latimes.kr/news/articleView.html?idxno=51248"/>
    <hyperlink ref="I22" r:id="rId60" display="https://korean.visitkorea.or.kr/detail/ms_detail.do?cotid=c560c170-53fc-425f-aea9-7443e764ea4b"/>
    <hyperlink ref="J22" r:id="rId61" display="https://korean.visitkorea.or.kr/detail/rem_detail.do?cotid=ec1515b2-8a5c-45c9-99dc-a8c23fea9f9b"/>
    <hyperlink ref="L22" r:id="rId62" display="https://www.latimes.kr/news/articleView.html?idxno=51248"/>
    <hyperlink ref="I23" r:id="rId63" display="https://korean.visitkorea.or.kr/detail/ms_detail.do?cotid=6ce47e47-af78-40da-8e8a-41b4a7039383"/>
    <hyperlink ref="J23" r:id="rId64" display="https://korean.visitkorea.or.kr/detail/rem_detail.do?cotid=ec1515b2-8a5c-45c9-99dc-a8c23fea9f9b"/>
    <hyperlink ref="L23" r:id="rId65" display="https://www.latimes.kr/news/articleView.html?idxno=51248"/>
    <hyperlink ref="J24" r:id="rId66" display="https://korean.visitkorea.or.kr/detail/rem_detail.do?cotid=ec1515b2-8a5c-45c9-99dc-a8c23fea9f9b"/>
    <hyperlink ref="L24" r:id="rId67" display="https://www.latimes.kr/news/articleView.html?idxno=51248"/>
    <hyperlink ref="I25" r:id="rId68" display="https://korean.visitkorea.or.kr/detail/ms_detail.do?cotid=87e613c6-f7c3-4d3f-8d60-13c2f8166b95"/>
    <hyperlink ref="J25" r:id="rId69" display="https://korean.visitkorea.or.kr/detail/rem_detail.do?cotid=ec1515b2-8a5c-45c9-99dc-a8c23fea9f9b"/>
    <hyperlink ref="L25" r:id="rId70" display="https://www.latimes.kr/news/articleView.html?idxno=51248"/>
    <hyperlink ref="I26" r:id="rId71" display="https://korean.visitkorea.or.kr/detail/ms_detail.do?cotid=3aa48408-dc2f-4094-8e7b-685f2a10b1f8"/>
    <hyperlink ref="J26" r:id="rId72" display="https://korean.visitkorea.or.kr/detail/rem_detail.do?cotid=ec1515b2-8a5c-45c9-99dc-a8c23fea9f9b"/>
    <hyperlink ref="L26" r:id="rId73" display="https://www.latimes.kr/news/articleView.html?idxno=51248"/>
    <hyperlink ref="I27" r:id="rId74" display="https://korean.visitkorea.or.kr/detail/ms_detail.do?cotid=a0522fb7-8f73-4b87-9ff5-643c387b0dd7"/>
    <hyperlink ref="J27" r:id="rId75" display="https://korean.visitkorea.or.kr/detail/rem_detail.do?cotid=ec1515b2-8a5c-45c9-99dc-a8c23fea9f9b"/>
    <hyperlink ref="L27" r:id="rId76" display="https://www.latimes.kr/news/articleView.html?idxno=51248"/>
    <hyperlink ref="I28" r:id="rId77" display="https://korean.visitkorea.or.kr/detail/ms_detail.do?cotid=ed22ac19-ce77-42ec-8641-e18ebcf15611"/>
    <hyperlink ref="J28" r:id="rId78" display="https://korean.visitkorea.or.kr/detail/rem_detail.do?cotid=ec1515b2-8a5c-45c9-99dc-a8c23fea9f9b"/>
    <hyperlink ref="L28" r:id="rId79" display="https://www.latimes.kr/news/articleView.html?idxno=51248"/>
    <hyperlink ref="I29" r:id="rId80" display="https://korean.visitkorea.or.kr/detail/ms_detail.do?cotid=e31b433d-10ac-42e3-8605-ffb4c5a04187"/>
    <hyperlink ref="J29" r:id="rId81" display="https://korean.visitkorea.or.kr/detail/rem_detail.do?cotid=ec1515b2-8a5c-45c9-99dc-a8c23fea9f9b"/>
    <hyperlink ref="L29" r:id="rId82" display="https://www.latimes.kr/news/articleView.html?idxno=51248"/>
    <hyperlink ref="J30" r:id="rId83" display="https://korean.visitkorea.or.kr/detail/rem_detail.do?cotid=ec1515b2-8a5c-45c9-99dc-a8c23fea9f9b"/>
    <hyperlink ref="L30" r:id="rId84" display="https://www.latimes.kr/news/articleView.html?idxno=51248"/>
    <hyperlink ref="I31" r:id="rId85" display="https://korean.visitkorea.or.kr/detail/fes_detail.do?cotid=9749190a-18da-479c-819d-a1f8662b3595"/>
    <hyperlink ref="J31" r:id="rId86" display="https://korean.visitkorea.or.kr/detail/rem_detail.do?cotid=ec1515b2-8a5c-45c9-99dc-a8c23fea9f9b"/>
    <hyperlink ref="L31" r:id="rId87" display="https://www.latimes.kr/news/articleView.html?idxno=51248"/>
    <hyperlink ref="I32" r:id="rId88" display="https://korean.visitkorea.or.kr/detail/ms_detail.do?cotid=b2b8cedb-5a9c-494b-9d9e-acbbe731bc04"/>
    <hyperlink ref="J32" r:id="rId89" display="https://korean.visitkorea.or.kr/detail/rem_detail.do?cotid=ec1515b2-8a5c-45c9-99dc-a8c23fea9f9b"/>
    <hyperlink ref="L32" r:id="rId90" display="https://www.latimes.kr/news/articleView.html?idxno=51248"/>
    <hyperlink ref="I33" r:id="rId91" display="https://korean.visitkorea.or.kr/detail/ms_detail.do?cotid=0460fc0b-711d-491f-92c3-a70481371ae3"/>
    <hyperlink ref="J33" r:id="rId92" display="https://korean.visitkorea.or.kr/detail/rem_detail.do?cotid=ec1515b2-8a5c-45c9-99dc-a8c23fea9f9b"/>
    <hyperlink ref="L33" r:id="rId93" display="https://www.latimes.kr/news/articleView.html?idxno=51248"/>
    <hyperlink ref="J34" r:id="rId94" display="https://korean.visitkorea.or.kr/detail/rem_detail.do?cotid=ec1515b2-8a5c-45c9-99dc-a8c23fea9f9b"/>
    <hyperlink ref="L34" r:id="rId95" display="https://www.latimes.kr/news/articleView.html?idxno=51248"/>
    <hyperlink ref="I35" r:id="rId96" display="https://korean.visitkorea.or.kr/detail/ms_detail.do?cotid=7fab7f3f-c38a-4e3c-8590-0afb69127b6f"/>
    <hyperlink ref="J35" r:id="rId97" display="https://korean.visitkorea.or.kr/detail/rem_detail.do?cotid=ec1515b2-8a5c-45c9-99dc-a8c23fea9f9b"/>
    <hyperlink ref="L35" r:id="rId98" display="https://www.latimes.kr/news/articleView.html?idxno=51248"/>
    <hyperlink ref="J36" r:id="rId99" display="https://korean.visitkorea.or.kr/detail/rem_detail.do?cotid=ec1515b2-8a5c-45c9-99dc-a8c23fea9f9b"/>
    <hyperlink ref="L36" r:id="rId100" display="https://www.latimes.kr/news/articleView.html?idxno=51248"/>
    <hyperlink ref="I37" r:id="rId101" display="https://korean.visitkorea.or.kr/detail/ms_detail.do?cotid=c95db770-ff20-4a0c-bf2b-c45bc2a6335d"/>
    <hyperlink ref="J37" r:id="rId102" display="https://korean.visitkorea.or.kr/detail/rem_detail.do?cotid=ec1515b2-8a5c-45c9-99dc-a8c23fea9f9b"/>
    <hyperlink ref="L37" r:id="rId103" display="https://www.latimes.kr/news/articleView.html?idxno=51248"/>
    <hyperlink ref="I38" r:id="rId104" display="https://korean.visitkorea.or.kr/detail/ms_detail.do?cotid=e8660b54-9a93-4e87-9bb8-6ff0cb934b19"/>
    <hyperlink ref="J38" r:id="rId105" display="https://korean.visitkorea.or.kr/detail/rem_detail.do?cotid=ec1515b2-8a5c-45c9-99dc-a8c23fea9f9b"/>
    <hyperlink ref="L38" r:id="rId106" display="https://www.latimes.kr/news/articleView.html?idxno=51248"/>
    <hyperlink ref="I39" r:id="rId107" display="https://korean.visitkorea.or.kr/detail/fes_detail.do?cotid=72c61e4f-6a63-48f0-b590-249463c372d3"/>
    <hyperlink ref="J39" r:id="rId108" display="https://korean.visitkorea.or.kr/detail/rem_detail.do?cotid=ec1515b2-8a5c-45c9-99dc-a8c23fea9f9b"/>
    <hyperlink ref="L39" r:id="rId109" display="https://www.latimes.kr/news/articleView.html?idxno=51248"/>
    <hyperlink ref="I40" r:id="rId110" display="https://korean.visitkorea.or.kr/detail/ms_detail.do?cotid=37ce975b-c2bd-4ea1-83aa-cba93120a746"/>
    <hyperlink ref="J40" r:id="rId111" display="https://korean.visitkorea.or.kr/detail/rem_detail.do?cotid=ec1515b2-8a5c-45c9-99dc-a8c23fea9f9b"/>
    <hyperlink ref="L40" r:id="rId112" display="https://www.latimes.kr/news/articleView.html?idxno=51248"/>
    <hyperlink ref="I41" r:id="rId113" display="https://korean.visitkorea.or.kr/detail/ms_detail.do?cotid=a62d5503-2483-4a7d-95d3-925bc8c067e3"/>
    <hyperlink ref="J41" r:id="rId114" display="https://korean.visitkorea.or.kr/detail/rem_detail.do?cotid=ec1515b2-8a5c-45c9-99dc-a8c23fea9f9b"/>
    <hyperlink ref="L41" r:id="rId115" display="https://www.latimes.kr/news/articleView.html?idxno=51248"/>
    <hyperlink ref="I42" r:id="rId116" display="https://korean.visitkorea.or.kr/detail/ms_detail.do?cotid=7be6babf-e785-44da-9f4c-f7117f83ab23"/>
    <hyperlink ref="J42" r:id="rId117" display="https://korean.visitkorea.or.kr/detail/rem_detail.do?cotid=ec1515b2-8a5c-45c9-99dc-a8c23fea9f9b"/>
    <hyperlink ref="L42" r:id="rId118" display="https://www.latimes.kr/news/articleView.html?idxno=51248"/>
    <hyperlink ref="I43" r:id="rId119" display="https://korean.visitkorea.or.kr/detail/ms_detail.do?cotid=9601cbf8-f259-4ad4-aea1-337c3c634fad"/>
    <hyperlink ref="J43" r:id="rId120" display="https://korean.visitkorea.or.kr/detail/rem_detail.do?cotid=ec1515b2-8a5c-45c9-99dc-a8c23fea9f9b"/>
    <hyperlink ref="L43" r:id="rId121" display="https://www.latimes.kr/news/articleView.html?idxno=51248"/>
    <hyperlink ref="I44" r:id="rId122" display="https://korean.visitkorea.or.kr/detail/ms_detail.do?cotid=eee5ecee-a493-4dc0-b82f-fe8f6c08dbd7"/>
    <hyperlink ref="J44" r:id="rId123" display="https://korean.visitkorea.or.kr/detail/rem_detail.do?cotid=ec1515b2-8a5c-45c9-99dc-a8c23fea9f9b"/>
    <hyperlink ref="L44" r:id="rId124" display="https://www.latimes.kr/news/articleView.html?idxno=51248"/>
    <hyperlink ref="I45" r:id="rId125" display="https://korean.visitkorea.or.kr/detail/ms_detail.do?cotid=484e2027-1d0c-4a1b-ac33-0f7b61e02cde"/>
    <hyperlink ref="J45" r:id="rId126" display="https://korean.visitkorea.or.kr/detail/rem_detail.do?cotid=ec1515b2-8a5c-45c9-99dc-a8c23fea9f9b"/>
    <hyperlink ref="L45" r:id="rId127" display="https://www.latimes.kr/news/articleView.html?idxno=51248"/>
    <hyperlink ref="I46" r:id="rId128" display="https://korean.visitkorea.or.kr/detail/ms_detail.do?cotid=1545e671-68f3-4680-b8c1-8bfac00191eb"/>
    <hyperlink ref="J46" r:id="rId129" display="https://korean.visitkorea.or.kr/detail/rem_detail.do?cotid=ec1515b2-8a5c-45c9-99dc-a8c23fea9f9b"/>
    <hyperlink ref="L46" r:id="rId130" display="https://www.latimes.kr/news/articleView.html?idxno=51248"/>
    <hyperlink ref="I47" r:id="rId131" display="https://korean.visitkorea.or.kr/detail/ms_detail.do?cotid=0c661c4e-6d1f-4dd2-8264-3ffb88a6bbc2"/>
    <hyperlink ref="J47" r:id="rId132" display="https://korean.visitkorea.or.kr/detail/rem_detail.do?cotid=ec1515b2-8a5c-45c9-99dc-a8c23fea9f9b"/>
    <hyperlink ref="L47" r:id="rId133" display="https://www.latimes.kr/news/articleView.html?idxno=51248"/>
    <hyperlink ref="I48" r:id="rId134" display="https://korean.visitkorea.or.kr/detail/fes_detail.do?cotid=5b14ce01-d312-46ed-8474-e041898e8b83"/>
    <hyperlink ref="J48" r:id="rId135" display="https://korean.visitkorea.or.kr/detail/rem_detail.do?cotid=ec1515b2-8a5c-45c9-99dc-a8c23fea9f9b"/>
    <hyperlink ref="L48" r:id="rId136" display="https://www.latimes.kr/news/articleView.html?idxno=51248"/>
    <hyperlink ref="I49" r:id="rId137" display="https://korean.visitkorea.or.kr/detail/ms_detail.do?cotid=8abcb54d-20cc-4712-99c0-2ccbc5370c51"/>
    <hyperlink ref="J49" r:id="rId138" display="https://korean.visitkorea.or.kr/detail/rem_detail.do?cotid=ec1515b2-8a5c-45c9-99dc-a8c23fea9f9b"/>
    <hyperlink ref="L49" r:id="rId139" display="https://www.latimes.kr/news/articleView.html?idxno=51248"/>
    <hyperlink ref="I50" r:id="rId140" display="https://korean.visitkorea.or.kr/detail/ms_detail.do?cotid=1ee41394-2efa-4ae3-9ffb-e8b29c94201b"/>
    <hyperlink ref="J50" r:id="rId141" display="https://korean.visitkorea.or.kr/detail/rem_detail.do?cotid=ec1515b2-8a5c-45c9-99dc-a8c23fea9f9b"/>
    <hyperlink ref="L50" r:id="rId142" display="https://www.latimes.kr/news/articleView.html?idxno=51248"/>
    <hyperlink ref="J51" r:id="rId143" display="https://korean.visitkorea.or.kr/detail/rem_detail.do?cotid=ec1515b2-8a5c-45c9-99dc-a8c23fea9f9b"/>
    <hyperlink ref="L51" r:id="rId144" display="https://www.latimes.kr/news/articleView.html?idxno=51248"/>
    <hyperlink ref="I52" r:id="rId145" display="https://korean.visitkorea.or.kr/detail/ms_detail.do?cotid=78d14f23-dca9-43c3-82d9-cc715c1d8dd8"/>
    <hyperlink ref="J52" r:id="rId146" display="https://korean.visitkorea.or.kr/detail/rem_detail.do?cotid=ec1515b2-8a5c-45c9-99dc-a8c23fea9f9b"/>
    <hyperlink ref="L52" r:id="rId147" display="https://www.latimes.kr/news/articleView.html?idxno=51248"/>
    <hyperlink ref="I53" r:id="rId148" display="https://korean.visitkorea.or.kr/detail/ms_detail.do?cotid=1fb3cc64-aabd-495f-ae45-52b76c162a9f"/>
    <hyperlink ref="J53" r:id="rId149" display="https://korean.visitkorea.or.kr/detail/rem_detail.do?cotid=ec1515b2-8a5c-45c9-99dc-a8c23fea9f9b"/>
    <hyperlink ref="L53" r:id="rId150" display="https://www.latimes.kr/news/articleView.html?idxno=51248"/>
    <hyperlink ref="I54" r:id="rId151" display="https://korean.visitkorea.or.kr/detail/ms_detail.do?cotid=c58680b5-e48b-4e92-9255-43794b7aa93e"/>
    <hyperlink ref="J54" r:id="rId152" display="https://korean.visitkorea.or.kr/detail/rem_detail.do?cotid=ec1515b2-8a5c-45c9-99dc-a8c23fea9f9b"/>
    <hyperlink ref="L54" r:id="rId153" display="https://www.latimes.kr/news/articleView.html?idxno=51248"/>
    <hyperlink ref="I55" r:id="rId154" display="https://korean.visitkorea.or.kr/detail/ms_detail.do?cotid=d6a0777a-3350-4743-87a9-f4d304ac0c8e"/>
    <hyperlink ref="J55" r:id="rId155" display="https://korean.visitkorea.or.kr/detail/rem_detail.do?cotid=ec1515b2-8a5c-45c9-99dc-a8c23fea9f9b"/>
    <hyperlink ref="L55" r:id="rId156" display="https://www.latimes.kr/news/articleView.html?idxno=51248"/>
    <hyperlink ref="I56" r:id="rId157" display="https://korean.visitkorea.or.kr/detail/ms_detail.do?cotid=87a8fbad-70cb-4ce2-9a7c-a37578204fd3"/>
    <hyperlink ref="J56" r:id="rId158" display="https://korean.visitkorea.or.kr/detail/rem_detail.do?cotid=ec1515b2-8a5c-45c9-99dc-a8c23fea9f9b"/>
    <hyperlink ref="L56" r:id="rId159" display="https://www.latimes.kr/news/articleView.html?idxno=51248"/>
    <hyperlink ref="I57" r:id="rId160" display="https://korean.visitkorea.or.kr/detail/fes_detail.do?cotid=a7442b26-fce5-42cd-a6eb-4575e7a347b7"/>
    <hyperlink ref="J57" r:id="rId161" display="https://korean.visitkorea.or.kr/detail/rem_detail.do?cotid=ec1515b2-8a5c-45c9-99dc-a8c23fea9f9b"/>
    <hyperlink ref="L57" r:id="rId162" display="https://www.latimes.kr/news/articleView.html?idxno=51248"/>
    <hyperlink ref="I58" r:id="rId163" display="https://korean.visitkorea.or.kr/detail/ms_detail.do?cotid=8275d64e-1fc0-4511-984e-2de88cb5e593"/>
    <hyperlink ref="J58" r:id="rId164" display="https://korean.visitkorea.or.kr/detail/rem_detail.do?cotid=ec1515b2-8a5c-45c9-99dc-a8c23fea9f9b"/>
    <hyperlink ref="L58" r:id="rId165" display="https://www.latimes.kr/news/articleView.html?idxno=51248"/>
    <hyperlink ref="I59" r:id="rId166" display="https://korean.visitkorea.or.kr/detail/ms_detail.do?cotid=ef24ef32-cdd3-42a8-8fcb-bee4afa4c458"/>
    <hyperlink ref="J59" r:id="rId167" display="https://korean.visitkorea.or.kr/detail/rem_detail.do?cotid=ec1515b2-8a5c-45c9-99dc-a8c23fea9f9b"/>
    <hyperlink ref="L59" r:id="rId168" display="https://www.latimes.kr/news/articleView.html?idxno=51248"/>
    <hyperlink ref="I60" r:id="rId169" display="https://korean.visitkorea.or.kr/detail/ms_detail.do?cotid=ae0ab957-abb8-4ea6-a777-ec2d9e782d2e"/>
    <hyperlink ref="J60" r:id="rId170" display="https://korean.visitkorea.or.kr/detail/rem_detail.do?cotid=ec1515b2-8a5c-45c9-99dc-a8c23fea9f9b"/>
    <hyperlink ref="L60" r:id="rId171" display="https://www.latimes.kr/news/articleView.html?idxno=51248"/>
    <hyperlink ref="J61" r:id="rId172" display="https://korean.visitkorea.or.kr/detail/rem_detail.do?cotid=ec1515b2-8a5c-45c9-99dc-a8c23fea9f9b"/>
    <hyperlink ref="L61" r:id="rId173" display="https://www.latimes.kr/news/articleView.html?idxno=51248"/>
    <hyperlink ref="I62" r:id="rId174" display="https://korean.visitkorea.or.kr/detail/ms_detail.do?cotid=27ed68b5-c921-40d0-a8de-960d9a6b8939"/>
    <hyperlink ref="J62" r:id="rId175" display="https://korean.visitkorea.or.kr/detail/rem_detail.do?cotid=ec1515b2-8a5c-45c9-99dc-a8c23fea9f9b"/>
    <hyperlink ref="L62" r:id="rId176" display="https://www.latimes.kr/news/articleView.html?idxno=51248"/>
    <hyperlink ref="I63" r:id="rId177" display="https://korean.visitkorea.or.kr/detail/fes_detail.do?cotid=bcc4ea14-1068-4c2f-be53-b03b48abd94d"/>
    <hyperlink ref="J63" r:id="rId178" display="https://korean.visitkorea.or.kr/detail/rem_detail.do?cotid=ec1515b2-8a5c-45c9-99dc-a8c23fea9f9b"/>
    <hyperlink ref="L63" r:id="rId179" display="https://www.latimes.kr/news/articleView.html?idxno=51248"/>
    <hyperlink ref="I64" r:id="rId180" display="https://korean.visitkorea.or.kr/detail/fes_detail.do?cotid=da2c0d94-e3e2-433a-8d2c-94932aee8776"/>
    <hyperlink ref="J64" r:id="rId181" display="https://korean.visitkorea.or.kr/detail/rem_detail.do?cotid=ec1515b2-8a5c-45c9-99dc-a8c23fea9f9b"/>
    <hyperlink ref="L64" r:id="rId182" display="https://www.latimes.kr/news/articleView.html?idxno=51248"/>
    <hyperlink ref="I65" r:id="rId183" display="https://korean.visitkorea.or.kr/detail/ms_detail.do?cotid=95fc3873-a4b8-4a78-a72f-ed566acb9d86"/>
    <hyperlink ref="J65" r:id="rId184" display="https://korean.visitkorea.or.kr/detail/rem_detail.do?cotid=ec1515b2-8a5c-45c9-99dc-a8c23fea9f9b"/>
    <hyperlink ref="L65" r:id="rId185" display="https://www.latimes.kr/news/articleView.html?idxno=51248"/>
    <hyperlink ref="I66" r:id="rId186" display="https://korean.visitkorea.or.kr/detail/fes_detail.do?cotid=8489d4ff-8cf1-4bf6-86bd-bc196affc988"/>
    <hyperlink ref="J66" r:id="rId187" display="https://korean.visitkorea.or.kr/detail/rem_detail.do?cotid=ec1515b2-8a5c-45c9-99dc-a8c23fea9f9b"/>
    <hyperlink ref="L66" r:id="rId188" display="https://www.latimes.kr/news/articleView.html?idxno=51248"/>
    <hyperlink ref="I67" r:id="rId189" display="https://korean.visitkorea.or.kr/detail/fes_detail.do?cotid=a012ffd2-ecdc-4479-a4a9-4b1f157b6f77"/>
    <hyperlink ref="J67" r:id="rId190" display="https://korean.visitkorea.or.kr/detail/rem_detail.do?cotid=ec1515b2-8a5c-45c9-99dc-a8c23fea9f9b"/>
    <hyperlink ref="L67" r:id="rId191" display="https://www.latimes.kr/news/articleView.html?idxno=51248"/>
    <hyperlink ref="I68" r:id="rId192" display="https://korean.visitkorea.or.kr/kfes/detail/fstvlDetail.do?cmsCntntsId=637546"/>
    <hyperlink ref="J68" r:id="rId193" display="https://korean.visitkorea.or.kr/detail/rem_detail.do?cotid=ec1515b2-8a5c-45c9-99dc-a8c23fea9f9b"/>
    <hyperlink ref="L68" r:id="rId194" display="https://www.latimes.kr/news/articleView.html?idxno=51248"/>
    <hyperlink ref="I69" r:id="rId195" display="https://korean.visitkorea.or.kr/detail/fes_detail.do?cotid=c3ae5756-a5a1-4258-98d7-ea8a49c6f99e"/>
    <hyperlink ref="J69" r:id="rId196" display="https://korean.visitkorea.or.kr/detail/rem_detail.do?cotid=ec1515b2-8a5c-45c9-99dc-a8c23fea9f9b"/>
    <hyperlink ref="L69" r:id="rId197" display="https://www.latimes.kr/news/articleView.html?idxno=51248"/>
    <hyperlink ref="I70" r:id="rId198" display="https://korean.visitkorea.or.kr/detail/ms_detail.do?cotid=3f5ee0d8-eae1-4506-bce0-b8e10436723b"/>
    <hyperlink ref="J70" r:id="rId199" display="https://korean.visitkorea.or.kr/detail/rem_detail.do?cotid=ec1515b2-8a5c-45c9-99dc-a8c23fea9f9b"/>
    <hyperlink ref="L70" r:id="rId200" display="https://www.latimes.kr/news/articleView.html?idxno=51248"/>
    <hyperlink ref="I71" r:id="rId201" display="https://korean.visitkorea.or.kr/detail/ms_detail.do?cotid=f3435a31-7d31-4808-adad-0696272126ab"/>
    <hyperlink ref="J71" r:id="rId202" display="https://korean.visitkorea.or.kr/detail/rem_detail.do?cotid=ec1515b2-8a5c-45c9-99dc-a8c23fea9f9b"/>
    <hyperlink ref="L71" r:id="rId203" display="https://www.latimes.kr/news/articleView.html?idxno=51248"/>
    <hyperlink ref="I72" r:id="rId204" display="https://korean.visitkorea.or.kr/detail/fes_detail.do?cotid=1201bb55-0ca1-47b2-bfc4-3c88f165613b"/>
    <hyperlink ref="J72" r:id="rId205" display="https://korean.visitkorea.or.kr/detail/rem_detail.do?cotid=ec1515b2-8a5c-45c9-99dc-a8c23fea9f9b"/>
    <hyperlink ref="L72" r:id="rId206" display="https://www.latimes.kr/news/articleView.html?idxno=51248"/>
    <hyperlink ref="J73" r:id="rId207" display="https://korean.visitkorea.or.kr/detail/rem_detail.do?cotid=ec1515b2-8a5c-45c9-99dc-a8c23fea9f9b"/>
    <hyperlink ref="L73" r:id="rId208" display="https://www.latimes.kr/news/articleView.html?idxno=51248"/>
    <hyperlink ref="J74" r:id="rId209" display="https://korean.visitkorea.or.kr/detail/rem_detail.do?cotid=ec1515b2-8a5c-45c9-99dc-a8c23fea9f9b"/>
    <hyperlink ref="L74" r:id="rId210" display="https://www.latimes.kr/news/articleView.html?idxno=51248"/>
    <hyperlink ref="J75" r:id="rId211" display="https://korean.visitkorea.or.kr/detail/rem_detail.do?cotid=ec1515b2-8a5c-45c9-99dc-a8c23fea9f9b"/>
    <hyperlink ref="L75" r:id="rId212" display="https://www.latimes.kr/news/articleView.html?idxno=51248"/>
    <hyperlink ref="I76" r:id="rId213" display="https://korean.visitkorea.or.kr/detail/ms_detail.do?cotid=b9a1511c-98d9-4197-88dc-1a73aa3be740"/>
    <hyperlink ref="J76" r:id="rId214" display="https://korean.visitkorea.or.kr/detail/rem_detail.do?cotid=ec1515b2-8a5c-45c9-99dc-a8c23fea9f9b"/>
    <hyperlink ref="L76" r:id="rId215" display="https://www.latimes.kr/news/articleView.html?idxno=51248"/>
    <hyperlink ref="I77" r:id="rId216" display="https://korean.visitkorea.or.kr/detail/ms_detail.do?cotid=7770a339-d073-4b39-ad71-b08eb7e5d308"/>
    <hyperlink ref="J77" r:id="rId217" display="https://korean.visitkorea.or.kr/detail/rem_detail.do?cotid=ec1515b2-8a5c-45c9-99dc-a8c23fea9f9b"/>
    <hyperlink ref="L77" r:id="rId218" display="https://www.latimes.kr/news/articleView.html?idxno=51248"/>
    <hyperlink ref="I78" r:id="rId219" display="https://korean.visitkorea.or.kr/detail/ms_detail.do?cotid=6da54421-9ab9-4853-80d6-1eadbf0ad73b"/>
    <hyperlink ref="J78" r:id="rId220" display="https://korean.visitkorea.or.kr/detail/rem_detail.do?cotid=ec1515b2-8a5c-45c9-99dc-a8c23fea9f9b"/>
    <hyperlink ref="L78" r:id="rId221" display="https://www.latimes.kr/news/articleView.html?idxno=51248"/>
    <hyperlink ref="I79" r:id="rId222" display="https://korean.visitkorea.or.kr/detail/ms_detail.do?cotid=b046dbdc-67db-49f0-acca-fffa75befdf9"/>
    <hyperlink ref="J79" r:id="rId223" display="https://korean.visitkorea.or.kr/detail/rem_detail.do?cotid=ec1515b2-8a5c-45c9-99dc-a8c23fea9f9b"/>
    <hyperlink ref="L79" r:id="rId224" display="https://www.latimes.kr/news/articleView.html?idxno=51248"/>
    <hyperlink ref="I80" r:id="rId225" display="https://korean.visitkorea.or.kr/detail/ms_detail.do?cotid=ec28bc85-95ba-4b58-a36d-3f02988eeae1"/>
    <hyperlink ref="J80" r:id="rId226" display="https://korean.visitkorea.or.kr/detail/rem_detail.do?cotid=ec1515b2-8a5c-45c9-99dc-a8c23fea9f9b"/>
    <hyperlink ref="L80" r:id="rId227" display="https://www.latimes.kr/news/articleView.html?idxno=51248"/>
    <hyperlink ref="I81" r:id="rId228" display="https://korean.visitkorea.or.kr/detail/ms_detail.do?cotid=f2ddf685-03cd-4936-b819-71102e909961"/>
    <hyperlink ref="J81" r:id="rId229" display="https://korean.visitkorea.or.kr/detail/rem_detail.do?cotid=ec1515b2-8a5c-45c9-99dc-a8c23fea9f9b"/>
    <hyperlink ref="L81" r:id="rId230" display="https://www.latimes.kr/news/articleView.html?idxno=51248"/>
    <hyperlink ref="I82" r:id="rId231" display="https://korean.visitkorea.or.kr/detail/ms_detail.do?cotid=bab0ebe9-31cc-4305-82a2-904542009326"/>
    <hyperlink ref="J82" r:id="rId232" display="https://korean.visitkorea.or.kr/detail/rem_detail.do?cotid=ec1515b2-8a5c-45c9-99dc-a8c23fea9f9b"/>
    <hyperlink ref="L82" r:id="rId233" display="https://www.latimes.kr/news/articleView.html?idxno=51248"/>
    <hyperlink ref="J83" r:id="rId234" display="https://korean.visitkorea.or.kr/detail/rem_detail.do?cotid=ec1515b2-8a5c-45c9-99dc-a8c23fea9f9b"/>
    <hyperlink ref="L83" r:id="rId235" display="https://www.latimes.kr/news/articleView.html?idxno=51248"/>
    <hyperlink ref="J84" r:id="rId236" display="https://korean.visitkorea.or.kr/detail/rem_detail.do?cotid=ec1515b2-8a5c-45c9-99dc-a8c23fea9f9b"/>
    <hyperlink ref="L84" r:id="rId237" display="https://www.latimes.kr/news/articleView.html?idxno=51248"/>
    <hyperlink ref="J85" r:id="rId238" display="https://korean.visitkorea.or.kr/detail/rem_detail.do?cotid=ec1515b2-8a5c-45c9-99dc-a8c23fea9f9b"/>
    <hyperlink ref="L85" r:id="rId239" display="https://www.latimes.kr/news/articleView.html?idxno=51248"/>
    <hyperlink ref="I86" r:id="rId240" display="https://korean.visitkorea.or.kr/detail/ms_detail.do?cotid=a2c8627c-a567-4779-be8d-d5b76e893e46"/>
    <hyperlink ref="J86" r:id="rId241" display="https://korean.visitkorea.or.kr/detail/rem_detail.do?cotid=ec1515b2-8a5c-45c9-99dc-a8c23fea9f9b"/>
    <hyperlink ref="L86" r:id="rId242" display="https://www.latimes.kr/news/articleView.html?idxno=51248"/>
    <hyperlink ref="J87" r:id="rId243" display="https://korean.visitkorea.or.kr/detail/rem_detail.do?cotid=ec1515b2-8a5c-45c9-99dc-a8c23fea9f9b"/>
    <hyperlink ref="L87" r:id="rId244" display="https://www.latimes.kr/news/articleView.html?idxno=51248"/>
    <hyperlink ref="I88" r:id="rId245" display="https://korean.visitkorea.or.kr/detail/ms_detail.do?cotid=c5ea6ff8-ebfc-4bda-af4a-ffbf48cbe21a"/>
    <hyperlink ref="J88" r:id="rId246" display="https://korean.visitkorea.or.kr/detail/rem_detail.do?cotid=ec1515b2-8a5c-45c9-99dc-a8c23fea9f9b"/>
    <hyperlink ref="L88" r:id="rId247" display="https://www.latimes.kr/news/articleView.html?idxno=51248"/>
    <hyperlink ref="J89" r:id="rId248" display="https://korean.visitkorea.or.kr/detail/rem_detail.do?cotid=ec1515b2-8a5c-45c9-99dc-a8c23fea9f9b"/>
    <hyperlink ref="L89" r:id="rId249" display="https://www.latimes.kr/news/articleView.html?idxno=51248"/>
    <hyperlink ref="I90" r:id="rId250" display="https://korean.visitkorea.or.kr/detail/detail_view.do?cotid=d0ef562d-cf39-423c-94df-240aa1ea0d06"/>
    <hyperlink ref="J90" r:id="rId251" display="https://korean.visitkorea.or.kr/detail/rem_detail.do?cotid=ec1515b2-8a5c-45c9-99dc-a8c23fea9f9b"/>
    <hyperlink ref="L90" r:id="rId252" display="https://www.latimes.kr/news/articleView.html?idxno=51248"/>
    <hyperlink ref="I91" r:id="rId253" display="https://korean.visitkorea.or.kr/detail/ms_detail.do?cotid=2a08732b-eba3-45e7-8b72-384abd02c9be"/>
    <hyperlink ref="J91" r:id="rId254" display="https://korean.visitkorea.or.kr/detail/rem_detail.do?cotid=ec1515b2-8a5c-45c9-99dc-a8c23fea9f9b"/>
    <hyperlink ref="L91" r:id="rId255" display="https://www.latimes.kr/news/articleView.html?idxno=51248"/>
    <hyperlink ref="I92" r:id="rId256" display="https://korean.visitkorea.or.kr/detail/fes_detail.do?cotid=58de2a24-22b4-4a8a-a652-104b1a6fc5a5"/>
    <hyperlink ref="J92" r:id="rId257" display="https://korean.visitkorea.or.kr/detail/rem_detail.do?cotid=ec1515b2-8a5c-45c9-99dc-a8c23fea9f9b"/>
    <hyperlink ref="L92" r:id="rId258" display="https://www.latimes.kr/news/articleView.html?idxno=51248"/>
    <hyperlink ref="I93" r:id="rId259" display="https://korean.visitkorea.or.kr/detail/ms_detail.do?cotid=c8664819-5f7d-429f-a390-124c1d5cc390"/>
    <hyperlink ref="J93" r:id="rId260" display="https://korean.visitkorea.or.kr/detail/rem_detail.do?cotid=ec1515b2-8a5c-45c9-99dc-a8c23fea9f9b"/>
    <hyperlink ref="L93" r:id="rId261" display="https://www.latimes.kr/news/articleView.html?idxno=51248"/>
    <hyperlink ref="J94" r:id="rId262" display="https://korean.visitkorea.or.kr/detail/rem_detail.do?cotid=ec1515b2-8a5c-45c9-99dc-a8c23fea9f9b"/>
    <hyperlink ref="L94" r:id="rId263" display="https://www.latimes.kr/news/articleView.html?idxno=51248"/>
    <hyperlink ref="I95" r:id="rId264" display="https://korean.visitkorea.or.kr/detail/fes_detail.do?cotid=1e38f854-c8c5-49fa-af19-2f055be3d200"/>
    <hyperlink ref="J95" r:id="rId265" display="https://korean.visitkorea.or.kr/detail/rem_detail.do?cotid=ec1515b2-8a5c-45c9-99dc-a8c23fea9f9b"/>
    <hyperlink ref="L95" r:id="rId266" display="https://www.latimes.kr/news/articleView.html?idxno=51248"/>
    <hyperlink ref="I96" r:id="rId267" display="https://korean.visitkorea.or.kr/detail/fes_detail.do?cotid=99049320-b002-45f8-81c9-4b5febd7dcfa"/>
    <hyperlink ref="J96" r:id="rId268" display="https://korean.visitkorea.or.kr/detail/rem_detail.do?cotid=ec1515b2-8a5c-45c9-99dc-a8c23fea9f9b"/>
    <hyperlink ref="L96" r:id="rId269" display="https://www.latimes.kr/news/articleView.html?idxno=51248"/>
    <hyperlink ref="J97" r:id="rId270" display="https://korean.visitkorea.or.kr/detail/rem_detail.do?cotid=ec1515b2-8a5c-45c9-99dc-a8c23fea9f9b"/>
    <hyperlink ref="L97" r:id="rId271" display="https://www.latimes.kr/news/articleView.html?idxno=51248"/>
    <hyperlink ref="I98" r:id="rId272" display="https://korean.visitkorea.or.kr/detail/ms_detail.do?cotid=9ab6d6ed-abd9-456a-9623-0d2132e9686f"/>
    <hyperlink ref="J98" r:id="rId273" display="https://korean.visitkorea.or.kr/detail/rem_detail.do?cotid=ec1515b2-8a5c-45c9-99dc-a8c23fea9f9b"/>
    <hyperlink ref="L98" r:id="rId274" display="https://www.latimes.kr/news/articleView.html?idxno=51248"/>
    <hyperlink ref="I99" r:id="rId275" display="https://korean.visitkorea.or.kr/detail/ms_detail.do?cotid=173e124a-46ee-4d07-affd-0a77894e2ea9"/>
    <hyperlink ref="J99" r:id="rId276" display="https://korean.visitkorea.or.kr/detail/rem_detail.do?cotid=ec1515b2-8a5c-45c9-99dc-a8c23fea9f9b"/>
    <hyperlink ref="L99" r:id="rId277" display="https://www.latimes.kr/news/articleView.html?idxno=51248"/>
    <hyperlink ref="J100" r:id="rId278" display="https://korean.visitkorea.or.kr/detail/rem_detail.do?cotid=ec1515b2-8a5c-45c9-99dc-a8c23fea9f9b"/>
    <hyperlink ref="L100" r:id="rId279" display="https://www.latimes.kr/news/articleView.html?idxno=51248"/>
    <hyperlink ref="I101" r:id="rId280" display="https://korean.visitkorea.or.kr/detail/ms_detail.do?cotid=6be6dfa5-fab3-4153-a63f-9461faecd8a1"/>
    <hyperlink ref="J101" r:id="rId281" display="https://korean.visitkorea.or.kr/detail/rem_detail.do?cotid=ec1515b2-8a5c-45c9-99dc-a8c23fea9f9b"/>
    <hyperlink ref="L101" r:id="rId282" display="https://www.latimes.kr/news/articleView.html?idxno=5124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1.7"/>
    <col collapsed="false" customWidth="true" hidden="false" outlineLevel="0" max="2" min="2" style="0" width="10.02"/>
    <col collapsed="false" customWidth="true" hidden="false" outlineLevel="0" max="3" min="3" style="0" width="11.68"/>
    <col collapsed="false" customWidth="true" hidden="false" outlineLevel="0" max="8" min="4" style="0" width="10.02"/>
  </cols>
  <sheetData>
    <row r="1" customFormat="false" ht="15" hidden="false" customHeight="false" outlineLevel="0" collapsed="false">
      <c r="A1" s="6" t="s">
        <v>290</v>
      </c>
      <c r="B1" s="6" t="s">
        <v>28</v>
      </c>
      <c r="C1" s="6" t="s">
        <v>291</v>
      </c>
      <c r="D1" s="6" t="s">
        <v>57</v>
      </c>
      <c r="E1" s="6" t="s">
        <v>80</v>
      </c>
      <c r="F1" s="6" t="s">
        <v>17</v>
      </c>
      <c r="G1" s="6" t="s">
        <v>73</v>
      </c>
      <c r="H1" s="6" t="s">
        <v>292</v>
      </c>
    </row>
    <row r="2" customFormat="false" ht="15" hidden="false" customHeight="false" outlineLevel="0" collapsed="false">
      <c r="A2" s="7" t="s">
        <v>15</v>
      </c>
      <c r="B2" s="7" t="n">
        <f aca="false">COUNTIFS('100선'!$A:$A,$A2,'100선'!$D:$D,B$1)</f>
        <v>4</v>
      </c>
      <c r="C2" s="7" t="n">
        <f aca="false">COUNTIFS('100선'!$A:$A,$A2,'100선'!$D:$D,C$1)</f>
        <v>3</v>
      </c>
      <c r="D2" s="7" t="n">
        <f aca="false">COUNTIFS('100선'!$A:$A,$A2,'100선'!$D:$D,D$1)</f>
        <v>0</v>
      </c>
      <c r="E2" s="7" t="n">
        <f aca="false">COUNTIFS('100선'!$A:$A,$A2,'100선'!$D:$D,E$1)</f>
        <v>0</v>
      </c>
      <c r="F2" s="7" t="n">
        <f aca="false">COUNTIFS('100선'!$A:$A,$A2,'100선'!$D:$D,F$1)</f>
        <v>1</v>
      </c>
      <c r="G2" s="7" t="n">
        <f aca="false">COUNTIFS('100선'!$A:$A,$A2,'100선'!$D:$D,G$1)</f>
        <v>0</v>
      </c>
      <c r="H2" s="7" t="n">
        <f aca="false">SUM(B2:G2)</f>
        <v>8</v>
      </c>
    </row>
    <row r="3" customFormat="false" ht="15" hidden="false" customHeight="false" outlineLevel="0" collapsed="false">
      <c r="A3" s="7" t="s">
        <v>48</v>
      </c>
      <c r="B3" s="7" t="n">
        <f aca="false">COUNTIFS('100선'!$A:$A,$A3,'100선'!$D:$D,B$1)</f>
        <v>0</v>
      </c>
      <c r="C3" s="7" t="n">
        <f aca="false">COUNTIFS('100선'!$A:$A,$A3,'100선'!$D:$D,C$1)</f>
        <v>6</v>
      </c>
      <c r="D3" s="7" t="n">
        <f aca="false">COUNTIFS('100선'!$A:$A,$A3,'100선'!$D:$D,D$1)</f>
        <v>2</v>
      </c>
      <c r="E3" s="7" t="n">
        <f aca="false">COUNTIFS('100선'!$A:$A,$A3,'100선'!$D:$D,E$1)</f>
        <v>0</v>
      </c>
      <c r="F3" s="7" t="n">
        <f aca="false">COUNTIFS('100선'!$A:$A,$A3,'100선'!$D:$D,F$1)</f>
        <v>0</v>
      </c>
      <c r="G3" s="7" t="n">
        <f aca="false">COUNTIFS('100선'!$A:$A,$A3,'100선'!$D:$D,G$1)</f>
        <v>0</v>
      </c>
      <c r="H3" s="7" t="n">
        <f aca="false">SUM(B3:G3)</f>
        <v>8</v>
      </c>
    </row>
    <row r="4" customFormat="false" ht="15" hidden="false" customHeight="false" outlineLevel="0" collapsed="false">
      <c r="A4" s="7" t="s">
        <v>69</v>
      </c>
      <c r="B4" s="7" t="n">
        <f aca="false">COUNTIFS('100선'!$A:$A,$A4,'100선'!$D:$D,B$1)</f>
        <v>0</v>
      </c>
      <c r="C4" s="7" t="n">
        <f aca="false">COUNTIFS('100선'!$A:$A,$A4,'100선'!$D:$D,C$1)</f>
        <v>1</v>
      </c>
      <c r="D4" s="7" t="n">
        <f aca="false">COUNTIFS('100선'!$A:$A,$A4,'100선'!$D:$D,D$1)</f>
        <v>1</v>
      </c>
      <c r="E4" s="7" t="n">
        <f aca="false">COUNTIFS('100선'!$A:$A,$A4,'100선'!$D:$D,E$1)</f>
        <v>1</v>
      </c>
      <c r="F4" s="7" t="n">
        <f aca="false">COUNTIFS('100선'!$A:$A,$A4,'100선'!$D:$D,F$1)</f>
        <v>0</v>
      </c>
      <c r="G4" s="7" t="n">
        <f aca="false">COUNTIFS('100선'!$A:$A,$A4,'100선'!$D:$D,G$1)</f>
        <v>2</v>
      </c>
      <c r="H4" s="7" t="n">
        <f aca="false">SUM(B4:G4)</f>
        <v>5</v>
      </c>
    </row>
    <row r="5" customFormat="false" ht="15" hidden="false" customHeight="false" outlineLevel="0" collapsed="false">
      <c r="A5" s="7" t="s">
        <v>82</v>
      </c>
      <c r="B5" s="7" t="n">
        <f aca="false">COUNTIFS('100선'!$A:$A,$A5,'100선'!$D:$D,B$1)</f>
        <v>3</v>
      </c>
      <c r="C5" s="7" t="n">
        <f aca="false">COUNTIFS('100선'!$A:$A,$A5,'100선'!$D:$D,C$1)</f>
        <v>0</v>
      </c>
      <c r="D5" s="7" t="n">
        <f aca="false">COUNTIFS('100선'!$A:$A,$A5,'100선'!$D:$D,D$1)</f>
        <v>1</v>
      </c>
      <c r="E5" s="7" t="n">
        <f aca="false">COUNTIFS('100선'!$A:$A,$A5,'100선'!$D:$D,E$1)</f>
        <v>1</v>
      </c>
      <c r="F5" s="7" t="n">
        <f aca="false">COUNTIFS('100선'!$A:$A,$A5,'100선'!$D:$D,F$1)</f>
        <v>0</v>
      </c>
      <c r="G5" s="7" t="n">
        <f aca="false">COUNTIFS('100선'!$A:$A,$A5,'100선'!$D:$D,G$1)</f>
        <v>0</v>
      </c>
      <c r="H5" s="7" t="n">
        <f aca="false">SUM(B5:G5)</f>
        <v>5</v>
      </c>
    </row>
    <row r="6" customFormat="false" ht="15" hidden="false" customHeight="false" outlineLevel="0" collapsed="false">
      <c r="A6" s="7" t="s">
        <v>92</v>
      </c>
      <c r="B6" s="7" t="n">
        <f aca="false">COUNTIFS('100선'!$A:$A,$A6,'100선'!$D:$D,B$1)</f>
        <v>1</v>
      </c>
      <c r="C6" s="7" t="n">
        <f aca="false">COUNTIFS('100선'!$A:$A,$A6,'100선'!$D:$D,C$1)</f>
        <v>0</v>
      </c>
      <c r="D6" s="7" t="n">
        <f aca="false">COUNTIFS('100선'!$A:$A,$A6,'100선'!$D:$D,D$1)</f>
        <v>1</v>
      </c>
      <c r="E6" s="7" t="n">
        <f aca="false">COUNTIFS('100선'!$A:$A,$A6,'100선'!$D:$D,E$1)</f>
        <v>0</v>
      </c>
      <c r="F6" s="7" t="n">
        <f aca="false">COUNTIFS('100선'!$A:$A,$A6,'100선'!$D:$D,F$1)</f>
        <v>0</v>
      </c>
      <c r="G6" s="7" t="n">
        <f aca="false">COUNTIFS('100선'!$A:$A,$A6,'100선'!$D:$D,G$1)</f>
        <v>0</v>
      </c>
      <c r="H6" s="7" t="n">
        <f aca="false">SUM(B6:G6)</f>
        <v>2</v>
      </c>
    </row>
    <row r="7" customFormat="false" ht="15" hidden="false" customHeight="false" outlineLevel="0" collapsed="false">
      <c r="A7" s="7" t="s">
        <v>98</v>
      </c>
      <c r="B7" s="7" t="n">
        <f aca="false">COUNTIFS('100선'!$A:$A,$A7,'100선'!$D:$D,B$1)</f>
        <v>1</v>
      </c>
      <c r="C7" s="7" t="n">
        <f aca="false">COUNTIFS('100선'!$A:$A,$A7,'100선'!$D:$D,C$1)</f>
        <v>2</v>
      </c>
      <c r="D7" s="7" t="n">
        <f aca="false">COUNTIFS('100선'!$A:$A,$A7,'100선'!$D:$D,D$1)</f>
        <v>0</v>
      </c>
      <c r="E7" s="7" t="n">
        <f aca="false">COUNTIFS('100선'!$A:$A,$A7,'100선'!$D:$D,E$1)</f>
        <v>0</v>
      </c>
      <c r="F7" s="7" t="n">
        <f aca="false">COUNTIFS('100선'!$A:$A,$A7,'100선'!$D:$D,F$1)</f>
        <v>0</v>
      </c>
      <c r="G7" s="7" t="n">
        <f aca="false">COUNTIFS('100선'!$A:$A,$A7,'100선'!$D:$D,G$1)</f>
        <v>0</v>
      </c>
      <c r="H7" s="7" t="n">
        <f aca="false">SUM(B7:G7)</f>
        <v>3</v>
      </c>
    </row>
    <row r="8" customFormat="false" ht="15" hidden="false" customHeight="false" outlineLevel="0" collapsed="false">
      <c r="A8" s="7" t="s">
        <v>106</v>
      </c>
      <c r="B8" s="7" t="n">
        <f aca="false">COUNTIFS('100선'!$A:$A,$A8,'100선'!$D:$D,B$1)</f>
        <v>1</v>
      </c>
      <c r="C8" s="7" t="n">
        <f aca="false">COUNTIFS('100선'!$A:$A,$A8,'100선'!$D:$D,C$1)</f>
        <v>0</v>
      </c>
      <c r="D8" s="7" t="n">
        <f aca="false">COUNTIFS('100선'!$A:$A,$A8,'100선'!$D:$D,D$1)</f>
        <v>0</v>
      </c>
      <c r="E8" s="7" t="n">
        <f aca="false">COUNTIFS('100선'!$A:$A,$A8,'100선'!$D:$D,E$1)</f>
        <v>1</v>
      </c>
      <c r="F8" s="7" t="n">
        <f aca="false">COUNTIFS('100선'!$A:$A,$A8,'100선'!$D:$D,F$1)</f>
        <v>1</v>
      </c>
      <c r="G8" s="7" t="n">
        <f aca="false">COUNTIFS('100선'!$A:$A,$A8,'100선'!$D:$D,G$1)</f>
        <v>1</v>
      </c>
      <c r="H8" s="7" t="n">
        <f aca="false">SUM(B8:G8)</f>
        <v>4</v>
      </c>
    </row>
    <row r="9" customFormat="false" ht="15" hidden="false" customHeight="false" outlineLevel="0" collapsed="false">
      <c r="A9" s="7" t="s">
        <v>113</v>
      </c>
      <c r="B9" s="7" t="n">
        <f aca="false">COUNTIFS('100선'!$A:$A,$A9,'100선'!$D:$D,B$1)</f>
        <v>1</v>
      </c>
      <c r="C9" s="7" t="n">
        <f aca="false">COUNTIFS('100선'!$A:$A,$A9,'100선'!$D:$D,C$1)</f>
        <v>0</v>
      </c>
      <c r="D9" s="7" t="n">
        <f aca="false">COUNTIFS('100선'!$A:$A,$A9,'100선'!$D:$D,D$1)</f>
        <v>0</v>
      </c>
      <c r="E9" s="7" t="n">
        <f aca="false">COUNTIFS('100선'!$A:$A,$A9,'100선'!$D:$D,E$1)</f>
        <v>0</v>
      </c>
      <c r="F9" s="7" t="n">
        <f aca="false">COUNTIFS('100선'!$A:$A,$A9,'100선'!$D:$D,F$1)</f>
        <v>0</v>
      </c>
      <c r="G9" s="7" t="n">
        <f aca="false">COUNTIFS('100선'!$A:$A,$A9,'100선'!$D:$D,G$1)</f>
        <v>0</v>
      </c>
      <c r="H9" s="7" t="n">
        <f aca="false">SUM(B9:G9)</f>
        <v>1</v>
      </c>
    </row>
    <row r="10" customFormat="false" ht="15" hidden="false" customHeight="false" outlineLevel="0" collapsed="false">
      <c r="A10" s="7" t="s">
        <v>116</v>
      </c>
      <c r="B10" s="7" t="n">
        <f aca="false">COUNTIFS('100선'!$A:$A,$A10,'100선'!$D:$D,B$1)</f>
        <v>3</v>
      </c>
      <c r="C10" s="7" t="n">
        <f aca="false">COUNTIFS('100선'!$A:$A,$A10,'100선'!$D:$D,C$1)</f>
        <v>2</v>
      </c>
      <c r="D10" s="7" t="n">
        <f aca="false">COUNTIFS('100선'!$A:$A,$A10,'100선'!$D:$D,D$1)</f>
        <v>0</v>
      </c>
      <c r="E10" s="7" t="n">
        <f aca="false">COUNTIFS('100선'!$A:$A,$A10,'100선'!$D:$D,E$1)</f>
        <v>1</v>
      </c>
      <c r="F10" s="7" t="n">
        <f aca="false">COUNTIFS('100선'!$A:$A,$A10,'100선'!$D:$D,F$1)</f>
        <v>0</v>
      </c>
      <c r="G10" s="7" t="n">
        <f aca="false">COUNTIFS('100선'!$A:$A,$A10,'100선'!$D:$D,G$1)</f>
        <v>0</v>
      </c>
      <c r="H10" s="7" t="n">
        <f aca="false">SUM(B10:G10)</f>
        <v>6</v>
      </c>
    </row>
    <row r="11" customFormat="false" ht="15" hidden="false" customHeight="false" outlineLevel="0" collapsed="false">
      <c r="A11" s="7" t="s">
        <v>138</v>
      </c>
      <c r="B11" s="7" t="n">
        <f aca="false">COUNTIFS('100선'!$A:$A,$A11,'100선'!$D:$D,B$1)</f>
        <v>4</v>
      </c>
      <c r="C11" s="7" t="n">
        <f aca="false">COUNTIFS('100선'!$A:$A,$A11,'100선'!$D:$D,C$1)</f>
        <v>2</v>
      </c>
      <c r="D11" s="7" t="n">
        <f aca="false">COUNTIFS('100선'!$A:$A,$A11,'100선'!$D:$D,D$1)</f>
        <v>0</v>
      </c>
      <c r="E11" s="7" t="n">
        <f aca="false">COUNTIFS('100선'!$A:$A,$A11,'100선'!$D:$D,E$1)</f>
        <v>1</v>
      </c>
      <c r="F11" s="7" t="n">
        <f aca="false">COUNTIFS('100선'!$A:$A,$A11,'100선'!$D:$D,F$1)</f>
        <v>0</v>
      </c>
      <c r="G11" s="7" t="n">
        <f aca="false">COUNTIFS('100선'!$A:$A,$A11,'100선'!$D:$D,G$1)</f>
        <v>0</v>
      </c>
      <c r="H11" s="7" t="n">
        <f aca="false">SUM(B11:G11)</f>
        <v>7</v>
      </c>
    </row>
    <row r="12" customFormat="false" ht="15" hidden="false" customHeight="false" outlineLevel="0" collapsed="false">
      <c r="A12" s="7" t="s">
        <v>160</v>
      </c>
      <c r="B12" s="7" t="n">
        <f aca="false">COUNTIFS('100선'!$A:$A,$A12,'100선'!$D:$D,B$1)</f>
        <v>1</v>
      </c>
      <c r="C12" s="7" t="n">
        <f aca="false">COUNTIFS('100선'!$A:$A,$A12,'100선'!$D:$D,C$1)</f>
        <v>0</v>
      </c>
      <c r="D12" s="7" t="n">
        <f aca="false">COUNTIFS('100선'!$A:$A,$A12,'100선'!$D:$D,D$1)</f>
        <v>1</v>
      </c>
      <c r="E12" s="7" t="n">
        <f aca="false">COUNTIFS('100선'!$A:$A,$A12,'100선'!$D:$D,E$1)</f>
        <v>0</v>
      </c>
      <c r="F12" s="7" t="n">
        <f aca="false">COUNTIFS('100선'!$A:$A,$A12,'100선'!$D:$D,F$1)</f>
        <v>1</v>
      </c>
      <c r="G12" s="7" t="n">
        <f aca="false">COUNTIFS('100선'!$A:$A,$A12,'100선'!$D:$D,G$1)</f>
        <v>0</v>
      </c>
      <c r="H12" s="7" t="n">
        <f aca="false">SUM(B12:G12)</f>
        <v>3</v>
      </c>
    </row>
    <row r="13" customFormat="false" ht="15" hidden="false" customHeight="false" outlineLevel="0" collapsed="false">
      <c r="A13" s="7" t="s">
        <v>167</v>
      </c>
      <c r="B13" s="7" t="n">
        <f aca="false">COUNTIFS('100선'!$A:$A,$A13,'100선'!$D:$D,B$1)</f>
        <v>4</v>
      </c>
      <c r="C13" s="7" t="n">
        <f aca="false">COUNTIFS('100선'!$A:$A,$A13,'100선'!$D:$D,C$1)</f>
        <v>2</v>
      </c>
      <c r="D13" s="7" t="n">
        <f aca="false">COUNTIFS('100선'!$A:$A,$A13,'100선'!$D:$D,D$1)</f>
        <v>0</v>
      </c>
      <c r="E13" s="7" t="n">
        <f aca="false">COUNTIFS('100선'!$A:$A,$A13,'100선'!$D:$D,E$1)</f>
        <v>1</v>
      </c>
      <c r="F13" s="7" t="n">
        <f aca="false">COUNTIFS('100선'!$A:$A,$A13,'100선'!$D:$D,F$1)</f>
        <v>1</v>
      </c>
      <c r="G13" s="7" t="n">
        <f aca="false">COUNTIFS('100선'!$A:$A,$A13,'100선'!$D:$D,G$1)</f>
        <v>0</v>
      </c>
      <c r="H13" s="7" t="n">
        <f aca="false">SUM(B13:G13)</f>
        <v>8</v>
      </c>
    </row>
    <row r="14" customFormat="false" ht="15" hidden="false" customHeight="false" outlineLevel="0" collapsed="false">
      <c r="A14" s="7" t="s">
        <v>188</v>
      </c>
      <c r="B14" s="7" t="n">
        <f aca="false">COUNTIFS('100선'!$A:$A,$A14,'100선'!$D:$D,B$1)</f>
        <v>1</v>
      </c>
      <c r="C14" s="7" t="n">
        <f aca="false">COUNTIFS('100선'!$A:$A,$A14,'100선'!$D:$D,C$1)</f>
        <v>7</v>
      </c>
      <c r="D14" s="7" t="n">
        <f aca="false">COUNTIFS('100선'!$A:$A,$A14,'100선'!$D:$D,D$1)</f>
        <v>0</v>
      </c>
      <c r="E14" s="7" t="n">
        <f aca="false">COUNTIFS('100선'!$A:$A,$A14,'100선'!$D:$D,E$1)</f>
        <v>0</v>
      </c>
      <c r="F14" s="7" t="n">
        <f aca="false">COUNTIFS('100선'!$A:$A,$A14,'100선'!$D:$D,F$1)</f>
        <v>0</v>
      </c>
      <c r="G14" s="7" t="n">
        <f aca="false">COUNTIFS('100선'!$A:$A,$A14,'100선'!$D:$D,G$1)</f>
        <v>0</v>
      </c>
      <c r="H14" s="7" t="n">
        <f aca="false">SUM(B14:G14)</f>
        <v>8</v>
      </c>
    </row>
    <row r="15" customFormat="false" ht="15" hidden="false" customHeight="false" outlineLevel="0" collapsed="false">
      <c r="A15" s="7" t="s">
        <v>211</v>
      </c>
      <c r="B15" s="7" t="n">
        <f aca="false">COUNTIFS('100선'!$A:$A,$A15,'100선'!$D:$D,B$1)</f>
        <v>3</v>
      </c>
      <c r="C15" s="7" t="n">
        <f aca="false">COUNTIFS('100선'!$A:$A,$A15,'100선'!$D:$D,C$1)</f>
        <v>3</v>
      </c>
      <c r="D15" s="7" t="n">
        <f aca="false">COUNTIFS('100선'!$A:$A,$A15,'100선'!$D:$D,D$1)</f>
        <v>1</v>
      </c>
      <c r="E15" s="7" t="n">
        <f aca="false">COUNTIFS('100선'!$A:$A,$A15,'100선'!$D:$D,E$1)</f>
        <v>0</v>
      </c>
      <c r="F15" s="7" t="n">
        <f aca="false">COUNTIFS('100선'!$A:$A,$A15,'100선'!$D:$D,F$1)</f>
        <v>0</v>
      </c>
      <c r="G15" s="7" t="n">
        <f aca="false">COUNTIFS('100선'!$A:$A,$A15,'100선'!$D:$D,G$1)</f>
        <v>1</v>
      </c>
      <c r="H15" s="7" t="n">
        <f aca="false">SUM(B15:G15)</f>
        <v>8</v>
      </c>
    </row>
    <row r="16" customFormat="false" ht="15" hidden="false" customHeight="false" outlineLevel="0" collapsed="false">
      <c r="A16" s="7" t="s">
        <v>233</v>
      </c>
      <c r="B16" s="7" t="n">
        <f aca="false">COUNTIFS('100선'!$A:$A,$A16,'100선'!$D:$D,B$1)</f>
        <v>8</v>
      </c>
      <c r="C16" s="7" t="n">
        <f aca="false">COUNTIFS('100선'!$A:$A,$A16,'100선'!$D:$D,C$1)</f>
        <v>3</v>
      </c>
      <c r="D16" s="7" t="n">
        <f aca="false">COUNTIFS('100선'!$A:$A,$A16,'100선'!$D:$D,D$1)</f>
        <v>3</v>
      </c>
      <c r="E16" s="7" t="n">
        <f aca="false">COUNTIFS('100선'!$A:$A,$A16,'100선'!$D:$D,E$1)</f>
        <v>0</v>
      </c>
      <c r="F16" s="7" t="n">
        <f aca="false">COUNTIFS('100선'!$A:$A,$A16,'100선'!$D:$D,F$1)</f>
        <v>1</v>
      </c>
      <c r="G16" s="7" t="n">
        <f aca="false">COUNTIFS('100선'!$A:$A,$A16,'100선'!$D:$D,G$1)</f>
        <v>0</v>
      </c>
      <c r="H16" s="7" t="n">
        <f aca="false">SUM(B16:G16)</f>
        <v>15</v>
      </c>
    </row>
    <row r="17" customFormat="false" ht="15" hidden="false" customHeight="false" outlineLevel="0" collapsed="false">
      <c r="A17" s="7" t="s">
        <v>267</v>
      </c>
      <c r="B17" s="7" t="n">
        <f aca="false">COUNTIFS('100선'!$A:$A,$A17,'100선'!$D:$D,B$1)</f>
        <v>1</v>
      </c>
      <c r="C17" s="7" t="n">
        <f aca="false">COUNTIFS('100선'!$A:$A,$A17,'100선'!$D:$D,C$1)</f>
        <v>3</v>
      </c>
      <c r="D17" s="7" t="n">
        <f aca="false">COUNTIFS('100선'!$A:$A,$A17,'100선'!$D:$D,D$1)</f>
        <v>0</v>
      </c>
      <c r="E17" s="7" t="n">
        <f aca="false">COUNTIFS('100선'!$A:$A,$A17,'100선'!$D:$D,E$1)</f>
        <v>1</v>
      </c>
      <c r="F17" s="7" t="n">
        <f aca="false">COUNTIFS('100선'!$A:$A,$A17,'100선'!$D:$D,F$1)</f>
        <v>2</v>
      </c>
      <c r="G17" s="7" t="n">
        <f aca="false">COUNTIFS('100선'!$A:$A,$A17,'100선'!$D:$D,G$1)</f>
        <v>1</v>
      </c>
      <c r="H17" s="7" t="n">
        <f aca="false">SUM(B17:G17)</f>
        <v>8</v>
      </c>
    </row>
    <row r="18" customFormat="false" ht="15" hidden="false" customHeight="false" outlineLevel="0" collapsed="false">
      <c r="A18" s="7" t="s">
        <v>286</v>
      </c>
      <c r="B18" s="7" t="n">
        <f aca="false">COUNTIFS('100선'!$A:$A,$A18,'100선'!$D:$D,B$1)</f>
        <v>1</v>
      </c>
      <c r="C18" s="7" t="n">
        <f aca="false">COUNTIFS('100선'!$A:$A,$A18,'100선'!$D:$D,C$1)</f>
        <v>0</v>
      </c>
      <c r="D18" s="7" t="n">
        <f aca="false">COUNTIFS('100선'!$A:$A,$A18,'100선'!$D:$D,D$1)</f>
        <v>0</v>
      </c>
      <c r="E18" s="7" t="n">
        <f aca="false">COUNTIFS('100선'!$A:$A,$A18,'100선'!$D:$D,E$1)</f>
        <v>0</v>
      </c>
      <c r="F18" s="7" t="n">
        <f aca="false">COUNTIFS('100선'!$A:$A,$A18,'100선'!$D:$D,F$1)</f>
        <v>0</v>
      </c>
      <c r="G18" s="7" t="n">
        <f aca="false">COUNTIFS('100선'!$A:$A,$A18,'100선'!$D:$D,G$1)</f>
        <v>0</v>
      </c>
      <c r="H18" s="7" t="n">
        <f aca="false">SUM(B18:G18)</f>
        <v>1</v>
      </c>
    </row>
    <row r="19" customFormat="false" ht="15" hidden="false" customHeight="false" outlineLevel="0" collapsed="false">
      <c r="A19" s="6" t="s">
        <v>292</v>
      </c>
      <c r="B19" s="6" t="n">
        <f aca="false">SUM(B2:B18)</f>
        <v>37</v>
      </c>
      <c r="C19" s="6" t="n">
        <f aca="false">SUM(C2:C18)</f>
        <v>34</v>
      </c>
      <c r="D19" s="6" t="n">
        <f aca="false">SUM(D2:D18)</f>
        <v>10</v>
      </c>
      <c r="E19" s="6" t="n">
        <f aca="false">SUM(E2:E18)</f>
        <v>7</v>
      </c>
      <c r="F19" s="6" t="n">
        <f aca="false">SUM(F2:F18)</f>
        <v>7</v>
      </c>
      <c r="G19" s="6" t="n">
        <f aca="false">SUM(G2:G18)</f>
        <v>5</v>
      </c>
      <c r="H19" s="6" t="n">
        <f aca="false">SUM(H2:H18)</f>
        <v>100</v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7" t="s">
        <v>293</v>
      </c>
      <c r="B21" s="7" t="n">
        <f aca="false">COUNTA('100선'!C:C)-1</f>
        <v>100</v>
      </c>
      <c r="C21" s="8" t="s">
        <v>294</v>
      </c>
      <c r="D21" s="7"/>
      <c r="E21" s="7"/>
      <c r="F21" s="7"/>
      <c r="G21" s="7"/>
      <c r="H21" s="7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7" t="s">
        <v>295</v>
      </c>
      <c r="B23" s="7" t="s">
        <v>296</v>
      </c>
      <c r="C23" s="7" t="s">
        <v>297</v>
      </c>
      <c r="D23" s="7"/>
      <c r="E23" s="7"/>
      <c r="F23" s="7"/>
      <c r="G23" s="7"/>
      <c r="H23" s="7"/>
    </row>
    <row r="24" customFormat="false" ht="15" hidden="false" customHeight="false" outlineLevel="0" collapsed="false">
      <c r="A24" s="7" t="s">
        <v>234</v>
      </c>
      <c r="B24" s="7" t="n">
        <f aca="false">COUNTIFS('100선'!$A:$A,"경북",'100선'!$B:$B,$A24)</f>
        <v>3</v>
      </c>
      <c r="C24" s="7" t="s">
        <v>298</v>
      </c>
      <c r="D24" s="7"/>
      <c r="E24" s="7"/>
      <c r="F24" s="7"/>
      <c r="G24" s="7"/>
      <c r="H24" s="7"/>
    </row>
    <row r="25" customFormat="false" ht="15" hidden="false" customHeight="false" outlineLevel="0" collapsed="false">
      <c r="A25" s="7" t="s">
        <v>246</v>
      </c>
      <c r="B25" s="7" t="n">
        <f aca="false">COUNTIFS('100선'!$A:$A,"경북",'100선'!$B:$B,$A25)</f>
        <v>3</v>
      </c>
      <c r="C25" s="7" t="s">
        <v>299</v>
      </c>
      <c r="D25" s="7"/>
      <c r="E25" s="7"/>
      <c r="F25" s="7"/>
      <c r="G25" s="7"/>
      <c r="H25" s="7"/>
    </row>
    <row r="26" customFormat="false" ht="15" hidden="false" customHeight="false" outlineLevel="0" collapsed="false">
      <c r="A26" s="7" t="s">
        <v>259</v>
      </c>
      <c r="B26" s="7" t="n">
        <f aca="false">COUNTIFS('100선'!$A:$A,"경북",'100선'!$B:$B,$A26)</f>
        <v>3</v>
      </c>
      <c r="C26" s="7" t="s">
        <v>300</v>
      </c>
      <c r="D26" s="7"/>
      <c r="E26" s="7"/>
      <c r="F26" s="7"/>
      <c r="G26" s="7"/>
      <c r="H26" s="7"/>
    </row>
    <row r="27" customFormat="false" ht="15" hidden="false" customHeight="false" outlineLevel="0" collapsed="false">
      <c r="A27" s="7" t="s">
        <v>241</v>
      </c>
      <c r="B27" s="7" t="n">
        <f aca="false">COUNTIFS('100선'!$A:$A,"경북",'100선'!$B:$B,$A27)</f>
        <v>2</v>
      </c>
      <c r="C27" s="7" t="s">
        <v>301</v>
      </c>
      <c r="D27" s="7"/>
      <c r="E27" s="7"/>
      <c r="F27" s="7"/>
      <c r="G27" s="7"/>
      <c r="H27" s="7"/>
    </row>
    <row r="28" customFormat="false" ht="15" hidden="false" customHeight="false" outlineLevel="0" collapsed="false">
      <c r="A28" s="7" t="s">
        <v>253</v>
      </c>
      <c r="B28" s="7" t="n">
        <f aca="false">COUNTIFS('100선'!$A:$A,"경북",'100선'!$B:$B,$A28)</f>
        <v>2</v>
      </c>
      <c r="C28" s="7" t="s">
        <v>302</v>
      </c>
      <c r="D28" s="7"/>
      <c r="E28" s="7"/>
      <c r="F28" s="7"/>
      <c r="G28" s="7"/>
      <c r="H28" s="7"/>
    </row>
    <row r="29" customFormat="false" ht="15" hidden="false" customHeight="false" outlineLevel="0" collapsed="false">
      <c r="A29" s="7" t="s">
        <v>250</v>
      </c>
      <c r="B29" s="7" t="n">
        <f aca="false">COUNTIFS('100선'!$A:$A,"경북",'100선'!$B:$B,$A29)</f>
        <v>1</v>
      </c>
      <c r="C29" s="7" t="s">
        <v>251</v>
      </c>
      <c r="D29" s="7"/>
      <c r="E29" s="7"/>
      <c r="F29" s="7"/>
      <c r="G29" s="7"/>
      <c r="H29" s="7"/>
    </row>
    <row r="30" customFormat="false" ht="15" hidden="false" customHeight="false" outlineLevel="0" collapsed="false">
      <c r="A30" s="7" t="s">
        <v>257</v>
      </c>
      <c r="B30" s="7" t="n">
        <f aca="false">COUNTIFS('100선'!$A:$A,"경북",'100선'!$B:$B,$A30)</f>
        <v>1</v>
      </c>
      <c r="C30" s="7" t="s">
        <v>258</v>
      </c>
      <c r="D30" s="7"/>
      <c r="E30" s="7"/>
      <c r="F30" s="7"/>
      <c r="G30" s="7"/>
      <c r="H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</row>
    <row r="32" customFormat="false" ht="15" hidden="false" customHeight="false" outlineLevel="0" collapsed="false">
      <c r="A32" s="7" t="s">
        <v>4</v>
      </c>
      <c r="B32" s="7" t="s">
        <v>296</v>
      </c>
      <c r="C32" s="7"/>
      <c r="D32" s="7"/>
      <c r="E32" s="7"/>
      <c r="F32" s="7"/>
      <c r="G32" s="7"/>
      <c r="H32" s="7"/>
    </row>
    <row r="33" customFormat="false" ht="15" hidden="false" customHeight="false" outlineLevel="0" collapsed="false">
      <c r="A33" s="7" t="s">
        <v>58</v>
      </c>
      <c r="B33" s="7" t="n">
        <f aca="false">COUNTIFS('100선'!$E:$E,$A33)</f>
        <v>10</v>
      </c>
      <c r="C33" s="7"/>
      <c r="D33" s="7"/>
      <c r="E33" s="7"/>
      <c r="F33" s="7"/>
      <c r="G33" s="7"/>
      <c r="H33" s="7"/>
    </row>
    <row r="34" customFormat="false" ht="15" hidden="false" customHeight="false" outlineLevel="0" collapsed="false">
      <c r="A34" s="7" t="s">
        <v>37</v>
      </c>
      <c r="B34" s="7" t="n">
        <f aca="false">COUNTIFS('100선'!$E:$E,$A34)</f>
        <v>7</v>
      </c>
      <c r="C34" s="7"/>
      <c r="D34" s="7"/>
      <c r="E34" s="7"/>
      <c r="F34" s="7"/>
      <c r="G34" s="7"/>
      <c r="H34" s="7"/>
    </row>
    <row r="35" customFormat="false" ht="15" hidden="false" customHeight="false" outlineLevel="0" collapsed="false">
      <c r="A35" s="7" t="s">
        <v>208</v>
      </c>
      <c r="B35" s="7" t="n">
        <f aca="false">COUNTIFS('100선'!$E:$E,$A35)</f>
        <v>3</v>
      </c>
      <c r="C35" s="7"/>
      <c r="D35" s="7"/>
      <c r="E35" s="7"/>
      <c r="F35" s="7"/>
      <c r="G35" s="7"/>
      <c r="H35" s="7"/>
    </row>
    <row r="36" customFormat="false" ht="15" hidden="false" customHeight="false" outlineLevel="0" collapsed="false">
      <c r="A36" s="7" t="s">
        <v>43</v>
      </c>
      <c r="B36" s="7" t="n">
        <f aca="false">COUNTIFS('100선'!$E:$E,$A36)</f>
        <v>2</v>
      </c>
      <c r="C36" s="7"/>
      <c r="D36" s="7"/>
      <c r="E36" s="7"/>
      <c r="F36" s="7"/>
      <c r="G36" s="7"/>
      <c r="H36" s="7"/>
    </row>
    <row r="37" customFormat="false" ht="15" hidden="false" customHeight="false" outlineLevel="0" collapsed="false">
      <c r="A37" s="7" t="s">
        <v>100</v>
      </c>
      <c r="B37" s="7" t="n">
        <f aca="false">COUNTIFS('100선'!$E:$E,$A37)</f>
        <v>6</v>
      </c>
      <c r="C37" s="7"/>
      <c r="D37" s="7"/>
      <c r="E37" s="7"/>
      <c r="F37" s="7"/>
      <c r="G37" s="7"/>
      <c r="H37" s="7"/>
    </row>
    <row r="38" customFormat="false" ht="15" hidden="false" customHeight="false" outlineLevel="0" collapsed="false">
      <c r="A38" s="7" t="s">
        <v>61</v>
      </c>
      <c r="B38" s="7" t="n">
        <f aca="false">COUNTIFS('100선'!$E:$E,$A38)</f>
        <v>3</v>
      </c>
      <c r="C38" s="7"/>
      <c r="D38" s="7"/>
      <c r="E38" s="7"/>
      <c r="F38" s="7"/>
      <c r="G38" s="7"/>
      <c r="H38" s="7"/>
    </row>
    <row r="39" customFormat="false" ht="15" hidden="false" customHeight="false" outlineLevel="0" collapsed="false">
      <c r="A39" s="7" t="s">
        <v>18</v>
      </c>
      <c r="B39" s="7" t="n">
        <f aca="false">COUNTIFS('100선'!$E:$E,$A39)</f>
        <v>59</v>
      </c>
      <c r="C39" s="7"/>
      <c r="D39" s="7"/>
      <c r="E39" s="7"/>
      <c r="F39" s="7"/>
      <c r="G39" s="7"/>
      <c r="H39" s="7"/>
    </row>
    <row r="40" customFormat="false" ht="15" hidden="false" customHeight="false" outlineLevel="0" collapsed="false">
      <c r="A40" s="7" t="s">
        <v>40</v>
      </c>
      <c r="B40" s="7" t="n">
        <f aca="false">COUNTIFS('100선'!$E:$E,$A40)</f>
        <v>10</v>
      </c>
      <c r="C40" s="7"/>
      <c r="D40" s="7"/>
      <c r="E40" s="7"/>
      <c r="F40" s="7"/>
      <c r="G40" s="7"/>
      <c r="H4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100.15"/>
  </cols>
  <sheetData>
    <row r="1" customFormat="false" ht="15" hidden="false" customHeight="false" outlineLevel="0" collapsed="false">
      <c r="A1" s="9" t="s">
        <v>303</v>
      </c>
      <c r="B1" s="9" t="s">
        <v>304</v>
      </c>
    </row>
    <row r="2" customFormat="false" ht="15" hidden="false" customHeight="false" outlineLevel="0" collapsed="false">
      <c r="A2" s="2" t="s">
        <v>305</v>
      </c>
      <c r="B2" s="2" t="s">
        <v>306</v>
      </c>
    </row>
    <row r="3" customFormat="false" ht="23.85" hidden="false" customHeight="false" outlineLevel="0" collapsed="false">
      <c r="A3" s="2" t="s">
        <v>307</v>
      </c>
      <c r="B3" s="2" t="s">
        <v>308</v>
      </c>
    </row>
    <row r="4" customFormat="false" ht="23.85" hidden="false" customHeight="false" outlineLevel="0" collapsed="false">
      <c r="A4" s="2" t="s">
        <v>309</v>
      </c>
      <c r="B4" s="3" t="s">
        <v>310</v>
      </c>
    </row>
    <row r="5" customFormat="false" ht="23.85" hidden="false" customHeight="false" outlineLevel="0" collapsed="false">
      <c r="A5" s="2" t="s">
        <v>311</v>
      </c>
      <c r="B5" s="2" t="s">
        <v>312</v>
      </c>
    </row>
    <row r="6" customFormat="false" ht="15" hidden="false" customHeight="false" outlineLevel="0" collapsed="false">
      <c r="A6" s="2" t="s">
        <v>313</v>
      </c>
      <c r="B6" s="2" t="s">
        <v>314</v>
      </c>
    </row>
    <row r="7" customFormat="false" ht="15" hidden="false" customHeight="false" outlineLevel="0" collapsed="false">
      <c r="A7" s="2" t="s">
        <v>315</v>
      </c>
      <c r="B7" s="3" t="s">
        <v>316</v>
      </c>
    </row>
    <row r="8" customFormat="false" ht="15" hidden="false" customHeight="false" outlineLevel="0" collapsed="false">
      <c r="A8" s="2" t="s">
        <v>317</v>
      </c>
      <c r="B8" s="2" t="s">
        <v>318</v>
      </c>
    </row>
    <row r="9" customFormat="false" ht="15" hidden="false" customHeight="false" outlineLevel="0" collapsed="false">
      <c r="A9" s="2" t="s">
        <v>13</v>
      </c>
      <c r="B9" s="3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2026-09-21T22:20:30Z</dcterms:created>
  <dc:creator>openpyxl</dc:creator>
  <dc:description/>
  <dc:language>ko-KR</dc:language>
  <cp:lastModifiedBy/>
  <dcterms:modified xsi:type="dcterms:W3CDTF">2026-09-21T22:20:30Z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