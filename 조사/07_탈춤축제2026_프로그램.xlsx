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그램_일정" sheetId="1" state="visible" r:id="rId3"/>
    <sheet name="기간형·먹거리" sheetId="2" state="visible" r:id="rId4"/>
    <sheet name="야간 집계" sheetId="3" state="visible" r:id="rId5"/>
    <sheet name="셔틀버스" sheetId="4" state="visible" r:id="rId6"/>
    <sheet name="요금·운영 규정" sheetId="5" state="visible" r:id="rId7"/>
    <sheet name="출처·메모" sheetId="6" state="visible" r:id="rId8"/>
  </sheets>
  <definedNames>
    <definedName function="false" hidden="true" localSheetId="1" name="_xlnm._FilterDatabase" vbProcedure="false">기간형·먹거리!$A$1:$I$15</definedName>
    <definedName function="false" hidden="true" localSheetId="3" name="_xlnm._FilterDatabase" vbProcedure="false">셔틀버스!$A$1:$I$80</definedName>
    <definedName function="false" hidden="true" localSheetId="4" name="_xlnm._FilterDatabase" vbProcedure="false">'요금·운영 규정'!$A$1:$F$15</definedName>
    <definedName function="false" hidden="true" localSheetId="0" name="_xlnm._FilterDatabase" vbProcedure="false">프로그램_일정!$A$1:$Q$414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<sst xmlns="http://schemas.openxmlformats.org/spreadsheetml/2006/main" count="4690" uniqueCount="485">
  <si>
    <t xml:space="preserve">프로그램명</t>
  </si>
  <si>
    <t xml:space="preserve">유형</t>
  </si>
  <si>
    <t xml:space="preserve">장소</t>
  </si>
  <si>
    <t xml:space="preserve">날짜</t>
  </si>
  <si>
    <t xml:space="preserve">시작시각</t>
  </si>
  <si>
    <t xml:space="preserve">종료시각</t>
  </si>
  <si>
    <t xml:space="preserve">요금</t>
  </si>
  <si>
    <t xml:space="preserve">예약 여부</t>
  </si>
  <si>
    <r>
      <rPr>
        <b val="true"/>
        <sz val="10"/>
        <rFont val="나눔고딕"/>
        <family val="2"/>
      </rPr>
      <t xml:space="preserve">야간</t>
    </r>
    <r>
      <rPr>
        <b val="true"/>
        <sz val="10"/>
        <rFont val="Arial"/>
        <family val="0"/>
        <charset val="1"/>
      </rPr>
      <t xml:space="preserve">(18</t>
    </r>
    <r>
      <rPr>
        <b val="true"/>
        <sz val="10"/>
        <rFont val="나눔고딕"/>
        <family val="2"/>
      </rPr>
      <t xml:space="preserve">시 이후 시작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</si>
  <si>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21</t>
    </r>
    <r>
      <rPr>
        <b val="true"/>
        <sz val="10"/>
        <rFont val="나눔고딕"/>
        <family val="2"/>
      </rPr>
      <t xml:space="preserve">시 이후 종료</t>
    </r>
  </si>
  <si>
    <t xml:space="preserve">공식분류</t>
  </si>
  <si>
    <t xml:space="preserve">권역</t>
  </si>
  <si>
    <t xml:space="preserve">요일</t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</si>
  <si>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</si>
  <si>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</si>
  <si>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</si>
  <si>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</si>
  <si>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t xml:space="preserve">이매 장가가는 날</t>
  </si>
  <si>
    <t xml:space="preserve">공연</t>
  </si>
  <si>
    <t xml:space="preserve">탈춤공원</t>
  </si>
  <si>
    <t xml:space="preserve">공식 안내에 표기 없음</t>
  </si>
  <si>
    <t xml:space="preserve">현장 이벤트</t>
  </si>
  <si>
    <t xml:space="preserve">https://www.maskdance.com/2024/sub7/sub1.asp?ymd=20260924</t>
  </si>
  <si>
    <r>
      <rPr>
        <sz val="10"/>
        <rFont val="나눔고딕"/>
        <family val="2"/>
      </rPr>
      <t xml:space="preserve">페이지 게시일 미표기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PDF 2026-09-21 </t>
    </r>
    <r>
      <rPr>
        <sz val="10"/>
        <rFont val="나눔고딕"/>
        <family val="2"/>
      </rPr>
      <t xml:space="preserve">생성</t>
    </r>
    <r>
      <rPr>
        <sz val="10"/>
        <rFont val="Arial"/>
        <family val="0"/>
        <charset val="1"/>
      </rPr>
      <t xml:space="preserve">)</t>
    </r>
  </si>
  <si>
    <t xml:space="preserve">탈춤외전</t>
  </si>
  <si>
    <t xml:space="preserve">안동시전역 북문시장</t>
  </si>
  <si>
    <r>
      <rPr>
        <sz val="10"/>
        <rFont val="나눔고딕"/>
        <family val="2"/>
      </rPr>
      <t xml:space="preserve">시장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안동시 전역</t>
    </r>
    <r>
      <rPr>
        <sz val="10"/>
        <rFont val="Arial"/>
        <family val="0"/>
        <charset val="1"/>
      </rPr>
      <t xml:space="preserve">)</t>
    </r>
  </si>
  <si>
    <t xml:space="preserve">감사랑 파워점핑 줄넘기</t>
  </si>
  <si>
    <t xml:space="preserve">탈춤공원 탈춤공원무대</t>
  </si>
  <si>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자유참가작</t>
    </r>
  </si>
  <si>
    <t xml:space="preserve">어치브</t>
  </si>
  <si>
    <t xml:space="preserve">일본나라현 문화교류</t>
  </si>
  <si>
    <t xml:space="preserve">미분류</t>
  </si>
  <si>
    <r>
      <rPr>
        <sz val="10"/>
        <rFont val="나눔고딕"/>
        <family val="2"/>
      </rPr>
      <t xml:space="preserve">중앙선</t>
    </r>
    <r>
      <rPr>
        <sz val="10"/>
        <rFont val="Arial"/>
        <family val="0"/>
        <charset val="1"/>
      </rPr>
      <t xml:space="preserve">1942 </t>
    </r>
    <r>
      <rPr>
        <sz val="10"/>
        <rFont val="나눔고딕"/>
        <family val="2"/>
      </rPr>
      <t xml:space="preserve">메인무대</t>
    </r>
  </si>
  <si>
    <r>
      <rPr>
        <sz val="10"/>
        <rFont val="나눔고딕"/>
        <family val="2"/>
      </rPr>
      <t xml:space="preserve">미분류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분류 목록에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</si>
  <si>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중앙선</t>
    </r>
    <r>
      <rPr>
        <sz val="10"/>
        <rFont val="Arial"/>
        <family val="0"/>
        <charset val="1"/>
      </rPr>
      <t xml:space="preserve">1942(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)</t>
    </r>
  </si>
  <si>
    <t xml:space="preserve">하회별신굿탈놀이 청소년 아카데미</t>
  </si>
  <si>
    <t xml:space="preserve">용인대 힘찬태권도</t>
  </si>
  <si>
    <t xml:space="preserve">풍물굿패 참넋</t>
  </si>
  <si>
    <t xml:space="preserve">영남가요제</t>
  </si>
  <si>
    <t xml:space="preserve">연계</t>
  </si>
  <si>
    <t xml:space="preserve">갓쓰고 탈쓰고 런웨이</t>
  </si>
  <si>
    <t xml:space="preserve">어린이대상 프로그램</t>
  </si>
  <si>
    <t xml:space="preserve">원도심 왔니껴무대</t>
  </si>
  <si>
    <t xml:space="preserve">원도심</t>
  </si>
  <si>
    <t xml:space="preserve">https://www.maskdance.com/2024/sub7/sub1.asp?ymd=20260925</t>
  </si>
  <si>
    <t xml:space="preserve">강신마당</t>
  </si>
  <si>
    <t xml:space="preserve">하회마을</t>
  </si>
  <si>
    <r>
      <rPr>
        <sz val="10"/>
        <rFont val="나눔고딕"/>
        <family val="2"/>
      </rPr>
      <t xml:space="preserve">관광지 프로그램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하회마을</t>
    </r>
    <r>
      <rPr>
        <sz val="10"/>
        <rFont val="Arial"/>
        <family val="0"/>
        <charset val="1"/>
      </rPr>
      <t xml:space="preserve">)</t>
    </r>
  </si>
  <si>
    <t xml:space="preserve">하회마을 입장료 별도 여부는 확인 필요</t>
  </si>
  <si>
    <t xml:space="preserve">탈랄라댄스배우기</t>
  </si>
  <si>
    <t xml:space="preserve">체험</t>
  </si>
  <si>
    <t xml:space="preserve">탈춤공원 버스킹무대</t>
  </si>
  <si>
    <t xml:space="preserve">길놀이</t>
  </si>
  <si>
    <t xml:space="preserve">안동시전역 신시장</t>
  </si>
  <si>
    <t xml:space="preserve">탈춤따라배우기</t>
  </si>
  <si>
    <t xml:space="preserve">하회별신굿 탈놀이</t>
  </si>
  <si>
    <t xml:space="preserve">하회마을 전수회관</t>
  </si>
  <si>
    <t xml:space="preserve">시민참여프로그램</t>
  </si>
  <si>
    <t xml:space="preserve">탈춤공연장</t>
  </si>
  <si>
    <r>
      <rPr>
        <sz val="10"/>
        <rFont val="나눔고딕"/>
        <family val="2"/>
      </rPr>
      <t xml:space="preserve">유료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탈춤공연장 관람권 현장 일반 </t>
    </r>
    <r>
      <rPr>
        <sz val="10"/>
        <rFont val="Arial"/>
        <family val="0"/>
        <charset val="1"/>
      </rPr>
      <t xml:space="preserve">8,000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학생 </t>
    </r>
    <r>
      <rPr>
        <sz val="10"/>
        <rFont val="Arial"/>
        <family val="0"/>
        <charset val="1"/>
      </rPr>
      <t xml:space="preserve">6,000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무료</t>
    </r>
    <r>
      <rPr>
        <sz val="10"/>
        <rFont val="Arial"/>
        <family val="0"/>
        <charset val="1"/>
      </rPr>
      <t xml:space="preserve">: 6</t>
    </r>
    <r>
      <rPr>
        <sz val="10"/>
        <rFont val="나눔고딕"/>
        <family val="2"/>
      </rPr>
      <t xml:space="preserve">세 이하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기초수급자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장애인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국가유공자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</si>
  <si>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사전예매</t>
    </r>
    <r>
      <rPr>
        <sz val="10"/>
        <rFont val="Arial"/>
        <family val="0"/>
        <charset val="1"/>
      </rPr>
      <t xml:space="preserve">(8/18~9/17) </t>
    </r>
    <r>
      <rPr>
        <sz val="10"/>
        <rFont val="나눔고딕"/>
        <family val="2"/>
      </rPr>
      <t xml:space="preserve">종료 → 축제 기간 지정 매표소에서 구매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교환</t>
    </r>
    <r>
      <rPr>
        <sz val="10"/>
        <rFont val="Arial"/>
        <family val="0"/>
        <charset val="1"/>
      </rPr>
      <t xml:space="preserve">(1</t>
    </r>
    <r>
      <rPr>
        <sz val="10"/>
        <rFont val="나눔고딕"/>
        <family val="2"/>
      </rPr>
      <t xml:space="preserve">매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공연 후 전원 퇴장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</si>
  <si>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한국탈춤</t>
    </r>
  </si>
  <si>
    <r>
      <rPr>
        <sz val="10"/>
        <rFont val="나눔고딕"/>
        <family val="2"/>
      </rPr>
      <t xml:space="preserve">요금 적용 무대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공식 입장권 안내엔 무대 미명시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판매처 상품명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탈춤공연장 공연관람권</t>
    </r>
    <r>
      <rPr>
        <sz val="10"/>
        <rFont val="Arial"/>
        <family val="0"/>
        <charset val="1"/>
      </rPr>
      <t xml:space="preserve">'(2025 NOL)</t>
    </r>
    <r>
      <rPr>
        <sz val="10"/>
        <rFont val="나눔고딕"/>
        <family val="2"/>
      </rPr>
      <t xml:space="preserve">으로 확인</t>
    </r>
  </si>
  <si>
    <t xml:space="preserve">허만성</t>
  </si>
  <si>
    <t xml:space="preserve">글로벌 마스크 퍼레이드</t>
  </si>
  <si>
    <t xml:space="preserve">퍼레이드</t>
  </si>
  <si>
    <t xml:space="preserve">안동가야금연주단</t>
  </si>
  <si>
    <t xml:space="preserve">권누리</t>
  </si>
  <si>
    <t xml:space="preserve">개막식</t>
  </si>
  <si>
    <r>
      <rPr>
        <sz val="10"/>
        <rFont val="나눔고딕"/>
        <family val="2"/>
      </rPr>
      <t xml:space="preserve">개막식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폐막식</t>
    </r>
  </si>
  <si>
    <t xml:space="preserve">우리동네 친구들</t>
  </si>
  <si>
    <t xml:space="preserve">https://www.maskdance.com/2024/sub7/sub1.asp?ymd=20260926</t>
  </si>
  <si>
    <t xml:space="preserve">소명 예술연구소</t>
  </si>
  <si>
    <r>
      <rPr>
        <sz val="10"/>
        <rFont val="나눔고딕"/>
        <family val="2"/>
      </rPr>
      <t xml:space="preserve">뉴질랜드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불가리아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</si>
  <si>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외국탈춤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해외공연단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</si>
  <si>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대만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폴란드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몽골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</t>
    </r>
  </si>
  <si>
    <t xml:space="preserve">안동향교 국악반</t>
  </si>
  <si>
    <t xml:space="preserve">B.O.C</t>
  </si>
  <si>
    <t xml:space="preserve">단 사물놀이패</t>
  </si>
  <si>
    <t xml:space="preserve">강령탈춤</t>
  </si>
  <si>
    <t xml:space="preserve">신시장 퍼레이드</t>
  </si>
  <si>
    <t xml:space="preserve">DR CREW</t>
  </si>
  <si>
    <t xml:space="preserve">국악한마당</t>
  </si>
  <si>
    <t xml:space="preserve">주빈국의 날 기념식</t>
  </si>
  <si>
    <t xml:space="preserve">기타</t>
  </si>
  <si>
    <r>
      <rPr>
        <sz val="10"/>
        <rFont val="나눔고딕"/>
        <family val="2"/>
      </rPr>
      <t xml:space="preserve">행사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기념식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시상 등</t>
    </r>
    <r>
      <rPr>
        <sz val="10"/>
        <rFont val="Arial"/>
        <family val="0"/>
        <charset val="1"/>
      </rPr>
      <t xml:space="preserve">)</t>
    </r>
  </si>
  <si>
    <t xml:space="preserve">안동시전역 구시장</t>
  </si>
  <si>
    <r>
      <rPr>
        <sz val="10"/>
        <rFont val="나눔고딕"/>
        <family val="2"/>
      </rPr>
      <t xml:space="preserve">콜롬비아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벨기에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폴란드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1</t>
    </r>
  </si>
  <si>
    <t xml:space="preserve">리투아니아</t>
  </si>
  <si>
    <t xml:space="preserve">박찬일 쉐프</t>
  </si>
  <si>
    <t xml:space="preserve">구시장 퍼레이드</t>
  </si>
  <si>
    <t xml:space="preserve">시화예사</t>
  </si>
  <si>
    <r>
      <rPr>
        <sz val="10"/>
        <rFont val="나눔고딕"/>
        <family val="2"/>
      </rPr>
      <t xml:space="preserve">열두장구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</rPr>
      <t xml:space="preserve">북아카데미</t>
    </r>
  </si>
  <si>
    <t xml:space="preserve">야쿠티아</t>
  </si>
  <si>
    <t xml:space="preserve">송파산대놀이</t>
  </si>
  <si>
    <t xml:space="preserve">안민 예술봉사단</t>
  </si>
  <si>
    <t xml:space="preserve">서정희</t>
  </si>
  <si>
    <t xml:space="preserve">디스코장구</t>
  </si>
  <si>
    <t xml:space="preserve">김윤옥</t>
  </si>
  <si>
    <t xml:space="preserve">경북 소리 연구 협회</t>
  </si>
  <si>
    <r>
      <rPr>
        <sz val="10"/>
        <rFont val="나눔고딕"/>
        <family val="2"/>
      </rPr>
      <t xml:space="preserve">러시아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중국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</t>
    </r>
  </si>
  <si>
    <t xml:space="preserve">조선의 서커스</t>
  </si>
  <si>
    <r>
      <rPr>
        <sz val="10"/>
        <rFont val="나눔고딕"/>
        <family val="2"/>
      </rPr>
      <t xml:space="preserve">경북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포크 연합회</t>
    </r>
  </si>
  <si>
    <t xml:space="preserve">대동난장</t>
  </si>
  <si>
    <r>
      <rPr>
        <sz val="10"/>
        <rFont val="나눔고딕"/>
        <family val="2"/>
      </rPr>
      <t xml:space="preserve">참여 프로그램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대동난장</t>
    </r>
    <r>
      <rPr>
        <sz val="10"/>
        <rFont val="Arial"/>
        <family val="0"/>
        <charset val="1"/>
      </rPr>
      <t xml:space="preserve">)</t>
    </r>
  </si>
  <si>
    <t xml:space="preserve">글로벌 마스크댄스 챌린지 우네모</t>
  </si>
  <si>
    <t xml:space="preserve">경연</t>
  </si>
  <si>
    <t xml:space="preserve">비를긋다</t>
  </si>
  <si>
    <r>
      <rPr>
        <sz val="10"/>
        <rFont val="나눔고딕"/>
        <family val="2"/>
      </rPr>
      <t xml:space="preserve">다 그렇지는 않았다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예술공장 두레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</si>
  <si>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마당극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창작극</t>
    </r>
  </si>
  <si>
    <t xml:space="preserve">초청가수 공연</t>
  </si>
  <si>
    <t xml:space="preserve">하회선유줄불놀이</t>
  </si>
  <si>
    <t xml:space="preserve">가람 하모니</t>
  </si>
  <si>
    <t xml:space="preserve">임성국</t>
  </si>
  <si>
    <t xml:space="preserve">안동사랑 예술단</t>
  </si>
  <si>
    <t xml:space="preserve">안동연합 댄스팀</t>
  </si>
  <si>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</t>
    </r>
  </si>
  <si>
    <t xml:space="preserve">밴드 세컨페이스</t>
  </si>
  <si>
    <t xml:space="preserve">그레이파크</t>
  </si>
  <si>
    <t xml:space="preserve">https://www.maskdance.com/2024/sub7/sub1.asp?ymd=20260927</t>
  </si>
  <si>
    <t xml:space="preserve">탈놀이단</t>
  </si>
  <si>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벨기에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</si>
  <si>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야쿠티아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폴란드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중국</t>
    </r>
  </si>
  <si>
    <t xml:space="preserve">풍천면 난타</t>
  </si>
  <si>
    <r>
      <rPr>
        <sz val="10"/>
        <rFont val="나눔고딕"/>
        <family val="2"/>
      </rPr>
      <t xml:space="preserve">가온누리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점프윙스줄넘기</t>
    </r>
  </si>
  <si>
    <t xml:space="preserve">참소리 색소폰 동호회</t>
  </si>
  <si>
    <t xml:space="preserve">의성셋하나 풍물</t>
  </si>
  <si>
    <t xml:space="preserve">속초사자놀이</t>
  </si>
  <si>
    <t xml:space="preserve">동래야류</t>
  </si>
  <si>
    <r>
      <rPr>
        <sz val="10"/>
        <rFont val="나눔고딕"/>
        <family val="2"/>
      </rPr>
      <t xml:space="preserve">안동미래태권도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줄넘기아카데미</t>
    </r>
  </si>
  <si>
    <t xml:space="preserve">고타야밴드</t>
  </si>
  <si>
    <r>
      <rPr>
        <sz val="10"/>
        <rFont val="나눔고딕"/>
        <family val="2"/>
      </rPr>
      <t xml:space="preserve">필리핀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러시아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불가리아</t>
    </r>
  </si>
  <si>
    <t xml:space="preserve">찾아가는 청춘음악단</t>
  </si>
  <si>
    <t xml:space="preserve">대학생 탈춤</t>
  </si>
  <si>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 / </t>
    </r>
    <r>
      <rPr>
        <sz val="10"/>
        <rFont val="나눔고딕"/>
        <family val="2"/>
      </rPr>
      <t xml:space="preserve">몽골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뉴질랜드</t>
    </r>
  </si>
  <si>
    <t xml:space="preserve">경북도청미래태권도줄넘기시범단</t>
  </si>
  <si>
    <t xml:space="preserve">팝스밴드</t>
  </si>
  <si>
    <t xml:space="preserve">영양원놀음</t>
  </si>
  <si>
    <t xml:space="preserve">코스모스 색소폰 오케스트라</t>
  </si>
  <si>
    <r>
      <rPr>
        <sz val="10"/>
        <rFont val="나눔고딕"/>
        <family val="2"/>
      </rPr>
      <t xml:space="preserve">오작교 아리랑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극단 큰들</t>
    </r>
    <r>
      <rPr>
        <sz val="10"/>
        <rFont val="Arial"/>
        <family val="0"/>
        <charset val="1"/>
      </rPr>
      <t xml:space="preserve">)</t>
    </r>
  </si>
  <si>
    <t xml:space="preserve">태금태권도</t>
  </si>
  <si>
    <t xml:space="preserve">COMA</t>
  </si>
  <si>
    <t xml:space="preserve">경북버스킹공연단</t>
  </si>
  <si>
    <t xml:space="preserve">은율탈춤</t>
  </si>
  <si>
    <t xml:space="preserve">소리뫼놀이패</t>
  </si>
  <si>
    <t xml:space="preserve">한울이음터</t>
  </si>
  <si>
    <t xml:space="preserve">싱어송라이터 김현수</t>
  </si>
  <si>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대만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콜럼비아</t>
    </r>
  </si>
  <si>
    <t xml:space="preserve">웅부악단</t>
  </si>
  <si>
    <r>
      <rPr>
        <sz val="10"/>
        <rFont val="나눔고딕"/>
        <family val="2"/>
      </rPr>
      <t xml:space="preserve">안동시전역 송현 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공원</t>
    </r>
  </si>
  <si>
    <t xml:space="preserve">은빛 하모니카 앙상블</t>
  </si>
  <si>
    <t xml:space="preserve">경북북부색소폰앙상블</t>
  </si>
  <si>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멕시코</t>
    </r>
  </si>
  <si>
    <t xml:space="preserve">밴드야 놀자</t>
  </si>
  <si>
    <t xml:space="preserve">노인의 날 행사</t>
  </si>
  <si>
    <t xml:space="preserve">https://www.maskdance.com/2024/sub7/sub1.asp?ymd=20260928</t>
  </si>
  <si>
    <r>
      <rPr>
        <sz val="10"/>
        <rFont val="나눔고딕"/>
        <family val="2"/>
      </rPr>
      <t xml:space="preserve">콜럼비아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 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대만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벨기에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야쿠티아</t>
    </r>
  </si>
  <si>
    <t xml:space="preserve">축제장 퍼레이드</t>
  </si>
  <si>
    <t xml:space="preserve">미라클주부밴드</t>
  </si>
  <si>
    <r>
      <rPr>
        <sz val="10"/>
        <rFont val="나눔고딕"/>
        <family val="2"/>
      </rPr>
      <t xml:space="preserve">중국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폴란드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</t>
    </r>
  </si>
  <si>
    <t xml:space="preserve">벨기에</t>
  </si>
  <si>
    <t xml:space="preserve">알파카어쿠스테이지</t>
  </si>
  <si>
    <t xml:space="preserve">황금빛 예술공연단</t>
  </si>
  <si>
    <t xml:space="preserve">실버가요제</t>
  </si>
  <si>
    <t xml:space="preserve">북청사자놀음</t>
  </si>
  <si>
    <t xml:space="preserve">아랑고고장구 안동지부</t>
  </si>
  <si>
    <t xml:space="preserve">이서현 국악연구원</t>
  </si>
  <si>
    <t xml:space="preserve">밴드온</t>
  </si>
  <si>
    <t xml:space="preserve">고성오광대</t>
  </si>
  <si>
    <t xml:space="preserve">복주공연단</t>
  </si>
  <si>
    <t xml:space="preserve">아랑고고장구</t>
  </si>
  <si>
    <t xml:space="preserve">징검다리</t>
  </si>
  <si>
    <r>
      <rPr>
        <sz val="10"/>
        <rFont val="나눔고딕"/>
        <family val="2"/>
      </rPr>
      <t xml:space="preserve">밴드 판소리 ‘막되먹은 응칠이’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예술단 농음</t>
    </r>
    <r>
      <rPr>
        <sz val="10"/>
        <rFont val="Arial"/>
        <family val="0"/>
        <charset val="1"/>
      </rPr>
      <t xml:space="preserve">)</t>
    </r>
  </si>
  <si>
    <t xml:space="preserve">그레이스 오카리나 앙상블</t>
  </si>
  <si>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뉴질랜드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몽골</t>
    </r>
  </si>
  <si>
    <t xml:space="preserve">https://www.maskdance.com/2024/sub7/sub1.asp?ymd=20260929</t>
  </si>
  <si>
    <r>
      <rPr>
        <sz val="10"/>
        <rFont val="나눔고딕"/>
        <family val="2"/>
      </rPr>
      <t xml:space="preserve">불가리아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</t>
    </r>
  </si>
  <si>
    <r>
      <rPr>
        <sz val="10"/>
        <rFont val="나눔고딕"/>
        <family val="2"/>
      </rPr>
      <t xml:space="preserve">벨기에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 / </t>
    </r>
    <r>
      <rPr>
        <sz val="10"/>
        <rFont val="나눔고딕"/>
        <family val="2"/>
      </rPr>
      <t xml:space="preserve">야쿠티아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</si>
  <si>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사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대한시조협회 안동시지회</t>
    </r>
  </si>
  <si>
    <t xml:space="preserve">이성교 예천한천나들예술공연단</t>
  </si>
  <si>
    <t xml:space="preserve">어게인 청춘</t>
  </si>
  <si>
    <r>
      <rPr>
        <sz val="10"/>
        <rFont val="나눔고딕"/>
        <family val="2"/>
      </rPr>
      <t xml:space="preserve">러시아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대만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</t>
    </r>
  </si>
  <si>
    <t xml:space="preserve">소리샘통기타</t>
  </si>
  <si>
    <t xml:space="preserve">오색풍차</t>
  </si>
  <si>
    <t xml:space="preserve">하모니 예술단</t>
  </si>
  <si>
    <t xml:space="preserve">가산오광대</t>
  </si>
  <si>
    <r>
      <rPr>
        <sz val="10"/>
        <rFont val="나눔고딕"/>
        <family val="2"/>
      </rPr>
      <t xml:space="preserve">몽골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라트비아</t>
    </r>
  </si>
  <si>
    <t xml:space="preserve">이자빈</t>
  </si>
  <si>
    <t xml:space="preserve">의성 행복한난타</t>
  </si>
  <si>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중국</t>
    </r>
  </si>
  <si>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</t>
    </r>
  </si>
  <si>
    <t xml:space="preserve">청춘문화 예술단</t>
  </si>
  <si>
    <t xml:space="preserve">웅부예술단</t>
  </si>
  <si>
    <t xml:space="preserve">대만</t>
  </si>
  <si>
    <t xml:space="preserve">웅부해금 앙상블</t>
  </si>
  <si>
    <r>
      <rPr>
        <sz val="10"/>
        <rFont val="나눔고딕"/>
        <family val="2"/>
      </rPr>
      <t xml:space="preserve">나리소년소녀합창단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</rPr>
      <t xml:space="preserve">나리어머니합창단</t>
    </r>
  </si>
  <si>
    <t xml:space="preserve">실버스타즈하모니카연주단</t>
  </si>
  <si>
    <r>
      <rPr>
        <sz val="10"/>
        <rFont val="나눔고딕"/>
        <family val="2"/>
      </rPr>
      <t xml:space="preserve">야쿠티아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불가리아</t>
    </r>
  </si>
  <si>
    <t xml:space="preserve">사단법인 대구경북 모델협회</t>
  </si>
  <si>
    <t xml:space="preserve">안동 통사모</t>
  </si>
  <si>
    <t xml:space="preserve">삼양동화</t>
  </si>
  <si>
    <t xml:space="preserve">https://www.maskdance.com/2024/sub7/sub1.asp?ymd=20260930</t>
  </si>
  <si>
    <r>
      <rPr>
        <sz val="10"/>
        <rFont val="나눔고딕"/>
        <family val="2"/>
      </rPr>
      <t xml:space="preserve">낭만콘서트 </t>
    </r>
    <r>
      <rPr>
        <sz val="10"/>
        <rFont val="Arial"/>
        <family val="0"/>
        <charset val="1"/>
      </rPr>
      <t xml:space="preserve">"</t>
    </r>
    <r>
      <rPr>
        <sz val="10"/>
        <rFont val="나눔고딕"/>
        <family val="2"/>
      </rPr>
      <t xml:space="preserve">웃는날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좋은날</t>
    </r>
    <r>
      <rPr>
        <sz val="10"/>
        <rFont val="Arial"/>
        <family val="0"/>
        <charset val="1"/>
      </rPr>
      <t xml:space="preserve">"</t>
    </r>
  </si>
  <si>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콜럼비아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이탈리아</t>
    </r>
  </si>
  <si>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몽골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폴란드</t>
    </r>
  </si>
  <si>
    <t xml:space="preserve">유환열</t>
  </si>
  <si>
    <t xml:space="preserve">한국시노래 연구회</t>
  </si>
  <si>
    <r>
      <rPr>
        <sz val="10"/>
        <rFont val="나눔고딕"/>
        <family val="2"/>
      </rPr>
      <t xml:space="preserve">러시아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중국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</t>
    </r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</si>
  <si>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상설문화콘서트</t>
    </r>
  </si>
  <si>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뉴질랜드</t>
    </r>
  </si>
  <si>
    <t xml:space="preserve">안동영호초등탈춤동아리</t>
  </si>
  <si>
    <r>
      <rPr>
        <sz val="10"/>
        <rFont val="나눔고딕"/>
        <family val="2"/>
      </rPr>
      <t xml:space="preserve">폴란드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이스라엘</t>
    </r>
  </si>
  <si>
    <t xml:space="preserve">안동 아코디언 동호회</t>
  </si>
  <si>
    <t xml:space="preserve">듀엣반딧불</t>
  </si>
  <si>
    <t xml:space="preserve">인도</t>
  </si>
  <si>
    <t xml:space="preserve">수아브</t>
  </si>
  <si>
    <r>
      <rPr>
        <sz val="10"/>
        <rFont val="나눔고딕"/>
        <family val="2"/>
      </rPr>
      <t xml:space="preserve">뉴질랜드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스리랑카</t>
    </r>
  </si>
  <si>
    <t xml:space="preserve">몽골</t>
  </si>
  <si>
    <t xml:space="preserve">월영무용단</t>
  </si>
  <si>
    <r>
      <rPr>
        <sz val="10"/>
        <rFont val="나눔고딕"/>
        <family val="2"/>
      </rPr>
      <t xml:space="preserve">탈놀이 경연대회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개인부</t>
    </r>
    <r>
      <rPr>
        <sz val="10"/>
        <rFont val="Arial"/>
        <family val="0"/>
        <charset val="1"/>
      </rPr>
      <t xml:space="preserve">) - </t>
    </r>
    <r>
      <rPr>
        <sz val="10"/>
        <rFont val="나눔고딕"/>
        <family val="2"/>
      </rPr>
      <t xml:space="preserve">예선</t>
    </r>
  </si>
  <si>
    <r>
      <rPr>
        <sz val="10"/>
        <rFont val="나눔고딕"/>
        <family val="2"/>
      </rPr>
      <t xml:space="preserve">콜롬비아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</t>
    </r>
  </si>
  <si>
    <t xml:space="preserve">예안 어쩌다밴드</t>
  </si>
  <si>
    <r>
      <rPr>
        <sz val="10"/>
        <rFont val="나눔고딕"/>
        <family val="2"/>
      </rPr>
      <t xml:space="preserve">탈놀이 경연대회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단체부</t>
    </r>
    <r>
      <rPr>
        <sz val="10"/>
        <rFont val="Arial"/>
        <family val="0"/>
        <charset val="1"/>
      </rPr>
      <t xml:space="preserve">) - </t>
    </r>
    <r>
      <rPr>
        <sz val="10"/>
        <rFont val="나눔고딕"/>
        <family val="2"/>
      </rPr>
      <t xml:space="preserve">예선</t>
    </r>
  </si>
  <si>
    <t xml:space="preserve">https://www.maskdance.com/2024/sub7/sub1.asp?ymd=20261001</t>
  </si>
  <si>
    <r>
      <rPr>
        <sz val="10"/>
        <rFont val="나눔고딕"/>
        <family val="2"/>
      </rPr>
      <t xml:space="preserve">불가리아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벨기에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뉴질랜드</t>
    </r>
  </si>
  <si>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</t>
    </r>
  </si>
  <si>
    <t xml:space="preserve">데이오프</t>
  </si>
  <si>
    <t xml:space="preserve">신명어울림 공연단</t>
  </si>
  <si>
    <r>
      <rPr>
        <sz val="10"/>
        <rFont val="나눔고딕"/>
        <family val="2"/>
      </rPr>
      <t xml:space="preserve">콜럼비아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2</t>
    </r>
  </si>
  <si>
    <t xml:space="preserve">소리향 경기민요예술원</t>
  </si>
  <si>
    <t xml:space="preserve">경북 연예예술인협회</t>
  </si>
  <si>
    <t xml:space="preserve">봉산탈춤</t>
  </si>
  <si>
    <t xml:space="preserve">이스라엘</t>
  </si>
  <si>
    <r>
      <rPr>
        <sz val="10"/>
        <rFont val="나눔고딕"/>
        <family val="2"/>
      </rPr>
      <t xml:space="preserve">러시아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콜럼비아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야쿠티아</t>
    </r>
  </si>
  <si>
    <t xml:space="preserve">정가희</t>
  </si>
  <si>
    <t xml:space="preserve">타타르스탄</t>
  </si>
  <si>
    <t xml:space="preserve">멕시코</t>
  </si>
  <si>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폴란드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</t>
    </r>
  </si>
  <si>
    <t xml:space="preserve">여울소리</t>
  </si>
  <si>
    <t xml:space="preserve">마음소리</t>
  </si>
  <si>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</si>
  <si>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영일</t>
    </r>
    <r>
      <rPr>
        <sz val="10"/>
        <rFont val="Arial"/>
        <family val="0"/>
        <charset val="1"/>
      </rPr>
      <t xml:space="preserve">16</t>
    </r>
    <r>
      <rPr>
        <sz val="10"/>
        <rFont val="나눔고딕"/>
        <family val="2"/>
      </rPr>
      <t xml:space="preserve">세 치어로빅단</t>
    </r>
  </si>
  <si>
    <t xml:space="preserve">SIGN CREW</t>
  </si>
  <si>
    <r>
      <rPr>
        <sz val="10"/>
        <rFont val="나눔고딕"/>
        <family val="2"/>
      </rPr>
      <t xml:space="preserve">탈놀이 경연대회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개인부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</si>
  <si>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탈놀이 경연대회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단체부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</si>
  <si>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뉴질랜드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벨기에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대만</t>
    </r>
  </si>
  <si>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야쿠티아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2</t>
    </r>
  </si>
  <si>
    <t xml:space="preserve">https://www.maskdance.com/2024/sub7/sub1.asp?ymd=20261002</t>
  </si>
  <si>
    <r>
      <rPr>
        <sz val="10"/>
        <rFont val="Arial"/>
        <family val="0"/>
        <charset val="1"/>
      </rPr>
      <t xml:space="preserve">K-POP </t>
    </r>
    <r>
      <rPr>
        <sz val="10"/>
        <rFont val="나눔고딕"/>
        <family val="2"/>
      </rPr>
      <t xml:space="preserve">콘서트</t>
    </r>
  </si>
  <si>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뉴질랜드</t>
    </r>
  </si>
  <si>
    <r>
      <rPr>
        <sz val="10"/>
        <rFont val="나눔고딕"/>
        <family val="2"/>
      </rPr>
      <t xml:space="preserve">콜럼비아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몽골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</t>
    </r>
  </si>
  <si>
    <t xml:space="preserve">용상시장 퍼레이드</t>
  </si>
  <si>
    <t xml:space="preserve">안동시전역 용상시장</t>
  </si>
  <si>
    <r>
      <rPr>
        <sz val="10"/>
        <rFont val="나눔고딕"/>
        <family val="2"/>
      </rPr>
      <t xml:space="preserve">불가리아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 / </t>
    </r>
    <r>
      <rPr>
        <sz val="10"/>
        <rFont val="나눔고딕"/>
        <family val="2"/>
      </rPr>
      <t xml:space="preserve">대만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</t>
    </r>
  </si>
  <si>
    <r>
      <rPr>
        <sz val="10"/>
        <rFont val="나눔고딕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회 대한민국 증류주 대상 심사 및 시상</t>
    </r>
  </si>
  <si>
    <t xml:space="preserve">통영오광대</t>
  </si>
  <si>
    <t xml:space="preserve">쉼표</t>
  </si>
  <si>
    <t xml:space="preserve">라트비아</t>
  </si>
  <si>
    <r>
      <rPr>
        <sz val="10"/>
        <rFont val="나눔고딕"/>
        <family val="2"/>
      </rPr>
      <t xml:space="preserve">중국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벨기에</t>
    </r>
  </si>
  <si>
    <t xml:space="preserve">이탈리아</t>
  </si>
  <si>
    <t xml:space="preserve">스리랑카</t>
  </si>
  <si>
    <t xml:space="preserve">남선면 문필봉 소리난타</t>
  </si>
  <si>
    <t xml:space="preserve">서중사밴드</t>
  </si>
  <si>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말레이시아 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튀르키예</t>
    </r>
  </si>
  <si>
    <t xml:space="preserve">포크밴드블루앙상블</t>
  </si>
  <si>
    <t xml:space="preserve">https://www.maskdance.com/2024/sub7/sub1.asp?ymd=20261003</t>
  </si>
  <si>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콜롬비아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2</t>
    </r>
  </si>
  <si>
    <t xml:space="preserve">안동으뜸사물놀이패</t>
  </si>
  <si>
    <r>
      <rPr>
        <sz val="10"/>
        <rFont val="나눔고딕"/>
        <family val="2"/>
      </rPr>
      <t xml:space="preserve">빛유 오카리나 앙상블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하모니 오카리나</t>
    </r>
  </si>
  <si>
    <t xml:space="preserve">탈춤페스티벌 찾아가는 음악회</t>
  </si>
  <si>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러시아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대만</t>
    </r>
  </si>
  <si>
    <t xml:space="preserve">점프윙스 줄넘기</t>
  </si>
  <si>
    <t xml:space="preserve">걷기대회 축하공연</t>
  </si>
  <si>
    <t xml:space="preserve">레인보우와 구천에어로폰</t>
  </si>
  <si>
    <t xml:space="preserve">전통우리 소리연구소</t>
  </si>
  <si>
    <t xml:space="preserve">강릉관노가면극</t>
  </si>
  <si>
    <t xml:space="preserve">차전놀이</t>
  </si>
  <si>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민속놀이</t>
    </r>
  </si>
  <si>
    <t xml:space="preserve">안동시종합사회복지관 위너스 키즈밸리</t>
  </si>
  <si>
    <t xml:space="preserve">튀르키예</t>
  </si>
  <si>
    <r>
      <rPr>
        <sz val="10"/>
        <rFont val="Arial"/>
        <family val="0"/>
        <charset val="1"/>
      </rPr>
      <t xml:space="preserve">YMCA </t>
    </r>
    <r>
      <rPr>
        <sz val="10"/>
        <rFont val="나눔고딕"/>
        <family val="2"/>
      </rPr>
      <t xml:space="preserve">청소년어울림마당</t>
    </r>
  </si>
  <si>
    <t xml:space="preserve">타나유스</t>
  </si>
  <si>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몽골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타타르스탄</t>
    </r>
  </si>
  <si>
    <t xml:space="preserve">콜롬비아</t>
  </si>
  <si>
    <t xml:space="preserve">안동의날</t>
  </si>
  <si>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</t>
    </r>
  </si>
  <si>
    <t xml:space="preserve">퇴계원산대놀이</t>
  </si>
  <si>
    <t xml:space="preserve">경북 음악협회</t>
  </si>
  <si>
    <t xml:space="preserve">수영야류</t>
  </si>
  <si>
    <t xml:space="preserve">경북 무용협회</t>
  </si>
  <si>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 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야쿠티아</t>
    </r>
  </si>
  <si>
    <t xml:space="preserve">안동 놋다리밟기</t>
  </si>
  <si>
    <t xml:space="preserve">댄스팀 탄하</t>
  </si>
  <si>
    <t xml:space="preserve">대구셔플고고</t>
  </si>
  <si>
    <r>
      <rPr>
        <sz val="10"/>
        <rFont val="나눔고딕"/>
        <family val="2"/>
      </rPr>
      <t xml:space="preserve">뉴질랜드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대만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벨기에</t>
    </r>
  </si>
  <si>
    <r>
      <rPr>
        <sz val="10"/>
        <rFont val="나눔고딕"/>
        <family val="2"/>
      </rPr>
      <t xml:space="preserve">탈놀이 경연대회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개인부</t>
    </r>
    <r>
      <rPr>
        <sz val="10"/>
        <rFont val="Arial"/>
        <family val="0"/>
        <charset val="1"/>
      </rPr>
      <t xml:space="preserve">) - </t>
    </r>
    <r>
      <rPr>
        <sz val="10"/>
        <rFont val="나눔고딕"/>
        <family val="2"/>
      </rPr>
      <t xml:space="preserve">결선</t>
    </r>
  </si>
  <si>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중국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불가리아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스리랑카</t>
    </r>
  </si>
  <si>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라트비아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콜럼비아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스리랑카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이스라엘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멕시코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 / </t>
    </r>
    <r>
      <rPr>
        <sz val="10"/>
        <rFont val="나눔고딕"/>
        <family val="2"/>
      </rPr>
      <t xml:space="preserve">중국</t>
    </r>
  </si>
  <si>
    <t xml:space="preserve">https://www.maskdance.com/2024/sub7/sub1.asp?ymd=20261004</t>
  </si>
  <si>
    <r>
      <rPr>
        <sz val="10"/>
        <rFont val="나눔고딕"/>
        <family val="2"/>
      </rPr>
      <t xml:space="preserve">튀르키예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리투아니아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야쿠티아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필리핀</t>
    </r>
  </si>
  <si>
    <t xml:space="preserve">헤이스</t>
  </si>
  <si>
    <t xml:space="preserve">모어모어 공연기획 예술단</t>
  </si>
  <si>
    <t xml:space="preserve">아랑 고고장구 대곡지부</t>
  </si>
  <si>
    <t xml:space="preserve">아랑고고장구 페스티벌</t>
  </si>
  <si>
    <r>
      <rPr>
        <sz val="10"/>
        <rFont val="나눔고딕"/>
        <family val="2"/>
      </rPr>
      <t xml:space="preserve">중국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태국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타타르스탄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1 / </t>
    </r>
    <r>
      <rPr>
        <sz val="10"/>
        <rFont val="나눔고딕"/>
        <family val="2"/>
      </rPr>
      <t xml:space="preserve">러시아</t>
    </r>
  </si>
  <si>
    <t xml:space="preserve">뉴질랜드</t>
  </si>
  <si>
    <t xml:space="preserve">경북 국악협회</t>
  </si>
  <si>
    <t xml:space="preserve">양주별산대놀이</t>
  </si>
  <si>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3</t>
    </r>
  </si>
  <si>
    <t xml:space="preserve">실루엣</t>
  </si>
  <si>
    <t xml:space="preserve">안동 하모니카 앙상블</t>
  </si>
  <si>
    <t xml:space="preserve">소유</t>
  </si>
  <si>
    <t xml:space="preserve">경북 연극협회</t>
  </si>
  <si>
    <r>
      <rPr>
        <sz val="10"/>
        <rFont val="나눔고딕"/>
        <family val="2"/>
      </rPr>
      <t xml:space="preserve">불가리아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일본</t>
    </r>
    <r>
      <rPr>
        <sz val="10"/>
        <rFont val="Arial"/>
        <family val="0"/>
        <charset val="1"/>
      </rPr>
      <t xml:space="preserve">2 / </t>
    </r>
    <r>
      <rPr>
        <sz val="10"/>
        <rFont val="나눔고딕"/>
        <family val="2"/>
      </rPr>
      <t xml:space="preserve">이탈리아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몽골</t>
    </r>
  </si>
  <si>
    <t xml:space="preserve">예천청단놀음</t>
  </si>
  <si>
    <t xml:space="preserve">정상태권예술단</t>
  </si>
  <si>
    <r>
      <rPr>
        <sz val="10"/>
        <rFont val="나눔고딕"/>
        <family val="2"/>
      </rPr>
      <t xml:space="preserve">탈춤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흥부놀부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연극촌 사람들</t>
    </r>
    <r>
      <rPr>
        <sz val="10"/>
        <rFont val="Arial"/>
        <family val="0"/>
        <charset val="1"/>
      </rPr>
      <t xml:space="preserve">)</t>
    </r>
  </si>
  <si>
    <t xml:space="preserve">예술집단 단미</t>
  </si>
  <si>
    <r>
      <rPr>
        <sz val="10"/>
        <rFont val="Arial"/>
        <family val="0"/>
        <charset val="1"/>
      </rPr>
      <t xml:space="preserve">TaLooK(</t>
    </r>
    <r>
      <rPr>
        <sz val="10"/>
        <rFont val="나눔고딕"/>
        <family val="2"/>
      </rPr>
      <t xml:space="preserve">탈룩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</si>
  <si>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탈놀이 경연대회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단체부 결승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및 폐막식</t>
    </r>
  </si>
  <si>
    <t xml:space="preserve">한울림 색소폰 앙상블</t>
  </si>
  <si>
    <r>
      <rPr>
        <b val="true"/>
        <sz val="10"/>
        <rFont val="나눔고딕"/>
        <family val="2"/>
      </rPr>
      <t xml:space="preserve">기간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나눔고딕"/>
        <family val="2"/>
      </rPr>
      <t xml:space="preserve">시간</t>
    </r>
  </si>
  <si>
    <t xml:space="preserve">동아시아문화도시 탈전시</t>
  </si>
  <si>
    <t xml:space="preserve">2026.09.25 ~ 10.04</t>
  </si>
  <si>
    <t xml:space="preserve">전시</t>
  </si>
  <si>
    <t xml:space="preserve">https://www.maskdance.com/2024/sub2/sub18.asp?yflag=2026&amp;search=&amp;page=1&amp;seq=4504</t>
  </si>
  <si>
    <t xml:space="preserve">페이지 게시일 미표기</t>
  </si>
  <si>
    <t xml:space="preserve">세계창작탈공모전 전시</t>
  </si>
  <si>
    <r>
      <rPr>
        <sz val="10"/>
        <rFont val="나눔고딕"/>
        <family val="2"/>
      </rPr>
      <t xml:space="preserve">중앙선</t>
    </r>
    <r>
      <rPr>
        <sz val="10"/>
        <rFont val="Arial"/>
        <family val="0"/>
        <charset val="1"/>
      </rPr>
      <t xml:space="preserve">1942</t>
    </r>
  </si>
  <si>
    <t xml:space="preserve">https://www.maskdance.com/2024/sub2/sub18.asp?yflag=2026&amp;search=&amp;page=1&amp;seq=4501</t>
  </si>
  <si>
    <t xml:space="preserve">전통주 박람회</t>
  </si>
  <si>
    <t xml:space="preserve">먹거리</t>
  </si>
  <si>
    <r>
      <rPr>
        <sz val="10"/>
        <rFont val="나눔고딕"/>
        <family val="2"/>
      </rPr>
      <t xml:space="preserve">탈춤공원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벚꽃길</t>
    </r>
  </si>
  <si>
    <t xml:space="preserve">https://www.maskdance.com/2024/sub2/sub18.asp?yflag=2026&amp;search=&amp;page=1&amp;seq=4503</t>
  </si>
  <si>
    <r>
      <rPr>
        <sz val="10"/>
        <rFont val="나눔고딕"/>
        <family val="2"/>
      </rPr>
      <t xml:space="preserve">주빈국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말레이시아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의 날 부스</t>
    </r>
  </si>
  <si>
    <t xml:space="preserve">https://www.maskdance.com/2024/sub2/sub18.asp?yflag=2026&amp;search=&amp;page=1&amp;seq=4502</t>
  </si>
  <si>
    <r>
      <rPr>
        <sz val="10"/>
        <rFont val="Arial"/>
        <family val="0"/>
        <charset val="1"/>
      </rPr>
      <t xml:space="preserve">ODA</t>
    </r>
    <r>
      <rPr>
        <sz val="10"/>
        <rFont val="나눔고딕"/>
        <family val="2"/>
      </rPr>
      <t xml:space="preserve">전시</t>
    </r>
  </si>
  <si>
    <t xml:space="preserve">https://www.maskdance.com/2024/sub2/sub18.asp?yflag=2026&amp;search=&amp;page=1&amp;seq=4505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</si>
  <si>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경상북도건축문화의날</t>
    </r>
  </si>
  <si>
    <t xml:space="preserve">안동문화예술의전당</t>
  </si>
  <si>
    <t xml:space="preserve">2026.10.01.~10.04.</t>
  </si>
  <si>
    <t xml:space="preserve">https://www.maskdance.com/2024/sub2/sub17.asp?yflag=2026&amp;search=&amp;page=1&amp;seq=4373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</si>
  <si>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동아시아문화도시 안동 동아시아 탈전시 및 체험</t>
    </r>
  </si>
  <si>
    <t xml:space="preserve">2026.09.24.~10.04.</t>
  </si>
  <si>
    <t xml:space="preserve">https://www.maskdance.com/2024/sub2/sub17.asp?yflag=2026&amp;search=&amp;page=1&amp;seq=4380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</si>
  <si>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안동마라톤대회</t>
    </r>
  </si>
  <si>
    <t xml:space="preserve">안동시민운동장</t>
  </si>
  <si>
    <t xml:space="preserve">2026.10.04.</t>
  </si>
  <si>
    <t xml:space="preserve">https://www.maskdance.com/2024/sub2/sub17.asp?yflag=2026&amp;search=&amp;page=1&amp;seq=4379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</si>
  <si>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안동소주 공개행사</t>
    </r>
  </si>
  <si>
    <t xml:space="preserve">https://www.maskdance.com/2024/sub2/sub17.asp?yflag=2026&amp;search=&amp;page=1&amp;seq=4376</t>
  </si>
  <si>
    <t xml:space="preserve">웅부객주로드</t>
  </si>
  <si>
    <t xml:space="preserve">원도심 음식의 거리</t>
  </si>
  <si>
    <r>
      <rPr>
        <sz val="10"/>
        <rFont val="Arial"/>
        <family val="0"/>
        <charset val="1"/>
      </rPr>
      <t xml:space="preserve">2026.9.24 ~10. 4 / </t>
    </r>
    <r>
      <rPr>
        <sz val="10"/>
        <rFont val="나눔고딕"/>
        <family val="2"/>
      </rPr>
      <t xml:space="preserve">축제기간 중</t>
    </r>
  </si>
  <si>
    <t xml:space="preserve">https://www.maskdance.com/2024/sub2/sub17.asp?yflag=2026&amp;search=&amp;page=2&amp;seq=4499</t>
  </si>
  <si>
    <r>
      <rPr>
        <sz val="10"/>
        <rFont val="나눔고딕"/>
        <family val="2"/>
      </rPr>
      <t xml:space="preserve">버스킹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길거리 객잔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이벤트</t>
    </r>
    <r>
      <rPr>
        <sz val="10"/>
        <rFont val="Arial"/>
        <family val="0"/>
        <charset val="1"/>
      </rPr>
      <t xml:space="preserve">, '</t>
    </r>
    <r>
      <rPr>
        <sz val="10"/>
        <rFont val="나눔고딕"/>
        <family val="2"/>
      </rPr>
      <t xml:space="preserve">흥해라 청춘</t>
    </r>
    <r>
      <rPr>
        <sz val="10"/>
        <rFont val="Arial"/>
        <family val="0"/>
        <charset val="1"/>
      </rPr>
      <t xml:space="preserve">': </t>
    </r>
    <r>
      <rPr>
        <sz val="10"/>
        <rFont val="나눔고딕"/>
        <family val="2"/>
      </rPr>
      <t xml:space="preserve">지역 수제맥주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생맥주 판매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쉼터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상세 페이지 문구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</si>
  <si>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제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회 안동시우리꽃연구회 우리꽃 전시회</t>
    </r>
  </si>
  <si>
    <t xml:space="preserve">안동시립박물관 별관</t>
  </si>
  <si>
    <t xml:space="preserve">https://www.maskdance.com/2024/sub2/sub17.asp?yflag=2026&amp;search=&amp;page=2&amp;seq=4372</t>
  </si>
  <si>
    <r>
      <rPr>
        <sz val="10"/>
        <rFont val="나눔고딕"/>
        <family val="2"/>
      </rPr>
      <t xml:space="preserve">탈춤식당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축제 먹거리</t>
    </r>
    <r>
      <rPr>
        <sz val="10"/>
        <rFont val="Arial"/>
        <family val="0"/>
        <charset val="1"/>
      </rPr>
      <t xml:space="preserve">)</t>
    </r>
  </si>
  <si>
    <t xml:space="preserve">메인무대 서쪽 대형 그늘막 내부</t>
  </si>
  <si>
    <t xml:space="preserve">축제 기간</t>
  </si>
  <si>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춤추는 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춤추는 맛 탈춤식당</t>
    </r>
    <r>
      <rPr>
        <sz val="10"/>
        <rFont val="Arial"/>
        <family val="0"/>
        <charset val="1"/>
      </rPr>
      <t xml:space="preserve">'</t>
    </r>
  </si>
  <si>
    <t xml:space="preserve">https://www.maskdance.com/gears_pds/book/123/2026_leaflet_ko%20(2).pdf</t>
  </si>
  <si>
    <r>
      <rPr>
        <sz val="10"/>
        <rFont val="Arial"/>
        <family val="0"/>
        <charset val="1"/>
      </rPr>
      <t xml:space="preserve">2026-09-21(PDF </t>
    </r>
    <r>
      <rPr>
        <sz val="10"/>
        <rFont val="나눔고딕"/>
        <family val="2"/>
      </rPr>
      <t xml:space="preserve">생성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</si>
  <si>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 화면 확인</t>
    </r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</si>
  <si>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산성마을의 추석</t>
    </r>
  </si>
  <si>
    <t xml:space="preserve">한국문화테마파크 산성마을</t>
  </si>
  <si>
    <t xml:space="preserve">2026-09-24~09-27</t>
  </si>
  <si>
    <t xml:space="preserve">리플릿</t>
  </si>
  <si>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전통놀이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떡메치기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소원 적기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포토존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문구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</si>
  <si>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탈춤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탈랄라 댄스 따라 배우기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상시 안내</t>
    </r>
    <r>
      <rPr>
        <sz val="10"/>
        <rFont val="Arial"/>
        <family val="0"/>
        <charset val="1"/>
      </rPr>
      <t xml:space="preserve">)</t>
    </r>
  </si>
  <si>
    <t xml:space="preserve">탈춤공원 버스킹 무대</t>
  </si>
  <si>
    <t xml:space="preserve">2026-09-25~10-04 11:00~17:00</t>
  </si>
  <si>
    <r>
      <rPr>
        <sz val="10"/>
        <rFont val="나눔고딕"/>
        <family val="2"/>
      </rPr>
      <t xml:space="preserve">리플릿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체험</t>
    </r>
  </si>
  <si>
    <t xml:space="preserve">https://www.maskdance.com/2024/sub2/sub3_3.asp</t>
  </si>
  <si>
    <r>
      <rPr>
        <sz val="10"/>
        <rFont val="나눔고딕"/>
        <family val="2"/>
      </rPr>
      <t xml:space="preserve">회차별 시간은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프로그램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일정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시트</t>
    </r>
  </si>
  <si>
    <t xml:space="preserve">전체 일정 수</t>
  </si>
  <si>
    <r>
      <rPr>
        <b val="true"/>
        <sz val="10"/>
        <rFont val="Arial"/>
        <family val="0"/>
        <charset val="1"/>
      </rPr>
      <t xml:space="preserve">18</t>
    </r>
    <r>
      <rPr>
        <b val="true"/>
        <sz val="10"/>
        <rFont val="나눔고딕"/>
        <family val="2"/>
      </rPr>
      <t xml:space="preserve">시 이후 시작</t>
    </r>
  </si>
  <si>
    <r>
      <rPr>
        <b val="true"/>
        <sz val="10"/>
        <rFont val="Arial"/>
        <family val="0"/>
        <charset val="1"/>
      </rPr>
      <t xml:space="preserve">18</t>
    </r>
    <r>
      <rPr>
        <b val="true"/>
        <sz val="10"/>
        <rFont val="나눔고딕"/>
        <family val="2"/>
      </rPr>
      <t xml:space="preserve">시 이후 비중</t>
    </r>
  </si>
  <si>
    <t xml:space="preserve">합계</t>
  </si>
  <si>
    <r>
      <rPr>
        <sz val="10"/>
        <rFont val="Arial"/>
        <family val="0"/>
        <charset val="1"/>
      </rPr>
      <t xml:space="preserve">18</t>
    </r>
    <r>
      <rPr>
        <sz val="10"/>
        <rFont val="나눔고딕"/>
        <family val="2"/>
      </rPr>
      <t xml:space="preserve">시 이후 시작</t>
    </r>
  </si>
  <si>
    <r>
      <rPr>
        <sz val="10"/>
        <rFont val="Arial"/>
        <family val="0"/>
        <charset val="1"/>
      </rPr>
      <t xml:space="preserve">21</t>
    </r>
    <r>
      <rPr>
        <sz val="10"/>
        <rFont val="나눔고딕"/>
        <family val="2"/>
      </rPr>
      <t xml:space="preserve">시 이후 종료</t>
    </r>
  </si>
  <si>
    <r>
      <rPr>
        <sz val="10"/>
        <rFont val="Arial"/>
        <family val="0"/>
        <charset val="1"/>
      </rPr>
      <t xml:space="preserve">18</t>
    </r>
    <r>
      <rPr>
        <sz val="10"/>
        <rFont val="나눔고딕"/>
        <family val="2"/>
      </rPr>
      <t xml:space="preserve">시 이후 비중</t>
    </r>
  </si>
  <si>
    <t xml:space="preserve">구간</t>
  </si>
  <si>
    <t xml:space="preserve">운행일 구분</t>
  </si>
  <si>
    <t xml:space="preserve">출발 정류장</t>
  </si>
  <si>
    <r>
      <rPr>
        <b val="true"/>
        <sz val="10"/>
        <rFont val="나눔고딕"/>
        <family val="2"/>
      </rPr>
      <t xml:space="preserve">도착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경유</t>
    </r>
    <r>
      <rPr>
        <b val="true"/>
        <sz val="10"/>
        <rFont val="Arial"/>
        <family val="0"/>
        <charset val="1"/>
      </rPr>
      <t xml:space="preserve">)</t>
    </r>
  </si>
  <si>
    <t xml:space="preserve">출발 시각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</si>
  <si>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구간</t>
    </r>
  </si>
  <si>
    <r>
      <rPr>
        <sz val="10"/>
        <rFont val="나눔고딕"/>
        <family val="2"/>
      </rPr>
      <t xml:space="preserve">평일</t>
    </r>
    <r>
      <rPr>
        <sz val="10"/>
        <rFont val="Arial"/>
        <family val="0"/>
        <charset val="1"/>
      </rPr>
      <t xml:space="preserve">(9.24·9.28·9.29·9.30·10.1)</t>
    </r>
  </si>
  <si>
    <t xml:space="preserve">탈춤축제장</t>
  </si>
  <si>
    <t xml:space="preserve">하회마을매표소</t>
  </si>
  <si>
    <t xml:space="preserve">10:00</t>
  </si>
  <si>
    <t xml:space="preserve">https://www.maskdance.com/2024/sub7/sub5.asp</t>
  </si>
  <si>
    <r>
      <rPr>
        <sz val="10"/>
        <rFont val="나눔고딕"/>
        <family val="2"/>
      </rPr>
      <t xml:space="preserve">원문 표 순서대로 전사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휴게시간 </t>
    </r>
    <r>
      <rPr>
        <sz val="10"/>
        <rFont val="Arial"/>
        <family val="0"/>
        <charset val="1"/>
      </rPr>
      <t xml:space="preserve">12:00~12:59·18:00~18:59(</t>
    </r>
    <r>
      <rPr>
        <sz val="10"/>
        <rFont val="나눔고딕"/>
        <family val="2"/>
      </rPr>
      <t xml:space="preserve">원문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운행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표기는 오기로 보이나 그대로 둠</t>
    </r>
    <r>
      <rPr>
        <sz val="10"/>
        <rFont val="Arial"/>
        <family val="0"/>
        <charset val="1"/>
      </rPr>
      <t xml:space="preserve">)</t>
    </r>
  </si>
  <si>
    <t xml:space="preserve">11:00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</si>
  <si>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</si>
  <si>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</si>
  <si>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</si>
  <si>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</si>
  <si>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</si>
  <si>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r>
      <rPr>
        <sz val="10"/>
        <rFont val="나눔고딕"/>
        <family val="2"/>
      </rPr>
      <t xml:space="preserve">휴일</t>
    </r>
    <r>
      <rPr>
        <sz val="10"/>
        <rFont val="Arial"/>
        <family val="0"/>
        <charset val="1"/>
      </rPr>
      <t xml:space="preserve">(9.25·9.26·9.27·10.2)</t>
    </r>
  </si>
  <si>
    <t xml:space="preserve">19:00</t>
  </si>
  <si>
    <t xml:space="preserve">20:00</t>
  </si>
  <si>
    <r>
      <rPr>
        <sz val="10"/>
        <rFont val="나눔고딕"/>
        <family val="2"/>
      </rPr>
      <t xml:space="preserve">선유줄불놀이일</t>
    </r>
    <r>
      <rPr>
        <sz val="10"/>
        <rFont val="Arial"/>
        <family val="0"/>
        <charset val="1"/>
      </rPr>
      <t xml:space="preserve">(9.26·10.3·10.4)</t>
    </r>
  </si>
  <si>
    <t xml:space="preserve">안동간고등어숯불가든 본점</t>
  </si>
  <si>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구간</t>
    </r>
  </si>
  <si>
    <r>
      <rPr>
        <sz val="10"/>
        <rFont val="나눔고딕"/>
        <family val="2"/>
      </rPr>
      <t xml:space="preserve">안동시외버스터미널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</rPr>
      <t xml:space="preserve">탈춤축제장</t>
    </r>
  </si>
  <si>
    <t xml:space="preserve">17:30</t>
  </si>
  <si>
    <r>
      <rPr>
        <sz val="10"/>
        <rFont val="나눔고딕"/>
        <family val="2"/>
      </rPr>
      <t xml:space="preserve">안동시외버스터미널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)</t>
    </r>
  </si>
  <si>
    <t xml:space="preserve">10:30</t>
  </si>
  <si>
    <t xml:space="preserve">11:30</t>
  </si>
  <si>
    <t xml:space="preserve">13:30</t>
  </si>
  <si>
    <t xml:space="preserve">14:30</t>
  </si>
  <si>
    <t xml:space="preserve">15:30</t>
  </si>
  <si>
    <t xml:space="preserve">16:30</t>
  </si>
  <si>
    <t xml:space="preserve">18:00</t>
  </si>
  <si>
    <r>
      <rPr>
        <sz val="10"/>
        <rFont val="나눔고딕"/>
        <family val="2"/>
      </rPr>
      <t xml:space="preserve">휴일</t>
    </r>
    <r>
      <rPr>
        <sz val="10"/>
        <rFont val="Arial"/>
        <family val="0"/>
        <charset val="1"/>
      </rPr>
      <t xml:space="preserve">(9.25·9.27·10.2)</t>
    </r>
  </si>
  <si>
    <t xml:space="preserve">19:30</t>
  </si>
  <si>
    <t xml:space="preserve">21:00</t>
  </si>
  <si>
    <t xml:space="preserve">20:30</t>
  </si>
  <si>
    <t xml:space="preserve">21:30</t>
  </si>
  <si>
    <t xml:space="preserve">항목</t>
  </si>
  <si>
    <t xml:space="preserve">내용</t>
  </si>
  <si>
    <t xml:space="preserve">입장권</t>
  </si>
  <si>
    <r>
      <rPr>
        <sz val="10"/>
        <rFont val="나눔고딕"/>
        <family val="2"/>
      </rPr>
      <t xml:space="preserve">일반권 현장 </t>
    </r>
    <r>
      <rPr>
        <sz val="10"/>
        <rFont val="Arial"/>
        <family val="0"/>
        <charset val="1"/>
      </rPr>
      <t xml:space="preserve">8,000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예매 </t>
    </r>
    <r>
      <rPr>
        <sz val="10"/>
        <rFont val="Arial"/>
        <family val="0"/>
        <charset val="1"/>
      </rPr>
      <t xml:space="preserve">6,000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탈춤사랑쿠폰 </t>
    </r>
    <r>
      <rPr>
        <sz val="10"/>
        <rFont val="Arial"/>
        <family val="0"/>
        <charset val="1"/>
      </rPr>
      <t xml:space="preserve">2,000</t>
    </r>
    <r>
      <rPr>
        <sz val="10"/>
        <rFont val="나눔고딕"/>
        <family val="2"/>
      </rPr>
      <t xml:space="preserve">원 페이백</t>
    </r>
    <r>
      <rPr>
        <sz val="10"/>
        <rFont val="Arial"/>
        <family val="0"/>
        <charset val="1"/>
      </rPr>
      <t xml:space="preserve">)</t>
    </r>
  </si>
  <si>
    <t xml:space="preserve">https://www.maskdance.com/2024/sub7/sub2.asp</t>
  </si>
  <si>
    <t xml:space="preserve">미표기</t>
  </si>
  <si>
    <t xml:space="preserve">화면 그대로</t>
  </si>
  <si>
    <r>
      <rPr>
        <sz val="10"/>
        <rFont val="나눔고딕"/>
        <family val="2"/>
      </rPr>
      <t xml:space="preserve">학생권 현장 </t>
    </r>
    <r>
      <rPr>
        <sz val="10"/>
        <rFont val="Arial"/>
        <family val="0"/>
        <charset val="1"/>
      </rPr>
      <t xml:space="preserve">6,000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예매 </t>
    </r>
    <r>
      <rPr>
        <sz val="10"/>
        <rFont val="Arial"/>
        <family val="0"/>
        <charset val="1"/>
      </rPr>
      <t xml:space="preserve">4,000</t>
    </r>
    <r>
      <rPr>
        <sz val="10"/>
        <rFont val="나눔고딕"/>
        <family val="2"/>
      </rPr>
      <t xml:space="preserve">원</t>
    </r>
  </si>
  <si>
    <r>
      <rPr>
        <sz val="10"/>
        <rFont val="나눔고딕"/>
        <family val="2"/>
      </rPr>
      <t xml:space="preserve">무료관람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미취학아동</t>
    </r>
    <r>
      <rPr>
        <sz val="10"/>
        <rFont val="Arial"/>
        <family val="0"/>
        <charset val="1"/>
      </rPr>
      <t xml:space="preserve">(6</t>
    </r>
    <r>
      <rPr>
        <sz val="10"/>
        <rFont val="나눔고딕"/>
        <family val="2"/>
      </rPr>
      <t xml:space="preserve">세 이하</t>
    </r>
    <r>
      <rPr>
        <sz val="10"/>
        <rFont val="Arial"/>
        <family val="0"/>
        <charset val="1"/>
      </rPr>
      <t xml:space="preserve">)·</t>
    </r>
    <r>
      <rPr>
        <sz val="10"/>
        <rFont val="나눔고딕"/>
        <family val="2"/>
      </rPr>
      <t xml:space="preserve">기초생활수급자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장애인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국가유공자</t>
    </r>
  </si>
  <si>
    <r>
      <rPr>
        <sz val="10"/>
        <rFont val="나눔고딕"/>
        <family val="2"/>
      </rPr>
      <t xml:space="preserve">예매권은 축제기간 지정 매표소에서 당회 입장권으로 교환 후 입장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교환 시 탈춤사랑쿠폰</t>
    </r>
    <r>
      <rPr>
        <sz val="10"/>
        <rFont val="Arial"/>
        <family val="0"/>
        <charset val="1"/>
      </rPr>
      <t xml:space="preserve">(2,000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지급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공연 관람은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매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공연 후 전원 퇴장</t>
    </r>
    <r>
      <rPr>
        <sz val="10"/>
        <rFont val="Arial"/>
        <family val="0"/>
        <charset val="1"/>
      </rPr>
      <t xml:space="preserve">)</t>
    </r>
  </si>
  <si>
    <t xml:space="preserve">입장권 적용 무대</t>
  </si>
  <si>
    <r>
      <rPr>
        <sz val="10"/>
        <rFont val="나눔고딕"/>
        <family val="2"/>
      </rPr>
      <t xml:space="preserve">판매처 상품명 </t>
    </r>
    <r>
      <rPr>
        <sz val="10"/>
        <rFont val="Arial"/>
        <family val="0"/>
        <charset val="1"/>
      </rPr>
      <t xml:space="preserve">'2025 </t>
    </r>
    <r>
      <rPr>
        <sz val="10"/>
        <rFont val="나눔고딕"/>
        <family val="2"/>
      </rPr>
      <t xml:space="preserve">안동국제탈춤페스티벌 탈춤공연장 공연관람권</t>
    </r>
    <r>
      <rPr>
        <sz val="10"/>
        <rFont val="Arial"/>
        <family val="0"/>
        <charset val="1"/>
      </rPr>
      <t xml:space="preserve">'(NOL </t>
    </r>
    <r>
      <rPr>
        <sz val="10"/>
        <rFont val="나눔고딕"/>
        <family val="2"/>
      </rPr>
      <t xml:space="preserve">티켓</t>
    </r>
    <r>
      <rPr>
        <sz val="10"/>
        <rFont val="Arial"/>
        <family val="0"/>
        <charset val="1"/>
      </rPr>
      <t xml:space="preserve">). 2026 </t>
    </r>
    <r>
      <rPr>
        <sz val="10"/>
        <rFont val="나눔고딕"/>
        <family val="2"/>
      </rPr>
      <t xml:space="preserve">공식 안내엔 무대 미명시</t>
    </r>
  </si>
  <si>
    <t xml:space="preserve">https://tickets.interpark.com/goods/25014153</t>
  </si>
  <si>
    <t xml:space="preserve">2025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</si>
  <si>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상품명은 미확인</t>
    </r>
  </si>
  <si>
    <t xml:space="preserve">사전예매</t>
  </si>
  <si>
    <r>
      <rPr>
        <sz val="10"/>
        <rFont val="Arial"/>
        <family val="0"/>
        <charset val="1"/>
      </rPr>
      <t xml:space="preserve">2026-08-18~09-17, </t>
    </r>
    <r>
      <rPr>
        <sz val="10"/>
        <rFont val="나눔고딕"/>
        <family val="2"/>
      </rPr>
      <t xml:space="preserve">네이버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카카오톡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쿠팡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시청 종합민원실</t>
    </r>
    <r>
      <rPr>
        <sz val="10"/>
        <rFont val="Arial"/>
        <family val="0"/>
        <charset val="1"/>
      </rPr>
      <t xml:space="preserve">·24</t>
    </r>
    <r>
      <rPr>
        <sz val="10"/>
        <rFont val="나눔고딕"/>
        <family val="2"/>
      </rPr>
      <t xml:space="preserve">개 읍면동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지정 판매처</t>
    </r>
  </si>
  <si>
    <t xml:space="preserve">https://biz.heraldcorp.com/article/10844864</t>
  </si>
  <si>
    <t xml:space="preserve">2026-08-19</t>
  </si>
  <si>
    <t xml:space="preserve">헤럴드경제</t>
  </si>
  <si>
    <t xml:space="preserve">탈춤사랑쿠폰 사용처</t>
  </si>
  <si>
    <r>
      <rPr>
        <sz val="10"/>
        <rFont val="나눔고딕"/>
        <family val="2"/>
      </rPr>
      <t xml:space="preserve">축제장 인근 원도심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음식의거리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중앙문화의거리상점가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남서상점가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구시장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중앙신시장 구역 및 주변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의 사용 가능 표지 부착 상가</t>
    </r>
  </si>
  <si>
    <t xml:space="preserve">https://www.maskdance.com/2024/sub4/sub4.asp</t>
  </si>
  <si>
    <r>
      <rPr>
        <sz val="10"/>
        <rFont val="나눔고딕"/>
        <family val="2"/>
      </rPr>
      <t xml:space="preserve">원도심 식당 연결</t>
    </r>
    <r>
      <rPr>
        <sz val="10"/>
        <rFont val="Arial"/>
        <family val="0"/>
        <charset val="1"/>
      </rPr>
      <t xml:space="preserve">(1</t>
    </r>
    <r>
      <rPr>
        <sz val="10"/>
        <rFont val="나눔고딕"/>
        <family val="2"/>
      </rPr>
      <t xml:space="preserve">단계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과 직접 관련</t>
    </r>
  </si>
  <si>
    <t xml:space="preserve">문화의 거리 도로통제</t>
  </si>
  <si>
    <r>
      <rPr>
        <sz val="10"/>
        <rFont val="나눔고딕"/>
        <family val="2"/>
      </rPr>
      <t xml:space="preserve">신한은행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삼보빌딩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음식의길 남측 입구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파리바게트 안동중앙점 입구 </t>
    </r>
    <r>
      <rPr>
        <sz val="10"/>
        <rFont val="Arial"/>
        <family val="0"/>
        <charset val="1"/>
      </rPr>
      <t xml:space="preserve">/ 2026-09-22~10-06 </t>
    </r>
    <r>
      <rPr>
        <sz val="10"/>
        <rFont val="나눔고딕"/>
        <family val="2"/>
      </rPr>
      <t xml:space="preserve">매일 </t>
    </r>
    <r>
      <rPr>
        <sz val="10"/>
        <rFont val="Arial"/>
        <family val="0"/>
        <charset val="1"/>
      </rPr>
      <t xml:space="preserve">17:00~24:00</t>
    </r>
  </si>
  <si>
    <r>
      <rPr>
        <sz val="10"/>
        <rFont val="나눔고딕"/>
        <family val="2"/>
      </rPr>
      <t xml:space="preserve">리플릿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최신</t>
    </r>
    <r>
      <rPr>
        <sz val="10"/>
        <rFont val="Arial"/>
        <family val="0"/>
        <charset val="1"/>
      </rPr>
      <t xml:space="preserve">). FAQ</t>
    </r>
    <r>
      <rPr>
        <sz val="10"/>
        <rFont val="나눔고딕"/>
        <family val="2"/>
      </rPr>
      <t xml:space="preserve">는 </t>
    </r>
    <r>
      <rPr>
        <sz val="10"/>
        <rFont val="Arial"/>
        <family val="0"/>
        <charset val="1"/>
      </rPr>
      <t xml:space="preserve">'9.16 10:00~10.7 23:00'</t>
    </r>
    <r>
      <rPr>
        <sz val="10"/>
        <rFont val="나눔고딕"/>
        <family val="2"/>
      </rPr>
      <t xml:space="preserve">로 다름 → 리플릿 우선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현장 확인 필요</t>
    </r>
  </si>
  <si>
    <r>
      <rPr>
        <sz val="10"/>
        <rFont val="나눔고딕"/>
        <family val="2"/>
      </rPr>
      <t xml:space="preserve">문화의 거리 도로통제</t>
    </r>
    <r>
      <rPr>
        <sz val="10"/>
        <rFont val="Arial"/>
        <family val="0"/>
        <charset val="1"/>
      </rPr>
      <t xml:space="preserve">(FAQ)</t>
    </r>
  </si>
  <si>
    <r>
      <rPr>
        <sz val="10"/>
        <rFont val="나눔고딕"/>
        <family val="2"/>
      </rPr>
      <t xml:space="preserve">삼산우체국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삼보빌딩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음식의길 남측 입구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파리바게트 안동중앙점 입구 </t>
    </r>
    <r>
      <rPr>
        <sz val="10"/>
        <rFont val="Arial"/>
        <family val="0"/>
        <charset val="1"/>
      </rPr>
      <t xml:space="preserve">/ 9.16.(</t>
    </r>
    <r>
      <rPr>
        <sz val="10"/>
        <rFont val="나눔고딕"/>
        <family val="2"/>
      </rPr>
      <t xml:space="preserve">수</t>
    </r>
    <r>
      <rPr>
        <sz val="10"/>
        <rFont val="Arial"/>
        <family val="0"/>
        <charset val="1"/>
      </rPr>
      <t xml:space="preserve">) 10:00~10.7.(</t>
    </r>
    <r>
      <rPr>
        <sz val="10"/>
        <rFont val="나눔고딕"/>
        <family val="2"/>
      </rPr>
      <t xml:space="preserve">수</t>
    </r>
    <r>
      <rPr>
        <sz val="10"/>
        <rFont val="Arial"/>
        <family val="0"/>
        <charset val="1"/>
      </rPr>
      <t xml:space="preserve">) 23:00</t>
    </r>
  </si>
  <si>
    <r>
      <rPr>
        <sz val="10"/>
        <rFont val="나눔고딕"/>
        <family val="2"/>
      </rPr>
      <t xml:space="preserve">리플릿과 기간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구간 다름</t>
    </r>
  </si>
  <si>
    <t xml:space="preserve">벚꽃도로 도로통제</t>
  </si>
  <si>
    <r>
      <rPr>
        <sz val="10"/>
        <rFont val="나눔고딕"/>
        <family val="2"/>
      </rPr>
      <t xml:space="preserve">탈춤공원 뒤편 벚꽃도로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축제장길 </t>
    </r>
    <r>
      <rPr>
        <sz val="10"/>
        <rFont val="Arial"/>
        <family val="0"/>
        <charset val="1"/>
      </rPr>
      <t xml:space="preserve">200) / 2026-09-16 10:00~10-07 23:00</t>
    </r>
  </si>
  <si>
    <r>
      <rPr>
        <sz val="10"/>
        <rFont val="Arial"/>
        <family val="0"/>
        <charset val="1"/>
      </rPr>
      <t xml:space="preserve">FAQ</t>
    </r>
    <r>
      <rPr>
        <sz val="10"/>
        <rFont val="나눔고딕"/>
        <family val="2"/>
      </rPr>
      <t xml:space="preserve">와 동일</t>
    </r>
  </si>
  <si>
    <t xml:space="preserve">탈놀이 대동난장</t>
  </si>
  <si>
    <r>
      <rPr>
        <sz val="10"/>
        <rFont val="Arial"/>
        <family val="0"/>
        <charset val="1"/>
      </rPr>
      <t xml:space="preserve">2026-09-26·09-27·09-30·10-03, 19</t>
    </r>
    <r>
      <rPr>
        <sz val="10"/>
        <rFont val="나눔고딕"/>
        <family val="2"/>
      </rPr>
      <t xml:space="preserve">시</t>
    </r>
    <r>
      <rPr>
        <sz val="10"/>
        <rFont val="Arial"/>
        <family val="0"/>
        <charset val="1"/>
      </rPr>
      <t xml:space="preserve">~ </t>
    </r>
    <r>
      <rPr>
        <sz val="10"/>
        <rFont val="나눔고딕"/>
        <family val="2"/>
      </rPr>
      <t xml:space="preserve">중앙선</t>
    </r>
    <r>
      <rPr>
        <sz val="10"/>
        <rFont val="Arial"/>
        <family val="0"/>
        <charset val="1"/>
      </rPr>
      <t xml:space="preserve">1942 </t>
    </r>
    <r>
      <rPr>
        <sz val="10"/>
        <rFont val="나눔고딕"/>
        <family val="2"/>
      </rPr>
      <t xml:space="preserve">메인무대</t>
    </r>
  </si>
  <si>
    <r>
      <rPr>
        <sz val="10"/>
        <rFont val="Arial"/>
        <family val="0"/>
        <charset val="1"/>
      </rPr>
      <t xml:space="preserve">2026-09-26(</t>
    </r>
    <r>
      <rPr>
        <sz val="10"/>
        <rFont val="나눔고딕"/>
        <family val="2"/>
      </rPr>
      <t xml:space="preserve">토</t>
    </r>
    <r>
      <rPr>
        <sz val="10"/>
        <rFont val="Arial"/>
        <family val="0"/>
        <charset val="1"/>
      </rPr>
      <t xml:space="preserve">)·10-03(</t>
    </r>
    <r>
      <rPr>
        <sz val="10"/>
        <rFont val="나눔고딕"/>
        <family val="2"/>
      </rPr>
      <t xml:space="preserve">토</t>
    </r>
    <r>
      <rPr>
        <sz val="10"/>
        <rFont val="Arial"/>
        <family val="0"/>
        <charset val="1"/>
      </rPr>
      <t xml:space="preserve">)·10-04(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) 19:00~21:00, </t>
    </r>
    <r>
      <rPr>
        <sz val="10"/>
        <rFont val="나눔고딕"/>
        <family val="2"/>
      </rPr>
      <t xml:space="preserve">하회마을 만송정 일원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요금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예약 표기 없음</t>
    </r>
  </si>
  <si>
    <t xml:space="preserve">https://www.maskdance.com/2024/sub2/sub1_9.asp</t>
  </si>
  <si>
    <r>
      <rPr>
        <sz val="10"/>
        <rFont val="나눔고딕"/>
        <family val="2"/>
      </rPr>
      <t xml:space="preserve">반값여행 지정관광지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지역축제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에도 포함</t>
    </r>
  </si>
  <si>
    <r>
      <rPr>
        <sz val="10"/>
        <rFont val="Arial"/>
        <family val="0"/>
        <charset val="1"/>
      </rPr>
      <t xml:space="preserve">2026-09-25(</t>
    </r>
    <r>
      <rPr>
        <sz val="10"/>
        <rFont val="나눔고딕"/>
        <family val="2"/>
      </rPr>
      <t xml:space="preserve">금</t>
    </r>
    <r>
      <rPr>
        <sz val="10"/>
        <rFont val="Arial"/>
        <family val="0"/>
        <charset val="1"/>
      </rPr>
      <t xml:space="preserve">) 19:00~ </t>
    </r>
    <r>
      <rPr>
        <sz val="10"/>
        <rFont val="나눔고딕"/>
        <family val="2"/>
      </rPr>
      <t xml:space="preserve">중앙선</t>
    </r>
    <r>
      <rPr>
        <sz val="10"/>
        <rFont val="Arial"/>
        <family val="0"/>
        <charset val="1"/>
      </rPr>
      <t xml:space="preserve">1942 </t>
    </r>
    <r>
      <rPr>
        <sz val="10"/>
        <rFont val="나눔고딕"/>
        <family val="2"/>
      </rPr>
      <t xml:space="preserve">메인무대</t>
    </r>
    <r>
      <rPr>
        <sz val="10"/>
        <rFont val="Arial"/>
        <family val="0"/>
        <charset val="1"/>
      </rPr>
      <t xml:space="preserve">(FAQ) / </t>
    </r>
    <r>
      <rPr>
        <sz val="10"/>
        <rFont val="나눔고딕"/>
        <family val="2"/>
      </rPr>
      <t xml:space="preserve">리플릿은 </t>
    </r>
    <r>
      <rPr>
        <sz val="10"/>
        <rFont val="Arial"/>
        <family val="0"/>
        <charset val="1"/>
      </rPr>
      <t xml:space="preserve">'18:00~ </t>
    </r>
    <r>
      <rPr>
        <sz val="10"/>
        <rFont val="나눔고딕"/>
        <family val="2"/>
      </rPr>
      <t xml:space="preserve">메인무대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개막식 퍼레이드 포함</t>
    </r>
    <r>
      <rPr>
        <sz val="10"/>
        <rFont val="Arial"/>
        <family val="0"/>
        <charset val="1"/>
      </rPr>
      <t xml:space="preserve">'</t>
    </r>
  </si>
  <si>
    <t xml:space="preserve">퍼레이드 포함 여부에 따라 시작 시각 표기가 다름</t>
  </si>
  <si>
    <t xml:space="preserve">폐막식</t>
  </si>
  <si>
    <r>
      <rPr>
        <sz val="10"/>
        <rFont val="Arial"/>
        <family val="0"/>
        <charset val="1"/>
      </rPr>
      <t xml:space="preserve">2026-10-04(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) 20:30~ </t>
    </r>
    <r>
      <rPr>
        <sz val="10"/>
        <rFont val="나눔고딕"/>
        <family val="2"/>
      </rPr>
      <t xml:space="preserve">중앙선</t>
    </r>
    <r>
      <rPr>
        <sz val="10"/>
        <rFont val="Arial"/>
        <family val="0"/>
        <charset val="1"/>
      </rPr>
      <t xml:space="preserve">1942 </t>
    </r>
    <r>
      <rPr>
        <sz val="10"/>
        <rFont val="나눔고딕"/>
        <family val="2"/>
      </rPr>
      <t xml:space="preserve">메인무대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탈놀이 경연대회 결승과 함께</t>
    </r>
    <r>
      <rPr>
        <sz val="10"/>
        <rFont val="Arial"/>
        <family val="0"/>
        <charset val="1"/>
      </rPr>
      <t xml:space="preserve">)</t>
    </r>
  </si>
  <si>
    <t xml:space="preserve">구분</t>
  </si>
  <si>
    <t xml:space="preserve">축제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</si>
  <si>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안동국제탈춤페스티벌</t>
    </r>
    <r>
      <rPr>
        <sz val="10"/>
        <rFont val="Arial"/>
        <family val="0"/>
        <charset val="1"/>
      </rPr>
      <t xml:space="preserve">, 2026-09-24(</t>
    </r>
    <r>
      <rPr>
        <sz val="10"/>
        <rFont val="나눔고딕"/>
        <family val="2"/>
      </rPr>
      <t xml:space="preserve">목</t>
    </r>
    <r>
      <rPr>
        <sz val="10"/>
        <rFont val="Arial"/>
        <family val="0"/>
        <charset val="1"/>
      </rPr>
      <t xml:space="preserve">)~10-04(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) 11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주제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가면의 기억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모두의 춤</t>
    </r>
    <r>
      <rPr>
        <sz val="10"/>
        <rFont val="Arial"/>
        <family val="0"/>
        <charset val="1"/>
      </rPr>
      <t xml:space="preserve">'. </t>
    </r>
    <r>
      <rPr>
        <sz val="10"/>
        <rFont val="나눔고딕"/>
        <family val="2"/>
      </rPr>
      <t xml:space="preserve">주관 한국정신문화재단</t>
    </r>
    <r>
      <rPr>
        <sz val="10"/>
        <rFont val="Arial"/>
        <family val="0"/>
        <charset val="1"/>
      </rPr>
      <t xml:space="preserve">(054-840-3424).</t>
    </r>
  </si>
  <si>
    <t xml:space="preserve">일정 출처</t>
  </si>
  <si>
    <r>
      <rPr>
        <sz val="10"/>
        <rFont val="나눔고딕"/>
        <family val="2"/>
      </rPr>
      <t xml:space="preserve">공식 누리집 행사일정표 날짜별 페이지</t>
    </r>
    <r>
      <rPr>
        <sz val="10"/>
        <rFont val="Arial"/>
        <family val="0"/>
        <charset val="1"/>
      </rPr>
      <t xml:space="preserve">(https://www.maskdance.com/2024/sub7/sub1.asp?ymd=YYYYMMDD) 11</t>
    </r>
    <r>
      <rPr>
        <sz val="10"/>
        <rFont val="나눔고딕"/>
        <family val="2"/>
      </rPr>
      <t xml:space="preserve">일치 전부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행사명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장소는 원문 그대로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원문 표 </t>
    </r>
    <r>
      <rPr>
        <sz val="10"/>
        <rFont val="Arial"/>
        <family val="0"/>
        <charset val="1"/>
      </rPr>
      <t xml:space="preserve">413</t>
    </r>
    <r>
      <rPr>
        <sz val="10"/>
        <rFont val="나눔고딕"/>
        <family val="2"/>
      </rPr>
      <t xml:space="preserve">행</t>
    </r>
    <r>
      <rPr>
        <sz val="10"/>
        <rFont val="Arial"/>
        <family val="0"/>
        <charset val="1"/>
      </rPr>
      <t xml:space="preserve">.</t>
    </r>
  </si>
  <si>
    <t xml:space="preserve">유형 열</t>
  </si>
  <si>
    <r>
      <rPr>
        <sz val="10"/>
        <rFont val="나눔고딕"/>
        <family val="2"/>
      </rPr>
      <t xml:space="preserve">작업 목록의 유형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체험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야간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먹거리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중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야간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은 시간 조건이라 별도 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야간</t>
    </r>
    <r>
      <rPr>
        <sz val="10"/>
        <rFont val="Arial"/>
        <family val="0"/>
        <charset val="1"/>
      </rPr>
      <t xml:space="preserve">(18</t>
    </r>
    <r>
      <rPr>
        <sz val="10"/>
        <rFont val="나눔고딕"/>
        <family val="2"/>
      </rPr>
      <t xml:space="preserve">시 이후 시작</t>
    </r>
    <r>
      <rPr>
        <sz val="10"/>
        <rFont val="Arial"/>
        <family val="0"/>
        <charset val="1"/>
      </rPr>
      <t xml:space="preserve">), 21</t>
    </r>
    <r>
      <rPr>
        <sz val="10"/>
        <rFont val="나눔고딕"/>
        <family val="2"/>
      </rPr>
      <t xml:space="preserve">시 이후 종료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로 분리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유형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체험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기타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미분류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먹거리는 날짜별 일정표에 회차가 없어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기간형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먹거리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시트에 둠</t>
    </r>
    <r>
      <rPr>
        <sz val="10"/>
        <rFont val="Arial"/>
        <family val="0"/>
        <charset val="1"/>
      </rPr>
      <t xml:space="preserve">.</t>
    </r>
  </si>
  <si>
    <t xml:space="preserve">공식분류 규칙</t>
  </si>
  <si>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축제 프로그램</t>
    </r>
    <r>
      <rPr>
        <sz val="10"/>
        <rFont val="Arial"/>
        <family val="0"/>
        <charset val="1"/>
      </rPr>
      <t xml:space="preserve">' 8</t>
    </r>
    <r>
      <rPr>
        <sz val="10"/>
        <rFont val="나눔고딕"/>
        <family val="2"/>
      </rPr>
      <t xml:space="preserve">분류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개막식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퍼레이드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경연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전시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체험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현장 이벤트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관광지 프로그램</t>
    </r>
    <r>
      <rPr>
        <sz val="10"/>
        <rFont val="Arial"/>
        <family val="0"/>
        <charset val="1"/>
      </rPr>
      <t xml:space="preserve">) + </t>
    </r>
    <r>
      <rPr>
        <sz val="10"/>
        <rFont val="나눔고딕"/>
        <family val="2"/>
      </rPr>
      <t xml:space="preserve">누리집 프로그램 메뉴 목록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한국탈춤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외국탈춤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마당극</t>
    </r>
    <r>
      <rPr>
        <sz val="10"/>
        <rFont val="Arial"/>
        <family val="0"/>
        <charset val="1"/>
      </rPr>
      <t xml:space="preserve">&amp;</t>
    </r>
    <r>
      <rPr>
        <sz val="10"/>
        <rFont val="나눔고딕"/>
        <family val="2"/>
      </rPr>
      <t xml:space="preserve">창작극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자유참가작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민속놀이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하회마을행사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전시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연계</t>
    </r>
    <r>
      <rPr>
        <sz val="10"/>
        <rFont val="Arial"/>
        <family val="0"/>
        <charset val="1"/>
      </rPr>
      <t xml:space="preserve">, 187</t>
    </r>
    <r>
      <rPr>
        <sz val="10"/>
        <rFont val="나눔고딕"/>
        <family val="2"/>
      </rPr>
      <t xml:space="preserve">개 이름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에 이름을 맞춤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체험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탈춤따라 배우기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탈랄라댄스 배우기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체험 목록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목록에 없는 이름은 미분류로 두고 추정하지 않음</t>
    </r>
    <r>
      <rPr>
        <sz val="10"/>
        <rFont val="Arial"/>
        <family val="0"/>
        <charset val="1"/>
      </rPr>
      <t xml:space="preserve">.</t>
    </r>
  </si>
  <si>
    <t xml:space="preserve">미분류 이름</t>
  </si>
  <si>
    <r>
      <rPr>
        <sz val="10"/>
        <rFont val="Arial"/>
        <family val="0"/>
        <charset val="1"/>
      </rPr>
      <t xml:space="preserve">COMA, DR CREW, SIGN CREW, </t>
    </r>
    <r>
      <rPr>
        <sz val="10"/>
        <rFont val="나눔고딕"/>
        <family val="2"/>
      </rPr>
      <t xml:space="preserve">갓쓰고 탈쓰고 런웨이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걷기대회 축하공연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경북 국악협회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경북 무용협회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경북 연극협회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경북 연예예술인협회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경북 음악협회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경북도청미래태권도줄넘기시범단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박찬일 쉐프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밴드 판소리 ‘막되먹은 응칠이’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예술단 농음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서중사밴드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소유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쉼표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시민참여프로그램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실루엣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아랑고고장구 페스티벌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안동영호초등탈춤동아리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알파카어쿠스테이지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어린이대상 프로그램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예안 어쩌다밴드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오색풍차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웅부악단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이성교 예천한천나들예술공연단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일본나라현 문화교류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조선의 서커스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초청가수 공연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팝스밴드</t>
    </r>
  </si>
  <si>
    <r>
      <rPr>
        <sz val="10"/>
        <rFont val="나눔고딕"/>
        <family val="2"/>
      </rPr>
      <t xml:space="preserve">요금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예약</t>
    </r>
  </si>
  <si>
    <r>
      <rPr>
        <sz val="10"/>
        <rFont val="나눔고딕"/>
        <family val="2"/>
      </rPr>
      <t xml:space="preserve">탈춤공연장 공연만 유료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관람권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공식 입장권 안내엔 적용 무대가 명시돼 있지 않아 판매처 상품명</t>
    </r>
    <r>
      <rPr>
        <sz val="10"/>
        <rFont val="Arial"/>
        <family val="0"/>
        <charset val="1"/>
      </rPr>
      <t xml:space="preserve">(2025 NOL '</t>
    </r>
    <r>
      <rPr>
        <sz val="10"/>
        <rFont val="나눔고딕"/>
        <family val="2"/>
      </rPr>
      <t xml:space="preserve">탈춤공연장 공연관람권</t>
    </r>
    <r>
      <rPr>
        <sz val="10"/>
        <rFont val="Arial"/>
        <family val="0"/>
        <charset val="1"/>
      </rPr>
      <t xml:space="preserve">')</t>
    </r>
    <r>
      <rPr>
        <sz val="10"/>
        <rFont val="나눔고딕"/>
        <family val="2"/>
      </rPr>
      <t xml:space="preserve">으로 확인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다른 무대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체험은 공식 안내에 요금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예약 표기가 없어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표기 없음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으로 둠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무료라고 단정하지 않음</t>
    </r>
    <r>
      <rPr>
        <sz val="10"/>
        <rFont val="Arial"/>
        <family val="0"/>
        <charset val="1"/>
      </rPr>
      <t xml:space="preserve">).</t>
    </r>
  </si>
  <si>
    <t xml:space="preserve">리플릿 대조</t>
  </si>
  <si>
    <r>
      <rPr>
        <sz val="10"/>
        <rFont val="Arial"/>
        <family val="0"/>
        <charset val="1"/>
      </rPr>
      <t xml:space="preserve">20260925: </t>
    </r>
    <r>
      <rPr>
        <sz val="10"/>
        <rFont val="나눔고딕"/>
        <family val="2"/>
      </rPr>
      <t xml:space="preserve">일치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누리집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); 20260926: </t>
    </r>
    <r>
      <rPr>
        <sz val="10"/>
        <rFont val="나눔고딕"/>
        <family val="2"/>
      </rPr>
      <t xml:space="preserve">일치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누리집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); 20260927: </t>
    </r>
    <r>
      <rPr>
        <sz val="10"/>
        <rFont val="나눔고딕"/>
        <family val="2"/>
      </rPr>
      <t xml:space="preserve">일치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누리집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); 20260928: </t>
    </r>
    <r>
      <rPr>
        <sz val="10"/>
        <rFont val="나눔고딕"/>
        <family val="2"/>
      </rPr>
      <t xml:space="preserve">일치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누리집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); 20260929: </t>
    </r>
    <r>
      <rPr>
        <sz val="10"/>
        <rFont val="나눔고딕"/>
        <family val="2"/>
      </rPr>
      <t xml:space="preserve">일치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리플릿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누리집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) — </t>
    </r>
    <r>
      <rPr>
        <sz val="10"/>
        <rFont val="나눔고딕"/>
        <family val="2"/>
      </rPr>
      <t xml:space="preserve">탈춤공연장 공연 시각을 리플릿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 표</t>
    </r>
    <r>
      <rPr>
        <sz val="10"/>
        <rFont val="Arial"/>
        <family val="0"/>
        <charset val="1"/>
      </rPr>
      <t xml:space="preserve">(9/25~9/29)</t>
    </r>
    <r>
      <rPr>
        <sz val="10"/>
        <rFont val="나눔고딕"/>
        <family val="2"/>
      </rPr>
      <t xml:space="preserve">와 대조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</si>
  <si>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2026_leaflet_ko (2).pdf, 2026-09-21 10:57 </t>
    </r>
    <r>
      <rPr>
        <sz val="10"/>
        <rFont val="나눔고딕"/>
        <family val="2"/>
      </rPr>
      <t xml:space="preserve">생성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오늘 오전 갱신본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글자가 그림이라 화면으로 읽음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원본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캡처는 </t>
    </r>
    <r>
      <rPr>
        <sz val="10"/>
        <rFont val="Arial"/>
        <family val="0"/>
        <charset val="1"/>
      </rPr>
      <t xml:space="preserve">data/external/</t>
    </r>
    <r>
      <rPr>
        <sz val="10"/>
        <rFont val="나눔고딕"/>
        <family val="2"/>
      </rPr>
      <t xml:space="preserve">작업목록</t>
    </r>
    <r>
      <rPr>
        <sz val="10"/>
        <rFont val="Arial"/>
        <family val="0"/>
        <charset val="1"/>
      </rPr>
      <t xml:space="preserve">_6-11_</t>
    </r>
    <r>
      <rPr>
        <sz val="10"/>
        <rFont val="나눔고딕"/>
        <family val="2"/>
      </rPr>
      <t xml:space="preserve">수집</t>
    </r>
    <r>
      <rPr>
        <sz val="10"/>
        <rFont val="Arial"/>
        <family val="0"/>
        <charset val="1"/>
      </rPr>
      <t xml:space="preserve">_20260921/07_</t>
    </r>
    <r>
      <rPr>
        <sz val="10"/>
        <rFont val="나눔고딕"/>
        <family val="2"/>
      </rPr>
      <t xml:space="preserve">탈춤축제</t>
    </r>
    <r>
      <rPr>
        <sz val="10"/>
        <rFont val="Arial"/>
        <family val="0"/>
        <charset val="1"/>
      </rPr>
      <t xml:space="preserve">/.</t>
    </r>
  </si>
  <si>
    <t xml:space="preserve">야간 참고</t>
  </si>
  <si>
    <r>
      <rPr>
        <sz val="10"/>
        <rFont val="나눔고딕"/>
        <family val="2"/>
      </rPr>
      <t xml:space="preserve">선유줄불놀이</t>
    </r>
    <r>
      <rPr>
        <sz val="10"/>
        <rFont val="Arial"/>
        <family val="0"/>
        <charset val="1"/>
      </rPr>
      <t xml:space="preserve">(9/26·10/3·10/4 19~21</t>
    </r>
    <r>
      <rPr>
        <sz val="10"/>
        <rFont val="나눔고딕"/>
        <family val="2"/>
      </rPr>
      <t xml:space="preserve">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하회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일에는 셔틀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구간 종점이 하회마을매표소 → 안동간고등어숯불가든 본점으로 바뀜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셔틀 막차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터미널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) 21:30 </t>
    </r>
    <r>
      <rPr>
        <sz val="10"/>
        <rFont val="나눔고딕"/>
        <family val="2"/>
      </rPr>
      <t xml:space="preserve">출발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휴일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선유일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평일은 </t>
    </r>
    <r>
      <rPr>
        <sz val="10"/>
        <rFont val="Arial"/>
        <family val="0"/>
        <charset val="1"/>
      </rPr>
      <t xml:space="preserve">18:00.</t>
    </r>
  </si>
  <si>
    <t xml:space="preserve">2026-09-21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</si>
</sst>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0.0%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askdance.com/2024/sub7/sub1.asp?ymd=20260924" TargetMode="External"/><Relationship Id="rId2" Type="http://schemas.openxmlformats.org/officeDocument/2006/relationships/hyperlink" Target="https://www.maskdance.com/2024/sub7/sub1.asp?ymd=20260924" TargetMode="External"/><Relationship Id="rId3" Type="http://schemas.openxmlformats.org/officeDocument/2006/relationships/hyperlink" Target="https://www.maskdance.com/2024/sub7/sub1.asp?ymd=20260924" TargetMode="External"/><Relationship Id="rId4" Type="http://schemas.openxmlformats.org/officeDocument/2006/relationships/hyperlink" Target="https://www.maskdance.com/2024/sub7/sub1.asp?ymd=20260924" TargetMode="External"/><Relationship Id="rId5" Type="http://schemas.openxmlformats.org/officeDocument/2006/relationships/hyperlink" Target="https://www.maskdance.com/2024/sub7/sub1.asp?ymd=20260924" TargetMode="External"/><Relationship Id="rId6" Type="http://schemas.openxmlformats.org/officeDocument/2006/relationships/hyperlink" Target="https://www.maskdance.com/2024/sub7/sub1.asp?ymd=20260924" TargetMode="External"/><Relationship Id="rId7" Type="http://schemas.openxmlformats.org/officeDocument/2006/relationships/hyperlink" Target="https://www.maskdance.com/2024/sub7/sub1.asp?ymd=20260924" TargetMode="External"/><Relationship Id="rId8" Type="http://schemas.openxmlformats.org/officeDocument/2006/relationships/hyperlink" Target="https://www.maskdance.com/2024/sub7/sub1.asp?ymd=20260924" TargetMode="External"/><Relationship Id="rId9" Type="http://schemas.openxmlformats.org/officeDocument/2006/relationships/hyperlink" Target="https://www.maskdance.com/2024/sub7/sub1.asp?ymd=20260924" TargetMode="External"/><Relationship Id="rId10" Type="http://schemas.openxmlformats.org/officeDocument/2006/relationships/hyperlink" Target="https://www.maskdance.com/2024/sub7/sub1.asp?ymd=20260924" TargetMode="External"/><Relationship Id="rId11" Type="http://schemas.openxmlformats.org/officeDocument/2006/relationships/hyperlink" Target="https://www.maskdance.com/2024/sub7/sub1.asp?ymd=20260924" TargetMode="External"/><Relationship Id="rId12" Type="http://schemas.openxmlformats.org/officeDocument/2006/relationships/hyperlink" Target="https://www.maskdance.com/2024/sub7/sub1.asp?ymd=20260924" TargetMode="External"/><Relationship Id="rId13" Type="http://schemas.openxmlformats.org/officeDocument/2006/relationships/hyperlink" Target="https://www.maskdance.com/2024/sub7/sub1.asp?ymd=20260925" TargetMode="External"/><Relationship Id="rId14" Type="http://schemas.openxmlformats.org/officeDocument/2006/relationships/hyperlink" Target="https://www.maskdance.com/2024/sub7/sub1.asp?ymd=20260925" TargetMode="External"/><Relationship Id="rId15" Type="http://schemas.openxmlformats.org/officeDocument/2006/relationships/hyperlink" Target="https://www.maskdance.com/2024/sub7/sub1.asp?ymd=20260925" TargetMode="External"/><Relationship Id="rId16" Type="http://schemas.openxmlformats.org/officeDocument/2006/relationships/hyperlink" Target="https://www.maskdance.com/2024/sub7/sub1.asp?ymd=20260925" TargetMode="External"/><Relationship Id="rId17" Type="http://schemas.openxmlformats.org/officeDocument/2006/relationships/hyperlink" Target="https://www.maskdance.com/2024/sub7/sub1.asp?ymd=20260925" TargetMode="External"/><Relationship Id="rId18" Type="http://schemas.openxmlformats.org/officeDocument/2006/relationships/hyperlink" Target="https://www.maskdance.com/2024/sub7/sub1.asp?ymd=20260925" TargetMode="External"/><Relationship Id="rId19" Type="http://schemas.openxmlformats.org/officeDocument/2006/relationships/hyperlink" Target="https://www.maskdance.com/2024/sub7/sub1.asp?ymd=20260925" TargetMode="External"/><Relationship Id="rId20" Type="http://schemas.openxmlformats.org/officeDocument/2006/relationships/hyperlink" Target="https://www.maskdance.com/2024/sub7/sub1.asp?ymd=20260925" TargetMode="External"/><Relationship Id="rId21" Type="http://schemas.openxmlformats.org/officeDocument/2006/relationships/hyperlink" Target="https://www.maskdance.com/2024/sub7/sub1.asp?ymd=20260925" TargetMode="External"/><Relationship Id="rId22" Type="http://schemas.openxmlformats.org/officeDocument/2006/relationships/hyperlink" Target="https://www.maskdance.com/2024/sub7/sub1.asp?ymd=20260925" TargetMode="External"/><Relationship Id="rId23" Type="http://schemas.openxmlformats.org/officeDocument/2006/relationships/hyperlink" Target="https://www.maskdance.com/2024/sub7/sub1.asp?ymd=20260925" TargetMode="External"/><Relationship Id="rId24" Type="http://schemas.openxmlformats.org/officeDocument/2006/relationships/hyperlink" Target="https://www.maskdance.com/2024/sub7/sub1.asp?ymd=20260925" TargetMode="External"/><Relationship Id="rId25" Type="http://schemas.openxmlformats.org/officeDocument/2006/relationships/hyperlink" Target="https://www.maskdance.com/2024/sub7/sub1.asp?ymd=20260925" TargetMode="External"/><Relationship Id="rId26" Type="http://schemas.openxmlformats.org/officeDocument/2006/relationships/hyperlink" Target="https://www.maskdance.com/2024/sub7/sub1.asp?ymd=20260925" TargetMode="External"/><Relationship Id="rId27" Type="http://schemas.openxmlformats.org/officeDocument/2006/relationships/hyperlink" Target="https://www.maskdance.com/2024/sub7/sub1.asp?ymd=20260925" TargetMode="External"/><Relationship Id="rId28" Type="http://schemas.openxmlformats.org/officeDocument/2006/relationships/hyperlink" Target="https://www.maskdance.com/2024/sub7/sub1.asp?ymd=20260925" TargetMode="External"/><Relationship Id="rId29" Type="http://schemas.openxmlformats.org/officeDocument/2006/relationships/hyperlink" Target="https://www.maskdance.com/2024/sub7/sub1.asp?ymd=20260925" TargetMode="External"/><Relationship Id="rId30" Type="http://schemas.openxmlformats.org/officeDocument/2006/relationships/hyperlink" Target="https://www.maskdance.com/2024/sub7/sub1.asp?ymd=20260925" TargetMode="External"/><Relationship Id="rId31" Type="http://schemas.openxmlformats.org/officeDocument/2006/relationships/hyperlink" Target="https://www.maskdance.com/2024/sub7/sub1.asp?ymd=20260926" TargetMode="External"/><Relationship Id="rId32" Type="http://schemas.openxmlformats.org/officeDocument/2006/relationships/hyperlink" Target="https://www.maskdance.com/2024/sub7/sub1.asp?ymd=20260926" TargetMode="External"/><Relationship Id="rId33" Type="http://schemas.openxmlformats.org/officeDocument/2006/relationships/hyperlink" Target="https://www.maskdance.com/2024/sub7/sub1.asp?ymd=20260926" TargetMode="External"/><Relationship Id="rId34" Type="http://schemas.openxmlformats.org/officeDocument/2006/relationships/hyperlink" Target="https://www.maskdance.com/2024/sub7/sub1.asp?ymd=20260926" TargetMode="External"/><Relationship Id="rId35" Type="http://schemas.openxmlformats.org/officeDocument/2006/relationships/hyperlink" Target="https://www.maskdance.com/2024/sub7/sub1.asp?ymd=20260926" TargetMode="External"/><Relationship Id="rId36" Type="http://schemas.openxmlformats.org/officeDocument/2006/relationships/hyperlink" Target="https://www.maskdance.com/2024/sub7/sub1.asp?ymd=20260926" TargetMode="External"/><Relationship Id="rId37" Type="http://schemas.openxmlformats.org/officeDocument/2006/relationships/hyperlink" Target="https://www.maskdance.com/2024/sub7/sub1.asp?ymd=20260926" TargetMode="External"/><Relationship Id="rId38" Type="http://schemas.openxmlformats.org/officeDocument/2006/relationships/hyperlink" Target="https://www.maskdance.com/2024/sub7/sub1.asp?ymd=20260926" TargetMode="External"/><Relationship Id="rId39" Type="http://schemas.openxmlformats.org/officeDocument/2006/relationships/hyperlink" Target="https://www.maskdance.com/2024/sub7/sub1.asp?ymd=20260926" TargetMode="External"/><Relationship Id="rId40" Type="http://schemas.openxmlformats.org/officeDocument/2006/relationships/hyperlink" Target="https://www.maskdance.com/2024/sub7/sub1.asp?ymd=20260926" TargetMode="External"/><Relationship Id="rId41" Type="http://schemas.openxmlformats.org/officeDocument/2006/relationships/hyperlink" Target="https://www.maskdance.com/2024/sub7/sub1.asp?ymd=20260926" TargetMode="External"/><Relationship Id="rId42" Type="http://schemas.openxmlformats.org/officeDocument/2006/relationships/hyperlink" Target="https://www.maskdance.com/2024/sub7/sub1.asp?ymd=20260926" TargetMode="External"/><Relationship Id="rId43" Type="http://schemas.openxmlformats.org/officeDocument/2006/relationships/hyperlink" Target="https://www.maskdance.com/2024/sub7/sub1.asp?ymd=20260926" TargetMode="External"/><Relationship Id="rId44" Type="http://schemas.openxmlformats.org/officeDocument/2006/relationships/hyperlink" Target="https://www.maskdance.com/2024/sub7/sub1.asp?ymd=20260926" TargetMode="External"/><Relationship Id="rId45" Type="http://schemas.openxmlformats.org/officeDocument/2006/relationships/hyperlink" Target="https://www.maskdance.com/2024/sub7/sub1.asp?ymd=20260926" TargetMode="External"/><Relationship Id="rId46" Type="http://schemas.openxmlformats.org/officeDocument/2006/relationships/hyperlink" Target="https://www.maskdance.com/2024/sub7/sub1.asp?ymd=20260926" TargetMode="External"/><Relationship Id="rId47" Type="http://schemas.openxmlformats.org/officeDocument/2006/relationships/hyperlink" Target="https://www.maskdance.com/2024/sub7/sub1.asp?ymd=20260926" TargetMode="External"/><Relationship Id="rId48" Type="http://schemas.openxmlformats.org/officeDocument/2006/relationships/hyperlink" Target="https://www.maskdance.com/2024/sub7/sub1.asp?ymd=20260926" TargetMode="External"/><Relationship Id="rId49" Type="http://schemas.openxmlformats.org/officeDocument/2006/relationships/hyperlink" Target="https://www.maskdance.com/2024/sub7/sub1.asp?ymd=20260926" TargetMode="External"/><Relationship Id="rId50" Type="http://schemas.openxmlformats.org/officeDocument/2006/relationships/hyperlink" Target="https://www.maskdance.com/2024/sub7/sub1.asp?ymd=20260926" TargetMode="External"/><Relationship Id="rId51" Type="http://schemas.openxmlformats.org/officeDocument/2006/relationships/hyperlink" Target="https://www.maskdance.com/2024/sub7/sub1.asp?ymd=20260926" TargetMode="External"/><Relationship Id="rId52" Type="http://schemas.openxmlformats.org/officeDocument/2006/relationships/hyperlink" Target="https://www.maskdance.com/2024/sub7/sub1.asp?ymd=20260926" TargetMode="External"/><Relationship Id="rId53" Type="http://schemas.openxmlformats.org/officeDocument/2006/relationships/hyperlink" Target="https://www.maskdance.com/2024/sub7/sub1.asp?ymd=20260926" TargetMode="External"/><Relationship Id="rId54" Type="http://schemas.openxmlformats.org/officeDocument/2006/relationships/hyperlink" Target="https://www.maskdance.com/2024/sub7/sub1.asp?ymd=20260926" TargetMode="External"/><Relationship Id="rId55" Type="http://schemas.openxmlformats.org/officeDocument/2006/relationships/hyperlink" Target="https://www.maskdance.com/2024/sub7/sub1.asp?ymd=20260926" TargetMode="External"/><Relationship Id="rId56" Type="http://schemas.openxmlformats.org/officeDocument/2006/relationships/hyperlink" Target="https://www.maskdance.com/2024/sub7/sub1.asp?ymd=20260926" TargetMode="External"/><Relationship Id="rId57" Type="http://schemas.openxmlformats.org/officeDocument/2006/relationships/hyperlink" Target="https://www.maskdance.com/2024/sub7/sub1.asp?ymd=20260926" TargetMode="External"/><Relationship Id="rId58" Type="http://schemas.openxmlformats.org/officeDocument/2006/relationships/hyperlink" Target="https://www.maskdance.com/2024/sub7/sub1.asp?ymd=20260926" TargetMode="External"/><Relationship Id="rId59" Type="http://schemas.openxmlformats.org/officeDocument/2006/relationships/hyperlink" Target="https://www.maskdance.com/2024/sub7/sub1.asp?ymd=20260926" TargetMode="External"/><Relationship Id="rId60" Type="http://schemas.openxmlformats.org/officeDocument/2006/relationships/hyperlink" Target="https://www.maskdance.com/2024/sub7/sub1.asp?ymd=20260926" TargetMode="External"/><Relationship Id="rId61" Type="http://schemas.openxmlformats.org/officeDocument/2006/relationships/hyperlink" Target="https://www.maskdance.com/2024/sub7/sub1.asp?ymd=20260926" TargetMode="External"/><Relationship Id="rId62" Type="http://schemas.openxmlformats.org/officeDocument/2006/relationships/hyperlink" Target="https://www.maskdance.com/2024/sub7/sub1.asp?ymd=20260926" TargetMode="External"/><Relationship Id="rId63" Type="http://schemas.openxmlformats.org/officeDocument/2006/relationships/hyperlink" Target="https://www.maskdance.com/2024/sub7/sub1.asp?ymd=20260926" TargetMode="External"/><Relationship Id="rId64" Type="http://schemas.openxmlformats.org/officeDocument/2006/relationships/hyperlink" Target="https://www.maskdance.com/2024/sub7/sub1.asp?ymd=20260926" TargetMode="External"/><Relationship Id="rId65" Type="http://schemas.openxmlformats.org/officeDocument/2006/relationships/hyperlink" Target="https://www.maskdance.com/2024/sub7/sub1.asp?ymd=20260926" TargetMode="External"/><Relationship Id="rId66" Type="http://schemas.openxmlformats.org/officeDocument/2006/relationships/hyperlink" Target="https://www.maskdance.com/2024/sub7/sub1.asp?ymd=20260926" TargetMode="External"/><Relationship Id="rId67" Type="http://schemas.openxmlformats.org/officeDocument/2006/relationships/hyperlink" Target="https://www.maskdance.com/2024/sub7/sub1.asp?ymd=20260926" TargetMode="External"/><Relationship Id="rId68" Type="http://schemas.openxmlformats.org/officeDocument/2006/relationships/hyperlink" Target="https://www.maskdance.com/2024/sub7/sub1.asp?ymd=20260926" TargetMode="External"/><Relationship Id="rId69" Type="http://schemas.openxmlformats.org/officeDocument/2006/relationships/hyperlink" Target="https://www.maskdance.com/2024/sub7/sub1.asp?ymd=20260926" TargetMode="External"/><Relationship Id="rId70" Type="http://schemas.openxmlformats.org/officeDocument/2006/relationships/hyperlink" Target="https://www.maskdance.com/2024/sub7/sub1.asp?ymd=20260926" TargetMode="External"/><Relationship Id="rId71" Type="http://schemas.openxmlformats.org/officeDocument/2006/relationships/hyperlink" Target="https://www.maskdance.com/2024/sub7/sub1.asp?ymd=20260926" TargetMode="External"/><Relationship Id="rId72" Type="http://schemas.openxmlformats.org/officeDocument/2006/relationships/hyperlink" Target="https://www.maskdance.com/2024/sub7/sub1.asp?ymd=20260926" TargetMode="External"/><Relationship Id="rId73" Type="http://schemas.openxmlformats.org/officeDocument/2006/relationships/hyperlink" Target="https://www.maskdance.com/2024/sub7/sub1.asp?ymd=20260926" TargetMode="External"/><Relationship Id="rId74" Type="http://schemas.openxmlformats.org/officeDocument/2006/relationships/hyperlink" Target="https://www.maskdance.com/2024/sub7/sub1.asp?ymd=20260926" TargetMode="External"/><Relationship Id="rId75" Type="http://schemas.openxmlformats.org/officeDocument/2006/relationships/hyperlink" Target="https://www.maskdance.com/2024/sub7/sub1.asp?ymd=20260926" TargetMode="External"/><Relationship Id="rId76" Type="http://schemas.openxmlformats.org/officeDocument/2006/relationships/hyperlink" Target="https://www.maskdance.com/2024/sub7/sub1.asp?ymd=20260926" TargetMode="External"/><Relationship Id="rId77" Type="http://schemas.openxmlformats.org/officeDocument/2006/relationships/hyperlink" Target="https://www.maskdance.com/2024/sub7/sub1.asp?ymd=20260926" TargetMode="External"/><Relationship Id="rId78" Type="http://schemas.openxmlformats.org/officeDocument/2006/relationships/hyperlink" Target="https://www.maskdance.com/2024/sub7/sub1.asp?ymd=20260926" TargetMode="External"/><Relationship Id="rId79" Type="http://schemas.openxmlformats.org/officeDocument/2006/relationships/hyperlink" Target="https://www.maskdance.com/2024/sub7/sub1.asp?ymd=20260926" TargetMode="External"/><Relationship Id="rId80" Type="http://schemas.openxmlformats.org/officeDocument/2006/relationships/hyperlink" Target="https://www.maskdance.com/2024/sub7/sub1.asp?ymd=20260926" TargetMode="External"/><Relationship Id="rId81" Type="http://schemas.openxmlformats.org/officeDocument/2006/relationships/hyperlink" Target="https://www.maskdance.com/2024/sub7/sub1.asp?ymd=20260926" TargetMode="External"/><Relationship Id="rId82" Type="http://schemas.openxmlformats.org/officeDocument/2006/relationships/hyperlink" Target="https://www.maskdance.com/2024/sub7/sub1.asp?ymd=20260926" TargetMode="External"/><Relationship Id="rId83" Type="http://schemas.openxmlformats.org/officeDocument/2006/relationships/hyperlink" Target="https://www.maskdance.com/2024/sub7/sub1.asp?ymd=20260926" TargetMode="External"/><Relationship Id="rId84" Type="http://schemas.openxmlformats.org/officeDocument/2006/relationships/hyperlink" Target="https://www.maskdance.com/2024/sub7/sub1.asp?ymd=20260926" TargetMode="External"/><Relationship Id="rId85" Type="http://schemas.openxmlformats.org/officeDocument/2006/relationships/hyperlink" Target="https://www.maskdance.com/2024/sub7/sub1.asp?ymd=20260926" TargetMode="External"/><Relationship Id="rId86" Type="http://schemas.openxmlformats.org/officeDocument/2006/relationships/hyperlink" Target="https://www.maskdance.com/2024/sub7/sub1.asp?ymd=20260927" TargetMode="External"/><Relationship Id="rId87" Type="http://schemas.openxmlformats.org/officeDocument/2006/relationships/hyperlink" Target="https://www.maskdance.com/2024/sub7/sub1.asp?ymd=20260927" TargetMode="External"/><Relationship Id="rId88" Type="http://schemas.openxmlformats.org/officeDocument/2006/relationships/hyperlink" Target="https://www.maskdance.com/2024/sub7/sub1.asp?ymd=20260927" TargetMode="External"/><Relationship Id="rId89" Type="http://schemas.openxmlformats.org/officeDocument/2006/relationships/hyperlink" Target="https://www.maskdance.com/2024/sub7/sub1.asp?ymd=20260927" TargetMode="External"/><Relationship Id="rId90" Type="http://schemas.openxmlformats.org/officeDocument/2006/relationships/hyperlink" Target="https://www.maskdance.com/2024/sub7/sub1.asp?ymd=20260927" TargetMode="External"/><Relationship Id="rId91" Type="http://schemas.openxmlformats.org/officeDocument/2006/relationships/hyperlink" Target="https://www.maskdance.com/2024/sub7/sub1.asp?ymd=20260927" TargetMode="External"/><Relationship Id="rId92" Type="http://schemas.openxmlformats.org/officeDocument/2006/relationships/hyperlink" Target="https://www.maskdance.com/2024/sub7/sub1.asp?ymd=20260927" TargetMode="External"/><Relationship Id="rId93" Type="http://schemas.openxmlformats.org/officeDocument/2006/relationships/hyperlink" Target="https://www.maskdance.com/2024/sub7/sub1.asp?ymd=20260927" TargetMode="External"/><Relationship Id="rId94" Type="http://schemas.openxmlformats.org/officeDocument/2006/relationships/hyperlink" Target="https://www.maskdance.com/2024/sub7/sub1.asp?ymd=20260927" TargetMode="External"/><Relationship Id="rId95" Type="http://schemas.openxmlformats.org/officeDocument/2006/relationships/hyperlink" Target="https://www.maskdance.com/2024/sub7/sub1.asp?ymd=20260927" TargetMode="External"/><Relationship Id="rId96" Type="http://schemas.openxmlformats.org/officeDocument/2006/relationships/hyperlink" Target="https://www.maskdance.com/2024/sub7/sub1.asp?ymd=20260927" TargetMode="External"/><Relationship Id="rId97" Type="http://schemas.openxmlformats.org/officeDocument/2006/relationships/hyperlink" Target="https://www.maskdance.com/2024/sub7/sub1.asp?ymd=20260927" TargetMode="External"/><Relationship Id="rId98" Type="http://schemas.openxmlformats.org/officeDocument/2006/relationships/hyperlink" Target="https://www.maskdance.com/2024/sub7/sub1.asp?ymd=20260927" TargetMode="External"/><Relationship Id="rId99" Type="http://schemas.openxmlformats.org/officeDocument/2006/relationships/hyperlink" Target="https://www.maskdance.com/2024/sub7/sub1.asp?ymd=20260927" TargetMode="External"/><Relationship Id="rId100" Type="http://schemas.openxmlformats.org/officeDocument/2006/relationships/hyperlink" Target="https://www.maskdance.com/2024/sub7/sub1.asp?ymd=20260927" TargetMode="External"/><Relationship Id="rId101" Type="http://schemas.openxmlformats.org/officeDocument/2006/relationships/hyperlink" Target="https://www.maskdance.com/2024/sub7/sub1.asp?ymd=20260927" TargetMode="External"/><Relationship Id="rId102" Type="http://schemas.openxmlformats.org/officeDocument/2006/relationships/hyperlink" Target="https://www.maskdance.com/2024/sub7/sub1.asp?ymd=20260927" TargetMode="External"/><Relationship Id="rId103" Type="http://schemas.openxmlformats.org/officeDocument/2006/relationships/hyperlink" Target="https://www.maskdance.com/2024/sub7/sub1.asp?ymd=20260927" TargetMode="External"/><Relationship Id="rId104" Type="http://schemas.openxmlformats.org/officeDocument/2006/relationships/hyperlink" Target="https://www.maskdance.com/2024/sub7/sub1.asp?ymd=20260927" TargetMode="External"/><Relationship Id="rId105" Type="http://schemas.openxmlformats.org/officeDocument/2006/relationships/hyperlink" Target="https://www.maskdance.com/2024/sub7/sub1.asp?ymd=20260927" TargetMode="External"/><Relationship Id="rId106" Type="http://schemas.openxmlformats.org/officeDocument/2006/relationships/hyperlink" Target="https://www.maskdance.com/2024/sub7/sub1.asp?ymd=20260927" TargetMode="External"/><Relationship Id="rId107" Type="http://schemas.openxmlformats.org/officeDocument/2006/relationships/hyperlink" Target="https://www.maskdance.com/2024/sub7/sub1.asp?ymd=20260927" TargetMode="External"/><Relationship Id="rId108" Type="http://schemas.openxmlformats.org/officeDocument/2006/relationships/hyperlink" Target="https://www.maskdance.com/2024/sub7/sub1.asp?ymd=20260927" TargetMode="External"/><Relationship Id="rId109" Type="http://schemas.openxmlformats.org/officeDocument/2006/relationships/hyperlink" Target="https://www.maskdance.com/2024/sub7/sub1.asp?ymd=20260927" TargetMode="External"/><Relationship Id="rId110" Type="http://schemas.openxmlformats.org/officeDocument/2006/relationships/hyperlink" Target="https://www.maskdance.com/2024/sub7/sub1.asp?ymd=20260927" TargetMode="External"/><Relationship Id="rId111" Type="http://schemas.openxmlformats.org/officeDocument/2006/relationships/hyperlink" Target="https://www.maskdance.com/2024/sub7/sub1.asp?ymd=20260927" TargetMode="External"/><Relationship Id="rId112" Type="http://schemas.openxmlformats.org/officeDocument/2006/relationships/hyperlink" Target="https://www.maskdance.com/2024/sub7/sub1.asp?ymd=20260927" TargetMode="External"/><Relationship Id="rId113" Type="http://schemas.openxmlformats.org/officeDocument/2006/relationships/hyperlink" Target="https://www.maskdance.com/2024/sub7/sub1.asp?ymd=20260927" TargetMode="External"/><Relationship Id="rId114" Type="http://schemas.openxmlformats.org/officeDocument/2006/relationships/hyperlink" Target="https://www.maskdance.com/2024/sub7/sub1.asp?ymd=20260927" TargetMode="External"/><Relationship Id="rId115" Type="http://schemas.openxmlformats.org/officeDocument/2006/relationships/hyperlink" Target="https://www.maskdance.com/2024/sub7/sub1.asp?ymd=20260927" TargetMode="External"/><Relationship Id="rId116" Type="http://schemas.openxmlformats.org/officeDocument/2006/relationships/hyperlink" Target="https://www.maskdance.com/2024/sub7/sub1.asp?ymd=20260927" TargetMode="External"/><Relationship Id="rId117" Type="http://schemas.openxmlformats.org/officeDocument/2006/relationships/hyperlink" Target="https://www.maskdance.com/2024/sub7/sub1.asp?ymd=20260927" TargetMode="External"/><Relationship Id="rId118" Type="http://schemas.openxmlformats.org/officeDocument/2006/relationships/hyperlink" Target="https://www.maskdance.com/2024/sub7/sub1.asp?ymd=20260927" TargetMode="External"/><Relationship Id="rId119" Type="http://schemas.openxmlformats.org/officeDocument/2006/relationships/hyperlink" Target="https://www.maskdance.com/2024/sub7/sub1.asp?ymd=20260927" TargetMode="External"/><Relationship Id="rId120" Type="http://schemas.openxmlformats.org/officeDocument/2006/relationships/hyperlink" Target="https://www.maskdance.com/2024/sub7/sub1.asp?ymd=20260927" TargetMode="External"/><Relationship Id="rId121" Type="http://schemas.openxmlformats.org/officeDocument/2006/relationships/hyperlink" Target="https://www.maskdance.com/2024/sub7/sub1.asp?ymd=20260927" TargetMode="External"/><Relationship Id="rId122" Type="http://schemas.openxmlformats.org/officeDocument/2006/relationships/hyperlink" Target="https://www.maskdance.com/2024/sub7/sub1.asp?ymd=20260927" TargetMode="External"/><Relationship Id="rId123" Type="http://schemas.openxmlformats.org/officeDocument/2006/relationships/hyperlink" Target="https://www.maskdance.com/2024/sub7/sub1.asp?ymd=20260927" TargetMode="External"/><Relationship Id="rId124" Type="http://schemas.openxmlformats.org/officeDocument/2006/relationships/hyperlink" Target="https://www.maskdance.com/2024/sub7/sub1.asp?ymd=20260927" TargetMode="External"/><Relationship Id="rId125" Type="http://schemas.openxmlformats.org/officeDocument/2006/relationships/hyperlink" Target="https://www.maskdance.com/2024/sub7/sub1.asp?ymd=20260927" TargetMode="External"/><Relationship Id="rId126" Type="http://schemas.openxmlformats.org/officeDocument/2006/relationships/hyperlink" Target="https://www.maskdance.com/2024/sub7/sub1.asp?ymd=20260927" TargetMode="External"/><Relationship Id="rId127" Type="http://schemas.openxmlformats.org/officeDocument/2006/relationships/hyperlink" Target="https://www.maskdance.com/2024/sub7/sub1.asp?ymd=20260927" TargetMode="External"/><Relationship Id="rId128" Type="http://schemas.openxmlformats.org/officeDocument/2006/relationships/hyperlink" Target="https://www.maskdance.com/2024/sub7/sub1.asp?ymd=20260927" TargetMode="External"/><Relationship Id="rId129" Type="http://schemas.openxmlformats.org/officeDocument/2006/relationships/hyperlink" Target="https://www.maskdance.com/2024/sub7/sub1.asp?ymd=20260927" TargetMode="External"/><Relationship Id="rId130" Type="http://schemas.openxmlformats.org/officeDocument/2006/relationships/hyperlink" Target="https://www.maskdance.com/2024/sub7/sub1.asp?ymd=20260927" TargetMode="External"/><Relationship Id="rId131" Type="http://schemas.openxmlformats.org/officeDocument/2006/relationships/hyperlink" Target="https://www.maskdance.com/2024/sub7/sub1.asp?ymd=20260927" TargetMode="External"/><Relationship Id="rId132" Type="http://schemas.openxmlformats.org/officeDocument/2006/relationships/hyperlink" Target="https://www.maskdance.com/2024/sub7/sub1.asp?ymd=20260927" TargetMode="External"/><Relationship Id="rId133" Type="http://schemas.openxmlformats.org/officeDocument/2006/relationships/hyperlink" Target="https://www.maskdance.com/2024/sub7/sub1.asp?ymd=20260927" TargetMode="External"/><Relationship Id="rId134" Type="http://schemas.openxmlformats.org/officeDocument/2006/relationships/hyperlink" Target="https://www.maskdance.com/2024/sub7/sub1.asp?ymd=20260927" TargetMode="External"/><Relationship Id="rId135" Type="http://schemas.openxmlformats.org/officeDocument/2006/relationships/hyperlink" Target="https://www.maskdance.com/2024/sub7/sub1.asp?ymd=20260927" TargetMode="External"/><Relationship Id="rId136" Type="http://schemas.openxmlformats.org/officeDocument/2006/relationships/hyperlink" Target="https://www.maskdance.com/2024/sub7/sub1.asp?ymd=20260927" TargetMode="External"/><Relationship Id="rId137" Type="http://schemas.openxmlformats.org/officeDocument/2006/relationships/hyperlink" Target="https://www.maskdance.com/2024/sub7/sub1.asp?ymd=20260927" TargetMode="External"/><Relationship Id="rId138" Type="http://schemas.openxmlformats.org/officeDocument/2006/relationships/hyperlink" Target="https://www.maskdance.com/2024/sub7/sub1.asp?ymd=20260927" TargetMode="External"/><Relationship Id="rId139" Type="http://schemas.openxmlformats.org/officeDocument/2006/relationships/hyperlink" Target="https://www.maskdance.com/2024/sub7/sub1.asp?ymd=20260927" TargetMode="External"/><Relationship Id="rId140" Type="http://schemas.openxmlformats.org/officeDocument/2006/relationships/hyperlink" Target="https://www.maskdance.com/2024/sub7/sub1.asp?ymd=20260927" TargetMode="External"/><Relationship Id="rId141" Type="http://schemas.openxmlformats.org/officeDocument/2006/relationships/hyperlink" Target="https://www.maskdance.com/2024/sub7/sub1.asp?ymd=20260927" TargetMode="External"/><Relationship Id="rId142" Type="http://schemas.openxmlformats.org/officeDocument/2006/relationships/hyperlink" Target="https://www.maskdance.com/2024/sub7/sub1.asp?ymd=20260928" TargetMode="External"/><Relationship Id="rId143" Type="http://schemas.openxmlformats.org/officeDocument/2006/relationships/hyperlink" Target="https://www.maskdance.com/2024/sub7/sub1.asp?ymd=20260928" TargetMode="External"/><Relationship Id="rId144" Type="http://schemas.openxmlformats.org/officeDocument/2006/relationships/hyperlink" Target="https://www.maskdance.com/2024/sub7/sub1.asp?ymd=20260928" TargetMode="External"/><Relationship Id="rId145" Type="http://schemas.openxmlformats.org/officeDocument/2006/relationships/hyperlink" Target="https://www.maskdance.com/2024/sub7/sub1.asp?ymd=20260928" TargetMode="External"/><Relationship Id="rId146" Type="http://schemas.openxmlformats.org/officeDocument/2006/relationships/hyperlink" Target="https://www.maskdance.com/2024/sub7/sub1.asp?ymd=20260928" TargetMode="External"/><Relationship Id="rId147" Type="http://schemas.openxmlformats.org/officeDocument/2006/relationships/hyperlink" Target="https://www.maskdance.com/2024/sub7/sub1.asp?ymd=20260928" TargetMode="External"/><Relationship Id="rId148" Type="http://schemas.openxmlformats.org/officeDocument/2006/relationships/hyperlink" Target="https://www.maskdance.com/2024/sub7/sub1.asp?ymd=20260928" TargetMode="External"/><Relationship Id="rId149" Type="http://schemas.openxmlformats.org/officeDocument/2006/relationships/hyperlink" Target="https://www.maskdance.com/2024/sub7/sub1.asp?ymd=20260928" TargetMode="External"/><Relationship Id="rId150" Type="http://schemas.openxmlformats.org/officeDocument/2006/relationships/hyperlink" Target="https://www.maskdance.com/2024/sub7/sub1.asp?ymd=20260928" TargetMode="External"/><Relationship Id="rId151" Type="http://schemas.openxmlformats.org/officeDocument/2006/relationships/hyperlink" Target="https://www.maskdance.com/2024/sub7/sub1.asp?ymd=20260928" TargetMode="External"/><Relationship Id="rId152" Type="http://schemas.openxmlformats.org/officeDocument/2006/relationships/hyperlink" Target="https://www.maskdance.com/2024/sub7/sub1.asp?ymd=20260928" TargetMode="External"/><Relationship Id="rId153" Type="http://schemas.openxmlformats.org/officeDocument/2006/relationships/hyperlink" Target="https://www.maskdance.com/2024/sub7/sub1.asp?ymd=20260928" TargetMode="External"/><Relationship Id="rId154" Type="http://schemas.openxmlformats.org/officeDocument/2006/relationships/hyperlink" Target="https://www.maskdance.com/2024/sub7/sub1.asp?ymd=20260928" TargetMode="External"/><Relationship Id="rId155" Type="http://schemas.openxmlformats.org/officeDocument/2006/relationships/hyperlink" Target="https://www.maskdance.com/2024/sub7/sub1.asp?ymd=20260928" TargetMode="External"/><Relationship Id="rId156" Type="http://schemas.openxmlformats.org/officeDocument/2006/relationships/hyperlink" Target="https://www.maskdance.com/2024/sub7/sub1.asp?ymd=20260928" TargetMode="External"/><Relationship Id="rId157" Type="http://schemas.openxmlformats.org/officeDocument/2006/relationships/hyperlink" Target="https://www.maskdance.com/2024/sub7/sub1.asp?ymd=20260928" TargetMode="External"/><Relationship Id="rId158" Type="http://schemas.openxmlformats.org/officeDocument/2006/relationships/hyperlink" Target="https://www.maskdance.com/2024/sub7/sub1.asp?ymd=20260928" TargetMode="External"/><Relationship Id="rId159" Type="http://schemas.openxmlformats.org/officeDocument/2006/relationships/hyperlink" Target="https://www.maskdance.com/2024/sub7/sub1.asp?ymd=20260928" TargetMode="External"/><Relationship Id="rId160" Type="http://schemas.openxmlformats.org/officeDocument/2006/relationships/hyperlink" Target="https://www.maskdance.com/2024/sub7/sub1.asp?ymd=20260928" TargetMode="External"/><Relationship Id="rId161" Type="http://schemas.openxmlformats.org/officeDocument/2006/relationships/hyperlink" Target="https://www.maskdance.com/2024/sub7/sub1.asp?ymd=20260928" TargetMode="External"/><Relationship Id="rId162" Type="http://schemas.openxmlformats.org/officeDocument/2006/relationships/hyperlink" Target="https://www.maskdance.com/2024/sub7/sub1.asp?ymd=20260928" TargetMode="External"/><Relationship Id="rId163" Type="http://schemas.openxmlformats.org/officeDocument/2006/relationships/hyperlink" Target="https://www.maskdance.com/2024/sub7/sub1.asp?ymd=20260928" TargetMode="External"/><Relationship Id="rId164" Type="http://schemas.openxmlformats.org/officeDocument/2006/relationships/hyperlink" Target="https://www.maskdance.com/2024/sub7/sub1.asp?ymd=20260928" TargetMode="External"/><Relationship Id="rId165" Type="http://schemas.openxmlformats.org/officeDocument/2006/relationships/hyperlink" Target="https://www.maskdance.com/2024/sub7/sub1.asp?ymd=20260928" TargetMode="External"/><Relationship Id="rId166" Type="http://schemas.openxmlformats.org/officeDocument/2006/relationships/hyperlink" Target="https://www.maskdance.com/2024/sub7/sub1.asp?ymd=20260928" TargetMode="External"/><Relationship Id="rId167" Type="http://schemas.openxmlformats.org/officeDocument/2006/relationships/hyperlink" Target="https://www.maskdance.com/2024/sub7/sub1.asp?ymd=20260928" TargetMode="External"/><Relationship Id="rId168" Type="http://schemas.openxmlformats.org/officeDocument/2006/relationships/hyperlink" Target="https://www.maskdance.com/2024/sub7/sub1.asp?ymd=20260928" TargetMode="External"/><Relationship Id="rId169" Type="http://schemas.openxmlformats.org/officeDocument/2006/relationships/hyperlink" Target="https://www.maskdance.com/2024/sub7/sub1.asp?ymd=20260928" TargetMode="External"/><Relationship Id="rId170" Type="http://schemas.openxmlformats.org/officeDocument/2006/relationships/hyperlink" Target="https://www.maskdance.com/2024/sub7/sub1.asp?ymd=20260928" TargetMode="External"/><Relationship Id="rId171" Type="http://schemas.openxmlformats.org/officeDocument/2006/relationships/hyperlink" Target="https://www.maskdance.com/2024/sub7/sub1.asp?ymd=20260928" TargetMode="External"/><Relationship Id="rId172" Type="http://schemas.openxmlformats.org/officeDocument/2006/relationships/hyperlink" Target="https://www.maskdance.com/2024/sub7/sub1.asp?ymd=20260929" TargetMode="External"/><Relationship Id="rId173" Type="http://schemas.openxmlformats.org/officeDocument/2006/relationships/hyperlink" Target="https://www.maskdance.com/2024/sub7/sub1.asp?ymd=20260929" TargetMode="External"/><Relationship Id="rId174" Type="http://schemas.openxmlformats.org/officeDocument/2006/relationships/hyperlink" Target="https://www.maskdance.com/2024/sub7/sub1.asp?ymd=20260929" TargetMode="External"/><Relationship Id="rId175" Type="http://schemas.openxmlformats.org/officeDocument/2006/relationships/hyperlink" Target="https://www.maskdance.com/2024/sub7/sub1.asp?ymd=20260929" TargetMode="External"/><Relationship Id="rId176" Type="http://schemas.openxmlformats.org/officeDocument/2006/relationships/hyperlink" Target="https://www.maskdance.com/2024/sub7/sub1.asp?ymd=20260929" TargetMode="External"/><Relationship Id="rId177" Type="http://schemas.openxmlformats.org/officeDocument/2006/relationships/hyperlink" Target="https://www.maskdance.com/2024/sub7/sub1.asp?ymd=20260929" TargetMode="External"/><Relationship Id="rId178" Type="http://schemas.openxmlformats.org/officeDocument/2006/relationships/hyperlink" Target="https://www.maskdance.com/2024/sub7/sub1.asp?ymd=20260929" TargetMode="External"/><Relationship Id="rId179" Type="http://schemas.openxmlformats.org/officeDocument/2006/relationships/hyperlink" Target="https://www.maskdance.com/2024/sub7/sub1.asp?ymd=20260929" TargetMode="External"/><Relationship Id="rId180" Type="http://schemas.openxmlformats.org/officeDocument/2006/relationships/hyperlink" Target="https://www.maskdance.com/2024/sub7/sub1.asp?ymd=20260929" TargetMode="External"/><Relationship Id="rId181" Type="http://schemas.openxmlformats.org/officeDocument/2006/relationships/hyperlink" Target="https://www.maskdance.com/2024/sub7/sub1.asp?ymd=20260929" TargetMode="External"/><Relationship Id="rId182" Type="http://schemas.openxmlformats.org/officeDocument/2006/relationships/hyperlink" Target="https://www.maskdance.com/2024/sub7/sub1.asp?ymd=20260929" TargetMode="External"/><Relationship Id="rId183" Type="http://schemas.openxmlformats.org/officeDocument/2006/relationships/hyperlink" Target="https://www.maskdance.com/2024/sub7/sub1.asp?ymd=20260929" TargetMode="External"/><Relationship Id="rId184" Type="http://schemas.openxmlformats.org/officeDocument/2006/relationships/hyperlink" Target="https://www.maskdance.com/2024/sub7/sub1.asp?ymd=20260929" TargetMode="External"/><Relationship Id="rId185" Type="http://schemas.openxmlformats.org/officeDocument/2006/relationships/hyperlink" Target="https://www.maskdance.com/2024/sub7/sub1.asp?ymd=20260929" TargetMode="External"/><Relationship Id="rId186" Type="http://schemas.openxmlformats.org/officeDocument/2006/relationships/hyperlink" Target="https://www.maskdance.com/2024/sub7/sub1.asp?ymd=20260929" TargetMode="External"/><Relationship Id="rId187" Type="http://schemas.openxmlformats.org/officeDocument/2006/relationships/hyperlink" Target="https://www.maskdance.com/2024/sub7/sub1.asp?ymd=20260929" TargetMode="External"/><Relationship Id="rId188" Type="http://schemas.openxmlformats.org/officeDocument/2006/relationships/hyperlink" Target="https://www.maskdance.com/2024/sub7/sub1.asp?ymd=20260929" TargetMode="External"/><Relationship Id="rId189" Type="http://schemas.openxmlformats.org/officeDocument/2006/relationships/hyperlink" Target="https://www.maskdance.com/2024/sub7/sub1.asp?ymd=20260929" TargetMode="External"/><Relationship Id="rId190" Type="http://schemas.openxmlformats.org/officeDocument/2006/relationships/hyperlink" Target="https://www.maskdance.com/2024/sub7/sub1.asp?ymd=20260929" TargetMode="External"/><Relationship Id="rId191" Type="http://schemas.openxmlformats.org/officeDocument/2006/relationships/hyperlink" Target="https://www.maskdance.com/2024/sub7/sub1.asp?ymd=20260929" TargetMode="External"/><Relationship Id="rId192" Type="http://schemas.openxmlformats.org/officeDocument/2006/relationships/hyperlink" Target="https://www.maskdance.com/2024/sub7/sub1.asp?ymd=20260929" TargetMode="External"/><Relationship Id="rId193" Type="http://schemas.openxmlformats.org/officeDocument/2006/relationships/hyperlink" Target="https://www.maskdance.com/2024/sub7/sub1.asp?ymd=20260929" TargetMode="External"/><Relationship Id="rId194" Type="http://schemas.openxmlformats.org/officeDocument/2006/relationships/hyperlink" Target="https://www.maskdance.com/2024/sub7/sub1.asp?ymd=20260929" TargetMode="External"/><Relationship Id="rId195" Type="http://schemas.openxmlformats.org/officeDocument/2006/relationships/hyperlink" Target="https://www.maskdance.com/2024/sub7/sub1.asp?ymd=20260929" TargetMode="External"/><Relationship Id="rId196" Type="http://schemas.openxmlformats.org/officeDocument/2006/relationships/hyperlink" Target="https://www.maskdance.com/2024/sub7/sub1.asp?ymd=20260929" TargetMode="External"/><Relationship Id="rId197" Type="http://schemas.openxmlformats.org/officeDocument/2006/relationships/hyperlink" Target="https://www.maskdance.com/2024/sub7/sub1.asp?ymd=20260929" TargetMode="External"/><Relationship Id="rId198" Type="http://schemas.openxmlformats.org/officeDocument/2006/relationships/hyperlink" Target="https://www.maskdance.com/2024/sub7/sub1.asp?ymd=20260929" TargetMode="External"/><Relationship Id="rId199" Type="http://schemas.openxmlformats.org/officeDocument/2006/relationships/hyperlink" Target="https://www.maskdance.com/2024/sub7/sub1.asp?ymd=20260929" TargetMode="External"/><Relationship Id="rId200" Type="http://schemas.openxmlformats.org/officeDocument/2006/relationships/hyperlink" Target="https://www.maskdance.com/2024/sub7/sub1.asp?ymd=20260929" TargetMode="External"/><Relationship Id="rId201" Type="http://schemas.openxmlformats.org/officeDocument/2006/relationships/hyperlink" Target="https://www.maskdance.com/2024/sub7/sub1.asp?ymd=20260929" TargetMode="External"/><Relationship Id="rId202" Type="http://schemas.openxmlformats.org/officeDocument/2006/relationships/hyperlink" Target="https://www.maskdance.com/2024/sub7/sub1.asp?ymd=20260929" TargetMode="External"/><Relationship Id="rId203" Type="http://schemas.openxmlformats.org/officeDocument/2006/relationships/hyperlink" Target="https://www.maskdance.com/2024/sub7/sub1.asp?ymd=20260929" TargetMode="External"/><Relationship Id="rId204" Type="http://schemas.openxmlformats.org/officeDocument/2006/relationships/hyperlink" Target="https://www.maskdance.com/2024/sub7/sub1.asp?ymd=20260929" TargetMode="External"/><Relationship Id="rId205" Type="http://schemas.openxmlformats.org/officeDocument/2006/relationships/hyperlink" Target="https://www.maskdance.com/2024/sub7/sub1.asp?ymd=20260929" TargetMode="External"/><Relationship Id="rId206" Type="http://schemas.openxmlformats.org/officeDocument/2006/relationships/hyperlink" Target="https://www.maskdance.com/2024/sub7/sub1.asp?ymd=20260929" TargetMode="External"/><Relationship Id="rId207" Type="http://schemas.openxmlformats.org/officeDocument/2006/relationships/hyperlink" Target="https://www.maskdance.com/2024/sub7/sub1.asp?ymd=20260929" TargetMode="External"/><Relationship Id="rId208" Type="http://schemas.openxmlformats.org/officeDocument/2006/relationships/hyperlink" Target="https://www.maskdance.com/2024/sub7/sub1.asp?ymd=20260930" TargetMode="External"/><Relationship Id="rId209" Type="http://schemas.openxmlformats.org/officeDocument/2006/relationships/hyperlink" Target="https://www.maskdance.com/2024/sub7/sub1.asp?ymd=20260930" TargetMode="External"/><Relationship Id="rId210" Type="http://schemas.openxmlformats.org/officeDocument/2006/relationships/hyperlink" Target="https://www.maskdance.com/2024/sub7/sub1.asp?ymd=20260930" TargetMode="External"/><Relationship Id="rId211" Type="http://schemas.openxmlformats.org/officeDocument/2006/relationships/hyperlink" Target="https://www.maskdance.com/2024/sub7/sub1.asp?ymd=20260930" TargetMode="External"/><Relationship Id="rId212" Type="http://schemas.openxmlformats.org/officeDocument/2006/relationships/hyperlink" Target="https://www.maskdance.com/2024/sub7/sub1.asp?ymd=20260930" TargetMode="External"/><Relationship Id="rId213" Type="http://schemas.openxmlformats.org/officeDocument/2006/relationships/hyperlink" Target="https://www.maskdance.com/2024/sub7/sub1.asp?ymd=20260930" TargetMode="External"/><Relationship Id="rId214" Type="http://schemas.openxmlformats.org/officeDocument/2006/relationships/hyperlink" Target="https://www.maskdance.com/2024/sub7/sub1.asp?ymd=20260930" TargetMode="External"/><Relationship Id="rId215" Type="http://schemas.openxmlformats.org/officeDocument/2006/relationships/hyperlink" Target="https://www.maskdance.com/2024/sub7/sub1.asp?ymd=20260930" TargetMode="External"/><Relationship Id="rId216" Type="http://schemas.openxmlformats.org/officeDocument/2006/relationships/hyperlink" Target="https://www.maskdance.com/2024/sub7/sub1.asp?ymd=20260930" TargetMode="External"/><Relationship Id="rId217" Type="http://schemas.openxmlformats.org/officeDocument/2006/relationships/hyperlink" Target="https://www.maskdance.com/2024/sub7/sub1.asp?ymd=20260930" TargetMode="External"/><Relationship Id="rId218" Type="http://schemas.openxmlformats.org/officeDocument/2006/relationships/hyperlink" Target="https://www.maskdance.com/2024/sub7/sub1.asp?ymd=20260930" TargetMode="External"/><Relationship Id="rId219" Type="http://schemas.openxmlformats.org/officeDocument/2006/relationships/hyperlink" Target="https://www.maskdance.com/2024/sub7/sub1.asp?ymd=20260930" TargetMode="External"/><Relationship Id="rId220" Type="http://schemas.openxmlformats.org/officeDocument/2006/relationships/hyperlink" Target="https://www.maskdance.com/2024/sub7/sub1.asp?ymd=20260930" TargetMode="External"/><Relationship Id="rId221" Type="http://schemas.openxmlformats.org/officeDocument/2006/relationships/hyperlink" Target="https://www.maskdance.com/2024/sub7/sub1.asp?ymd=20260930" TargetMode="External"/><Relationship Id="rId222" Type="http://schemas.openxmlformats.org/officeDocument/2006/relationships/hyperlink" Target="https://www.maskdance.com/2024/sub7/sub1.asp?ymd=20260930" TargetMode="External"/><Relationship Id="rId223" Type="http://schemas.openxmlformats.org/officeDocument/2006/relationships/hyperlink" Target="https://www.maskdance.com/2024/sub7/sub1.asp?ymd=20260930" TargetMode="External"/><Relationship Id="rId224" Type="http://schemas.openxmlformats.org/officeDocument/2006/relationships/hyperlink" Target="https://www.maskdance.com/2024/sub7/sub1.asp?ymd=20260930" TargetMode="External"/><Relationship Id="rId225" Type="http://schemas.openxmlformats.org/officeDocument/2006/relationships/hyperlink" Target="https://www.maskdance.com/2024/sub7/sub1.asp?ymd=20260930" TargetMode="External"/><Relationship Id="rId226" Type="http://schemas.openxmlformats.org/officeDocument/2006/relationships/hyperlink" Target="https://www.maskdance.com/2024/sub7/sub1.asp?ymd=20260930" TargetMode="External"/><Relationship Id="rId227" Type="http://schemas.openxmlformats.org/officeDocument/2006/relationships/hyperlink" Target="https://www.maskdance.com/2024/sub7/sub1.asp?ymd=20260930" TargetMode="External"/><Relationship Id="rId228" Type="http://schemas.openxmlformats.org/officeDocument/2006/relationships/hyperlink" Target="https://www.maskdance.com/2024/sub7/sub1.asp?ymd=20260930" TargetMode="External"/><Relationship Id="rId229" Type="http://schemas.openxmlformats.org/officeDocument/2006/relationships/hyperlink" Target="https://www.maskdance.com/2024/sub7/sub1.asp?ymd=20260930" TargetMode="External"/><Relationship Id="rId230" Type="http://schemas.openxmlformats.org/officeDocument/2006/relationships/hyperlink" Target="https://www.maskdance.com/2024/sub7/sub1.asp?ymd=20260930" TargetMode="External"/><Relationship Id="rId231" Type="http://schemas.openxmlformats.org/officeDocument/2006/relationships/hyperlink" Target="https://www.maskdance.com/2024/sub7/sub1.asp?ymd=20260930" TargetMode="External"/><Relationship Id="rId232" Type="http://schemas.openxmlformats.org/officeDocument/2006/relationships/hyperlink" Target="https://www.maskdance.com/2024/sub7/sub1.asp?ymd=20260930" TargetMode="External"/><Relationship Id="rId233" Type="http://schemas.openxmlformats.org/officeDocument/2006/relationships/hyperlink" Target="https://www.maskdance.com/2024/sub7/sub1.asp?ymd=20260930" TargetMode="External"/><Relationship Id="rId234" Type="http://schemas.openxmlformats.org/officeDocument/2006/relationships/hyperlink" Target="https://www.maskdance.com/2024/sub7/sub1.asp?ymd=20260930" TargetMode="External"/><Relationship Id="rId235" Type="http://schemas.openxmlformats.org/officeDocument/2006/relationships/hyperlink" Target="https://www.maskdance.com/2024/sub7/sub1.asp?ymd=20260930" TargetMode="External"/><Relationship Id="rId236" Type="http://schemas.openxmlformats.org/officeDocument/2006/relationships/hyperlink" Target="https://www.maskdance.com/2024/sub7/sub1.asp?ymd=20260930" TargetMode="External"/><Relationship Id="rId237" Type="http://schemas.openxmlformats.org/officeDocument/2006/relationships/hyperlink" Target="https://www.maskdance.com/2024/sub7/sub1.asp?ymd=20260930" TargetMode="External"/><Relationship Id="rId238" Type="http://schemas.openxmlformats.org/officeDocument/2006/relationships/hyperlink" Target="https://www.maskdance.com/2024/sub7/sub1.asp?ymd=20260930" TargetMode="External"/><Relationship Id="rId239" Type="http://schemas.openxmlformats.org/officeDocument/2006/relationships/hyperlink" Target="https://www.maskdance.com/2024/sub7/sub1.asp?ymd=20260930" TargetMode="External"/><Relationship Id="rId240" Type="http://schemas.openxmlformats.org/officeDocument/2006/relationships/hyperlink" Target="https://www.maskdance.com/2024/sub7/sub1.asp?ymd=20260930" TargetMode="External"/><Relationship Id="rId241" Type="http://schemas.openxmlformats.org/officeDocument/2006/relationships/hyperlink" Target="https://www.maskdance.com/2024/sub7/sub1.asp?ymd=20260930" TargetMode="External"/><Relationship Id="rId242" Type="http://schemas.openxmlformats.org/officeDocument/2006/relationships/hyperlink" Target="https://www.maskdance.com/2024/sub7/sub1.asp?ymd=20260930" TargetMode="External"/><Relationship Id="rId243" Type="http://schemas.openxmlformats.org/officeDocument/2006/relationships/hyperlink" Target="https://www.maskdance.com/2024/sub7/sub1.asp?ymd=20261001" TargetMode="External"/><Relationship Id="rId244" Type="http://schemas.openxmlformats.org/officeDocument/2006/relationships/hyperlink" Target="https://www.maskdance.com/2024/sub7/sub1.asp?ymd=20261001" TargetMode="External"/><Relationship Id="rId245" Type="http://schemas.openxmlformats.org/officeDocument/2006/relationships/hyperlink" Target="https://www.maskdance.com/2024/sub7/sub1.asp?ymd=20261001" TargetMode="External"/><Relationship Id="rId246" Type="http://schemas.openxmlformats.org/officeDocument/2006/relationships/hyperlink" Target="https://www.maskdance.com/2024/sub7/sub1.asp?ymd=20261001" TargetMode="External"/><Relationship Id="rId247" Type="http://schemas.openxmlformats.org/officeDocument/2006/relationships/hyperlink" Target="https://www.maskdance.com/2024/sub7/sub1.asp?ymd=20261001" TargetMode="External"/><Relationship Id="rId248" Type="http://schemas.openxmlformats.org/officeDocument/2006/relationships/hyperlink" Target="https://www.maskdance.com/2024/sub7/sub1.asp?ymd=20261001" TargetMode="External"/><Relationship Id="rId249" Type="http://schemas.openxmlformats.org/officeDocument/2006/relationships/hyperlink" Target="https://www.maskdance.com/2024/sub7/sub1.asp?ymd=20261001" TargetMode="External"/><Relationship Id="rId250" Type="http://schemas.openxmlformats.org/officeDocument/2006/relationships/hyperlink" Target="https://www.maskdance.com/2024/sub7/sub1.asp?ymd=20261001" TargetMode="External"/><Relationship Id="rId251" Type="http://schemas.openxmlformats.org/officeDocument/2006/relationships/hyperlink" Target="https://www.maskdance.com/2024/sub7/sub1.asp?ymd=20261001" TargetMode="External"/><Relationship Id="rId252" Type="http://schemas.openxmlformats.org/officeDocument/2006/relationships/hyperlink" Target="https://www.maskdance.com/2024/sub7/sub1.asp?ymd=20261001" TargetMode="External"/><Relationship Id="rId253" Type="http://schemas.openxmlformats.org/officeDocument/2006/relationships/hyperlink" Target="https://www.maskdance.com/2024/sub7/sub1.asp?ymd=20261001" TargetMode="External"/><Relationship Id="rId254" Type="http://schemas.openxmlformats.org/officeDocument/2006/relationships/hyperlink" Target="https://www.maskdance.com/2024/sub7/sub1.asp?ymd=20261001" TargetMode="External"/><Relationship Id="rId255" Type="http://schemas.openxmlformats.org/officeDocument/2006/relationships/hyperlink" Target="https://www.maskdance.com/2024/sub7/sub1.asp?ymd=20261001" TargetMode="External"/><Relationship Id="rId256" Type="http://schemas.openxmlformats.org/officeDocument/2006/relationships/hyperlink" Target="https://www.maskdance.com/2024/sub7/sub1.asp?ymd=20261001" TargetMode="External"/><Relationship Id="rId257" Type="http://schemas.openxmlformats.org/officeDocument/2006/relationships/hyperlink" Target="https://www.maskdance.com/2024/sub7/sub1.asp?ymd=20261001" TargetMode="External"/><Relationship Id="rId258" Type="http://schemas.openxmlformats.org/officeDocument/2006/relationships/hyperlink" Target="https://www.maskdance.com/2024/sub7/sub1.asp?ymd=20261001" TargetMode="External"/><Relationship Id="rId259" Type="http://schemas.openxmlformats.org/officeDocument/2006/relationships/hyperlink" Target="https://www.maskdance.com/2024/sub7/sub1.asp?ymd=20261001" TargetMode="External"/><Relationship Id="rId260" Type="http://schemas.openxmlformats.org/officeDocument/2006/relationships/hyperlink" Target="https://www.maskdance.com/2024/sub7/sub1.asp?ymd=20261001" TargetMode="External"/><Relationship Id="rId261" Type="http://schemas.openxmlformats.org/officeDocument/2006/relationships/hyperlink" Target="https://www.maskdance.com/2024/sub7/sub1.asp?ymd=20261001" TargetMode="External"/><Relationship Id="rId262" Type="http://schemas.openxmlformats.org/officeDocument/2006/relationships/hyperlink" Target="https://www.maskdance.com/2024/sub7/sub1.asp?ymd=20261001" TargetMode="External"/><Relationship Id="rId263" Type="http://schemas.openxmlformats.org/officeDocument/2006/relationships/hyperlink" Target="https://www.maskdance.com/2024/sub7/sub1.asp?ymd=20261001" TargetMode="External"/><Relationship Id="rId264" Type="http://schemas.openxmlformats.org/officeDocument/2006/relationships/hyperlink" Target="https://www.maskdance.com/2024/sub7/sub1.asp?ymd=20261001" TargetMode="External"/><Relationship Id="rId265" Type="http://schemas.openxmlformats.org/officeDocument/2006/relationships/hyperlink" Target="https://www.maskdance.com/2024/sub7/sub1.asp?ymd=20261001" TargetMode="External"/><Relationship Id="rId266" Type="http://schemas.openxmlformats.org/officeDocument/2006/relationships/hyperlink" Target="https://www.maskdance.com/2024/sub7/sub1.asp?ymd=20261001" TargetMode="External"/><Relationship Id="rId267" Type="http://schemas.openxmlformats.org/officeDocument/2006/relationships/hyperlink" Target="https://www.maskdance.com/2024/sub7/sub1.asp?ymd=20261001" TargetMode="External"/><Relationship Id="rId268" Type="http://schemas.openxmlformats.org/officeDocument/2006/relationships/hyperlink" Target="https://www.maskdance.com/2024/sub7/sub1.asp?ymd=20261001" TargetMode="External"/><Relationship Id="rId269" Type="http://schemas.openxmlformats.org/officeDocument/2006/relationships/hyperlink" Target="https://www.maskdance.com/2024/sub7/sub1.asp?ymd=20261001" TargetMode="External"/><Relationship Id="rId270" Type="http://schemas.openxmlformats.org/officeDocument/2006/relationships/hyperlink" Target="https://www.maskdance.com/2024/sub7/sub1.asp?ymd=20261001" TargetMode="External"/><Relationship Id="rId271" Type="http://schemas.openxmlformats.org/officeDocument/2006/relationships/hyperlink" Target="https://www.maskdance.com/2024/sub7/sub1.asp?ymd=20261001" TargetMode="External"/><Relationship Id="rId272" Type="http://schemas.openxmlformats.org/officeDocument/2006/relationships/hyperlink" Target="https://www.maskdance.com/2024/sub7/sub1.asp?ymd=20261001" TargetMode="External"/><Relationship Id="rId273" Type="http://schemas.openxmlformats.org/officeDocument/2006/relationships/hyperlink" Target="https://www.maskdance.com/2024/sub7/sub1.asp?ymd=20261001" TargetMode="External"/><Relationship Id="rId274" Type="http://schemas.openxmlformats.org/officeDocument/2006/relationships/hyperlink" Target="https://www.maskdance.com/2024/sub7/sub1.asp?ymd=20261001" TargetMode="External"/><Relationship Id="rId275" Type="http://schemas.openxmlformats.org/officeDocument/2006/relationships/hyperlink" Target="https://www.maskdance.com/2024/sub7/sub1.asp?ymd=20261001" TargetMode="External"/><Relationship Id="rId276" Type="http://schemas.openxmlformats.org/officeDocument/2006/relationships/hyperlink" Target="https://www.maskdance.com/2024/sub7/sub1.asp?ymd=20261001" TargetMode="External"/><Relationship Id="rId277" Type="http://schemas.openxmlformats.org/officeDocument/2006/relationships/hyperlink" Target="https://www.maskdance.com/2024/sub7/sub1.asp?ymd=20261001" TargetMode="External"/><Relationship Id="rId278" Type="http://schemas.openxmlformats.org/officeDocument/2006/relationships/hyperlink" Target="https://www.maskdance.com/2024/sub7/sub1.asp?ymd=20261002" TargetMode="External"/><Relationship Id="rId279" Type="http://schemas.openxmlformats.org/officeDocument/2006/relationships/hyperlink" Target="https://www.maskdance.com/2024/sub7/sub1.asp?ymd=20261002" TargetMode="External"/><Relationship Id="rId280" Type="http://schemas.openxmlformats.org/officeDocument/2006/relationships/hyperlink" Target="https://www.maskdance.com/2024/sub7/sub1.asp?ymd=20261002" TargetMode="External"/><Relationship Id="rId281" Type="http://schemas.openxmlformats.org/officeDocument/2006/relationships/hyperlink" Target="https://www.maskdance.com/2024/sub7/sub1.asp?ymd=20261002" TargetMode="External"/><Relationship Id="rId282" Type="http://schemas.openxmlformats.org/officeDocument/2006/relationships/hyperlink" Target="https://www.maskdance.com/2024/sub7/sub1.asp?ymd=20261002" TargetMode="External"/><Relationship Id="rId283" Type="http://schemas.openxmlformats.org/officeDocument/2006/relationships/hyperlink" Target="https://www.maskdance.com/2024/sub7/sub1.asp?ymd=20261002" TargetMode="External"/><Relationship Id="rId284" Type="http://schemas.openxmlformats.org/officeDocument/2006/relationships/hyperlink" Target="https://www.maskdance.com/2024/sub7/sub1.asp?ymd=20261002" TargetMode="External"/><Relationship Id="rId285" Type="http://schemas.openxmlformats.org/officeDocument/2006/relationships/hyperlink" Target="https://www.maskdance.com/2024/sub7/sub1.asp?ymd=20261002" TargetMode="External"/><Relationship Id="rId286" Type="http://schemas.openxmlformats.org/officeDocument/2006/relationships/hyperlink" Target="https://www.maskdance.com/2024/sub7/sub1.asp?ymd=20261002" TargetMode="External"/><Relationship Id="rId287" Type="http://schemas.openxmlformats.org/officeDocument/2006/relationships/hyperlink" Target="https://www.maskdance.com/2024/sub7/sub1.asp?ymd=20261002" TargetMode="External"/><Relationship Id="rId288" Type="http://schemas.openxmlformats.org/officeDocument/2006/relationships/hyperlink" Target="https://www.maskdance.com/2024/sub7/sub1.asp?ymd=20261002" TargetMode="External"/><Relationship Id="rId289" Type="http://schemas.openxmlformats.org/officeDocument/2006/relationships/hyperlink" Target="https://www.maskdance.com/2024/sub7/sub1.asp?ymd=20261002" TargetMode="External"/><Relationship Id="rId290" Type="http://schemas.openxmlformats.org/officeDocument/2006/relationships/hyperlink" Target="https://www.maskdance.com/2024/sub7/sub1.asp?ymd=20261002" TargetMode="External"/><Relationship Id="rId291" Type="http://schemas.openxmlformats.org/officeDocument/2006/relationships/hyperlink" Target="https://www.maskdance.com/2024/sub7/sub1.asp?ymd=20261002" TargetMode="External"/><Relationship Id="rId292" Type="http://schemas.openxmlformats.org/officeDocument/2006/relationships/hyperlink" Target="https://www.maskdance.com/2024/sub7/sub1.asp?ymd=20261002" TargetMode="External"/><Relationship Id="rId293" Type="http://schemas.openxmlformats.org/officeDocument/2006/relationships/hyperlink" Target="https://www.maskdance.com/2024/sub7/sub1.asp?ymd=20261002" TargetMode="External"/><Relationship Id="rId294" Type="http://schemas.openxmlformats.org/officeDocument/2006/relationships/hyperlink" Target="https://www.maskdance.com/2024/sub7/sub1.asp?ymd=20261002" TargetMode="External"/><Relationship Id="rId295" Type="http://schemas.openxmlformats.org/officeDocument/2006/relationships/hyperlink" Target="https://www.maskdance.com/2024/sub7/sub1.asp?ymd=20261002" TargetMode="External"/><Relationship Id="rId296" Type="http://schemas.openxmlformats.org/officeDocument/2006/relationships/hyperlink" Target="https://www.maskdance.com/2024/sub7/sub1.asp?ymd=20261002" TargetMode="External"/><Relationship Id="rId297" Type="http://schemas.openxmlformats.org/officeDocument/2006/relationships/hyperlink" Target="https://www.maskdance.com/2024/sub7/sub1.asp?ymd=20261002" TargetMode="External"/><Relationship Id="rId298" Type="http://schemas.openxmlformats.org/officeDocument/2006/relationships/hyperlink" Target="https://www.maskdance.com/2024/sub7/sub1.asp?ymd=20261002" TargetMode="External"/><Relationship Id="rId299" Type="http://schemas.openxmlformats.org/officeDocument/2006/relationships/hyperlink" Target="https://www.maskdance.com/2024/sub7/sub1.asp?ymd=20261002" TargetMode="External"/><Relationship Id="rId300" Type="http://schemas.openxmlformats.org/officeDocument/2006/relationships/hyperlink" Target="https://www.maskdance.com/2024/sub7/sub1.asp?ymd=20261002" TargetMode="External"/><Relationship Id="rId301" Type="http://schemas.openxmlformats.org/officeDocument/2006/relationships/hyperlink" Target="https://www.maskdance.com/2024/sub7/sub1.asp?ymd=20261002" TargetMode="External"/><Relationship Id="rId302" Type="http://schemas.openxmlformats.org/officeDocument/2006/relationships/hyperlink" Target="https://www.maskdance.com/2024/sub7/sub1.asp?ymd=20261002" TargetMode="External"/><Relationship Id="rId303" Type="http://schemas.openxmlformats.org/officeDocument/2006/relationships/hyperlink" Target="https://www.maskdance.com/2024/sub7/sub1.asp?ymd=20261002" TargetMode="External"/><Relationship Id="rId304" Type="http://schemas.openxmlformats.org/officeDocument/2006/relationships/hyperlink" Target="https://www.maskdance.com/2024/sub7/sub1.asp?ymd=20261002" TargetMode="External"/><Relationship Id="rId305" Type="http://schemas.openxmlformats.org/officeDocument/2006/relationships/hyperlink" Target="https://www.maskdance.com/2024/sub7/sub1.asp?ymd=20261002" TargetMode="External"/><Relationship Id="rId306" Type="http://schemas.openxmlformats.org/officeDocument/2006/relationships/hyperlink" Target="https://www.maskdance.com/2024/sub7/sub1.asp?ymd=20261002" TargetMode="External"/><Relationship Id="rId307" Type="http://schemas.openxmlformats.org/officeDocument/2006/relationships/hyperlink" Target="https://www.maskdance.com/2024/sub7/sub1.asp?ymd=20261002" TargetMode="External"/><Relationship Id="rId308" Type="http://schemas.openxmlformats.org/officeDocument/2006/relationships/hyperlink" Target="https://www.maskdance.com/2024/sub7/sub1.asp?ymd=20261003" TargetMode="External"/><Relationship Id="rId309" Type="http://schemas.openxmlformats.org/officeDocument/2006/relationships/hyperlink" Target="https://www.maskdance.com/2024/sub7/sub1.asp?ymd=20261003" TargetMode="External"/><Relationship Id="rId310" Type="http://schemas.openxmlformats.org/officeDocument/2006/relationships/hyperlink" Target="https://www.maskdance.com/2024/sub7/sub1.asp?ymd=20261003" TargetMode="External"/><Relationship Id="rId311" Type="http://schemas.openxmlformats.org/officeDocument/2006/relationships/hyperlink" Target="https://www.maskdance.com/2024/sub7/sub1.asp?ymd=20261003" TargetMode="External"/><Relationship Id="rId312" Type="http://schemas.openxmlformats.org/officeDocument/2006/relationships/hyperlink" Target="https://www.maskdance.com/2024/sub7/sub1.asp?ymd=20261003" TargetMode="External"/><Relationship Id="rId313" Type="http://schemas.openxmlformats.org/officeDocument/2006/relationships/hyperlink" Target="https://www.maskdance.com/2024/sub7/sub1.asp?ymd=20261003" TargetMode="External"/><Relationship Id="rId314" Type="http://schemas.openxmlformats.org/officeDocument/2006/relationships/hyperlink" Target="https://www.maskdance.com/2024/sub7/sub1.asp?ymd=20261003" TargetMode="External"/><Relationship Id="rId315" Type="http://schemas.openxmlformats.org/officeDocument/2006/relationships/hyperlink" Target="https://www.maskdance.com/2024/sub7/sub1.asp?ymd=20261003" TargetMode="External"/><Relationship Id="rId316" Type="http://schemas.openxmlformats.org/officeDocument/2006/relationships/hyperlink" Target="https://www.maskdance.com/2024/sub7/sub1.asp?ymd=20261003" TargetMode="External"/><Relationship Id="rId317" Type="http://schemas.openxmlformats.org/officeDocument/2006/relationships/hyperlink" Target="https://www.maskdance.com/2024/sub7/sub1.asp?ymd=20261003" TargetMode="External"/><Relationship Id="rId318" Type="http://schemas.openxmlformats.org/officeDocument/2006/relationships/hyperlink" Target="https://www.maskdance.com/2024/sub7/sub1.asp?ymd=20261003" TargetMode="External"/><Relationship Id="rId319" Type="http://schemas.openxmlformats.org/officeDocument/2006/relationships/hyperlink" Target="https://www.maskdance.com/2024/sub7/sub1.asp?ymd=20261003" TargetMode="External"/><Relationship Id="rId320" Type="http://schemas.openxmlformats.org/officeDocument/2006/relationships/hyperlink" Target="https://www.maskdance.com/2024/sub7/sub1.asp?ymd=20261003" TargetMode="External"/><Relationship Id="rId321" Type="http://schemas.openxmlformats.org/officeDocument/2006/relationships/hyperlink" Target="https://www.maskdance.com/2024/sub7/sub1.asp?ymd=20261003" TargetMode="External"/><Relationship Id="rId322" Type="http://schemas.openxmlformats.org/officeDocument/2006/relationships/hyperlink" Target="https://www.maskdance.com/2024/sub7/sub1.asp?ymd=20261003" TargetMode="External"/><Relationship Id="rId323" Type="http://schemas.openxmlformats.org/officeDocument/2006/relationships/hyperlink" Target="https://www.maskdance.com/2024/sub7/sub1.asp?ymd=20261003" TargetMode="External"/><Relationship Id="rId324" Type="http://schemas.openxmlformats.org/officeDocument/2006/relationships/hyperlink" Target="https://www.maskdance.com/2024/sub7/sub1.asp?ymd=20261003" TargetMode="External"/><Relationship Id="rId325" Type="http://schemas.openxmlformats.org/officeDocument/2006/relationships/hyperlink" Target="https://www.maskdance.com/2024/sub7/sub1.asp?ymd=20261003" TargetMode="External"/><Relationship Id="rId326" Type="http://schemas.openxmlformats.org/officeDocument/2006/relationships/hyperlink" Target="https://www.maskdance.com/2024/sub7/sub1.asp?ymd=20261003" TargetMode="External"/><Relationship Id="rId327" Type="http://schemas.openxmlformats.org/officeDocument/2006/relationships/hyperlink" Target="https://www.maskdance.com/2024/sub7/sub1.asp?ymd=20261003" TargetMode="External"/><Relationship Id="rId328" Type="http://schemas.openxmlformats.org/officeDocument/2006/relationships/hyperlink" Target="https://www.maskdance.com/2024/sub7/sub1.asp?ymd=20261003" TargetMode="External"/><Relationship Id="rId329" Type="http://schemas.openxmlformats.org/officeDocument/2006/relationships/hyperlink" Target="https://www.maskdance.com/2024/sub7/sub1.asp?ymd=20261003" TargetMode="External"/><Relationship Id="rId330" Type="http://schemas.openxmlformats.org/officeDocument/2006/relationships/hyperlink" Target="https://www.maskdance.com/2024/sub7/sub1.asp?ymd=20261003" TargetMode="External"/><Relationship Id="rId331" Type="http://schemas.openxmlformats.org/officeDocument/2006/relationships/hyperlink" Target="https://www.maskdance.com/2024/sub7/sub1.asp?ymd=20261003" TargetMode="External"/><Relationship Id="rId332" Type="http://schemas.openxmlformats.org/officeDocument/2006/relationships/hyperlink" Target="https://www.maskdance.com/2024/sub7/sub1.asp?ymd=20261003" TargetMode="External"/><Relationship Id="rId333" Type="http://schemas.openxmlformats.org/officeDocument/2006/relationships/hyperlink" Target="https://www.maskdance.com/2024/sub7/sub1.asp?ymd=20261003" TargetMode="External"/><Relationship Id="rId334" Type="http://schemas.openxmlformats.org/officeDocument/2006/relationships/hyperlink" Target="https://www.maskdance.com/2024/sub7/sub1.asp?ymd=20261003" TargetMode="External"/><Relationship Id="rId335" Type="http://schemas.openxmlformats.org/officeDocument/2006/relationships/hyperlink" Target="https://www.maskdance.com/2024/sub7/sub1.asp?ymd=20261003" TargetMode="External"/><Relationship Id="rId336" Type="http://schemas.openxmlformats.org/officeDocument/2006/relationships/hyperlink" Target="https://www.maskdance.com/2024/sub7/sub1.asp?ymd=20261003" TargetMode="External"/><Relationship Id="rId337" Type="http://schemas.openxmlformats.org/officeDocument/2006/relationships/hyperlink" Target="https://www.maskdance.com/2024/sub7/sub1.asp?ymd=20261003" TargetMode="External"/><Relationship Id="rId338" Type="http://schemas.openxmlformats.org/officeDocument/2006/relationships/hyperlink" Target="https://www.maskdance.com/2024/sub7/sub1.asp?ymd=20261003" TargetMode="External"/><Relationship Id="rId339" Type="http://schemas.openxmlformats.org/officeDocument/2006/relationships/hyperlink" Target="https://www.maskdance.com/2024/sub7/sub1.asp?ymd=20261003" TargetMode="External"/><Relationship Id="rId340" Type="http://schemas.openxmlformats.org/officeDocument/2006/relationships/hyperlink" Target="https://www.maskdance.com/2024/sub7/sub1.asp?ymd=20261003" TargetMode="External"/><Relationship Id="rId341" Type="http://schemas.openxmlformats.org/officeDocument/2006/relationships/hyperlink" Target="https://www.maskdance.com/2024/sub7/sub1.asp?ymd=20261003" TargetMode="External"/><Relationship Id="rId342" Type="http://schemas.openxmlformats.org/officeDocument/2006/relationships/hyperlink" Target="https://www.maskdance.com/2024/sub7/sub1.asp?ymd=20261003" TargetMode="External"/><Relationship Id="rId343" Type="http://schemas.openxmlformats.org/officeDocument/2006/relationships/hyperlink" Target="https://www.maskdance.com/2024/sub7/sub1.asp?ymd=20261003" TargetMode="External"/><Relationship Id="rId344" Type="http://schemas.openxmlformats.org/officeDocument/2006/relationships/hyperlink" Target="https://www.maskdance.com/2024/sub7/sub1.asp?ymd=20261003" TargetMode="External"/><Relationship Id="rId345" Type="http://schemas.openxmlformats.org/officeDocument/2006/relationships/hyperlink" Target="https://www.maskdance.com/2024/sub7/sub1.asp?ymd=20261003" TargetMode="External"/><Relationship Id="rId346" Type="http://schemas.openxmlformats.org/officeDocument/2006/relationships/hyperlink" Target="https://www.maskdance.com/2024/sub7/sub1.asp?ymd=20261003" TargetMode="External"/><Relationship Id="rId347" Type="http://schemas.openxmlformats.org/officeDocument/2006/relationships/hyperlink" Target="https://www.maskdance.com/2024/sub7/sub1.asp?ymd=20261003" TargetMode="External"/><Relationship Id="rId348" Type="http://schemas.openxmlformats.org/officeDocument/2006/relationships/hyperlink" Target="https://www.maskdance.com/2024/sub7/sub1.asp?ymd=20261003" TargetMode="External"/><Relationship Id="rId349" Type="http://schemas.openxmlformats.org/officeDocument/2006/relationships/hyperlink" Target="https://www.maskdance.com/2024/sub7/sub1.asp?ymd=20261003" TargetMode="External"/><Relationship Id="rId350" Type="http://schemas.openxmlformats.org/officeDocument/2006/relationships/hyperlink" Target="https://www.maskdance.com/2024/sub7/sub1.asp?ymd=20261003" TargetMode="External"/><Relationship Id="rId351" Type="http://schemas.openxmlformats.org/officeDocument/2006/relationships/hyperlink" Target="https://www.maskdance.com/2024/sub7/sub1.asp?ymd=20261003" TargetMode="External"/><Relationship Id="rId352" Type="http://schemas.openxmlformats.org/officeDocument/2006/relationships/hyperlink" Target="https://www.maskdance.com/2024/sub7/sub1.asp?ymd=20261003" TargetMode="External"/><Relationship Id="rId353" Type="http://schemas.openxmlformats.org/officeDocument/2006/relationships/hyperlink" Target="https://www.maskdance.com/2024/sub7/sub1.asp?ymd=20261003" TargetMode="External"/><Relationship Id="rId354" Type="http://schemas.openxmlformats.org/officeDocument/2006/relationships/hyperlink" Target="https://www.maskdance.com/2024/sub7/sub1.asp?ymd=20261003" TargetMode="External"/><Relationship Id="rId355" Type="http://schemas.openxmlformats.org/officeDocument/2006/relationships/hyperlink" Target="https://www.maskdance.com/2024/sub7/sub1.asp?ymd=20261003" TargetMode="External"/><Relationship Id="rId356" Type="http://schemas.openxmlformats.org/officeDocument/2006/relationships/hyperlink" Target="https://www.maskdance.com/2024/sub7/sub1.asp?ymd=20261003" TargetMode="External"/><Relationship Id="rId357" Type="http://schemas.openxmlformats.org/officeDocument/2006/relationships/hyperlink" Target="https://www.maskdance.com/2024/sub7/sub1.asp?ymd=20261003" TargetMode="External"/><Relationship Id="rId358" Type="http://schemas.openxmlformats.org/officeDocument/2006/relationships/hyperlink" Target="https://www.maskdance.com/2024/sub7/sub1.asp?ymd=20261003" TargetMode="External"/><Relationship Id="rId359" Type="http://schemas.openxmlformats.org/officeDocument/2006/relationships/hyperlink" Target="https://www.maskdance.com/2024/sub7/sub1.asp?ymd=20261003" TargetMode="External"/><Relationship Id="rId360" Type="http://schemas.openxmlformats.org/officeDocument/2006/relationships/hyperlink" Target="https://www.maskdance.com/2024/sub7/sub1.asp?ymd=20261003" TargetMode="External"/><Relationship Id="rId361" Type="http://schemas.openxmlformats.org/officeDocument/2006/relationships/hyperlink" Target="https://www.maskdance.com/2024/sub7/sub1.asp?ymd=20261003" TargetMode="External"/><Relationship Id="rId362" Type="http://schemas.openxmlformats.org/officeDocument/2006/relationships/hyperlink" Target="https://www.maskdance.com/2024/sub7/sub1.asp?ymd=20261003" TargetMode="External"/><Relationship Id="rId363" Type="http://schemas.openxmlformats.org/officeDocument/2006/relationships/hyperlink" Target="https://www.maskdance.com/2024/sub7/sub1.asp?ymd=20261003" TargetMode="External"/><Relationship Id="rId364" Type="http://schemas.openxmlformats.org/officeDocument/2006/relationships/hyperlink" Target="https://www.maskdance.com/2024/sub7/sub1.asp?ymd=20261003" TargetMode="External"/><Relationship Id="rId365" Type="http://schemas.openxmlformats.org/officeDocument/2006/relationships/hyperlink" Target="https://www.maskdance.com/2024/sub7/sub1.asp?ymd=20261003" TargetMode="External"/><Relationship Id="rId366" Type="http://schemas.openxmlformats.org/officeDocument/2006/relationships/hyperlink" Target="https://www.maskdance.com/2024/sub7/sub1.asp?ymd=20261003" TargetMode="External"/><Relationship Id="rId367" Type="http://schemas.openxmlformats.org/officeDocument/2006/relationships/hyperlink" Target="https://www.maskdance.com/2024/sub7/sub1.asp?ymd=20261004" TargetMode="External"/><Relationship Id="rId368" Type="http://schemas.openxmlformats.org/officeDocument/2006/relationships/hyperlink" Target="https://www.maskdance.com/2024/sub7/sub1.asp?ymd=20261004" TargetMode="External"/><Relationship Id="rId369" Type="http://schemas.openxmlformats.org/officeDocument/2006/relationships/hyperlink" Target="https://www.maskdance.com/2024/sub7/sub1.asp?ymd=20261004" TargetMode="External"/><Relationship Id="rId370" Type="http://schemas.openxmlformats.org/officeDocument/2006/relationships/hyperlink" Target="https://www.maskdance.com/2024/sub7/sub1.asp?ymd=20261004" TargetMode="External"/><Relationship Id="rId371" Type="http://schemas.openxmlformats.org/officeDocument/2006/relationships/hyperlink" Target="https://www.maskdance.com/2024/sub7/sub1.asp?ymd=20261004" TargetMode="External"/><Relationship Id="rId372" Type="http://schemas.openxmlformats.org/officeDocument/2006/relationships/hyperlink" Target="https://www.maskdance.com/2024/sub7/sub1.asp?ymd=20261004" TargetMode="External"/><Relationship Id="rId373" Type="http://schemas.openxmlformats.org/officeDocument/2006/relationships/hyperlink" Target="https://www.maskdance.com/2024/sub7/sub1.asp?ymd=20261004" TargetMode="External"/><Relationship Id="rId374" Type="http://schemas.openxmlformats.org/officeDocument/2006/relationships/hyperlink" Target="https://www.maskdance.com/2024/sub7/sub1.asp?ymd=20261004" TargetMode="External"/><Relationship Id="rId375" Type="http://schemas.openxmlformats.org/officeDocument/2006/relationships/hyperlink" Target="https://www.maskdance.com/2024/sub7/sub1.asp?ymd=20261004" TargetMode="External"/><Relationship Id="rId376" Type="http://schemas.openxmlformats.org/officeDocument/2006/relationships/hyperlink" Target="https://www.maskdance.com/2024/sub7/sub1.asp?ymd=20261004" TargetMode="External"/><Relationship Id="rId377" Type="http://schemas.openxmlformats.org/officeDocument/2006/relationships/hyperlink" Target="https://www.maskdance.com/2024/sub7/sub1.asp?ymd=20261004" TargetMode="External"/><Relationship Id="rId378" Type="http://schemas.openxmlformats.org/officeDocument/2006/relationships/hyperlink" Target="https://www.maskdance.com/2024/sub7/sub1.asp?ymd=20261004" TargetMode="External"/><Relationship Id="rId379" Type="http://schemas.openxmlformats.org/officeDocument/2006/relationships/hyperlink" Target="https://www.maskdance.com/2024/sub7/sub1.asp?ymd=20261004" TargetMode="External"/><Relationship Id="rId380" Type="http://schemas.openxmlformats.org/officeDocument/2006/relationships/hyperlink" Target="https://www.maskdance.com/2024/sub7/sub1.asp?ymd=20261004" TargetMode="External"/><Relationship Id="rId381" Type="http://schemas.openxmlformats.org/officeDocument/2006/relationships/hyperlink" Target="https://www.maskdance.com/2024/sub7/sub1.asp?ymd=20261004" TargetMode="External"/><Relationship Id="rId382" Type="http://schemas.openxmlformats.org/officeDocument/2006/relationships/hyperlink" Target="https://www.maskdance.com/2024/sub7/sub1.asp?ymd=20261004" TargetMode="External"/><Relationship Id="rId383" Type="http://schemas.openxmlformats.org/officeDocument/2006/relationships/hyperlink" Target="https://www.maskdance.com/2024/sub7/sub1.asp?ymd=20261004" TargetMode="External"/><Relationship Id="rId384" Type="http://schemas.openxmlformats.org/officeDocument/2006/relationships/hyperlink" Target="https://www.maskdance.com/2024/sub7/sub1.asp?ymd=20261004" TargetMode="External"/><Relationship Id="rId385" Type="http://schemas.openxmlformats.org/officeDocument/2006/relationships/hyperlink" Target="https://www.maskdance.com/2024/sub7/sub1.asp?ymd=20261004" TargetMode="External"/><Relationship Id="rId386" Type="http://schemas.openxmlformats.org/officeDocument/2006/relationships/hyperlink" Target="https://www.maskdance.com/2024/sub7/sub1.asp?ymd=20261004" TargetMode="External"/><Relationship Id="rId387" Type="http://schemas.openxmlformats.org/officeDocument/2006/relationships/hyperlink" Target="https://www.maskdance.com/2024/sub7/sub1.asp?ymd=20261004" TargetMode="External"/><Relationship Id="rId388" Type="http://schemas.openxmlformats.org/officeDocument/2006/relationships/hyperlink" Target="https://www.maskdance.com/2024/sub7/sub1.asp?ymd=20261004" TargetMode="External"/><Relationship Id="rId389" Type="http://schemas.openxmlformats.org/officeDocument/2006/relationships/hyperlink" Target="https://www.maskdance.com/2024/sub7/sub1.asp?ymd=20261004" TargetMode="External"/><Relationship Id="rId390" Type="http://schemas.openxmlformats.org/officeDocument/2006/relationships/hyperlink" Target="https://www.maskdance.com/2024/sub7/sub1.asp?ymd=20261004" TargetMode="External"/><Relationship Id="rId391" Type="http://schemas.openxmlformats.org/officeDocument/2006/relationships/hyperlink" Target="https://www.maskdance.com/2024/sub7/sub1.asp?ymd=20261004" TargetMode="External"/><Relationship Id="rId392" Type="http://schemas.openxmlformats.org/officeDocument/2006/relationships/hyperlink" Target="https://www.maskdance.com/2024/sub7/sub1.asp?ymd=20261004" TargetMode="External"/><Relationship Id="rId393" Type="http://schemas.openxmlformats.org/officeDocument/2006/relationships/hyperlink" Target="https://www.maskdance.com/2024/sub7/sub1.asp?ymd=20261004" TargetMode="External"/><Relationship Id="rId394" Type="http://schemas.openxmlformats.org/officeDocument/2006/relationships/hyperlink" Target="https://www.maskdance.com/2024/sub7/sub1.asp?ymd=20261004" TargetMode="External"/><Relationship Id="rId395" Type="http://schemas.openxmlformats.org/officeDocument/2006/relationships/hyperlink" Target="https://www.maskdance.com/2024/sub7/sub1.asp?ymd=20261004" TargetMode="External"/><Relationship Id="rId396" Type="http://schemas.openxmlformats.org/officeDocument/2006/relationships/hyperlink" Target="https://www.maskdance.com/2024/sub7/sub1.asp?ymd=20261004" TargetMode="External"/><Relationship Id="rId397" Type="http://schemas.openxmlformats.org/officeDocument/2006/relationships/hyperlink" Target="https://www.maskdance.com/2024/sub7/sub1.asp?ymd=20261004" TargetMode="External"/><Relationship Id="rId398" Type="http://schemas.openxmlformats.org/officeDocument/2006/relationships/hyperlink" Target="https://www.maskdance.com/2024/sub7/sub1.asp?ymd=20261004" TargetMode="External"/><Relationship Id="rId399" Type="http://schemas.openxmlformats.org/officeDocument/2006/relationships/hyperlink" Target="https://www.maskdance.com/2024/sub7/sub1.asp?ymd=20261004" TargetMode="External"/><Relationship Id="rId400" Type="http://schemas.openxmlformats.org/officeDocument/2006/relationships/hyperlink" Target="https://www.maskdance.com/2024/sub7/sub1.asp?ymd=20261004" TargetMode="External"/><Relationship Id="rId401" Type="http://schemas.openxmlformats.org/officeDocument/2006/relationships/hyperlink" Target="https://www.maskdance.com/2024/sub7/sub1.asp?ymd=20261004" TargetMode="External"/><Relationship Id="rId402" Type="http://schemas.openxmlformats.org/officeDocument/2006/relationships/hyperlink" Target="https://www.maskdance.com/2024/sub7/sub1.asp?ymd=20261004" TargetMode="External"/><Relationship Id="rId403" Type="http://schemas.openxmlformats.org/officeDocument/2006/relationships/hyperlink" Target="https://www.maskdance.com/2024/sub7/sub1.asp?ymd=20261004" TargetMode="External"/><Relationship Id="rId404" Type="http://schemas.openxmlformats.org/officeDocument/2006/relationships/hyperlink" Target="https://www.maskdance.com/2024/sub7/sub1.asp?ymd=20261004" TargetMode="External"/><Relationship Id="rId405" Type="http://schemas.openxmlformats.org/officeDocument/2006/relationships/hyperlink" Target="https://www.maskdance.com/2024/sub7/sub1.asp?ymd=20261004" TargetMode="External"/><Relationship Id="rId406" Type="http://schemas.openxmlformats.org/officeDocument/2006/relationships/hyperlink" Target="https://www.maskdance.com/2024/sub7/sub1.asp?ymd=20261004" TargetMode="External"/><Relationship Id="rId407" Type="http://schemas.openxmlformats.org/officeDocument/2006/relationships/hyperlink" Target="https://www.maskdance.com/2024/sub7/sub1.asp?ymd=20261004" TargetMode="External"/><Relationship Id="rId408" Type="http://schemas.openxmlformats.org/officeDocument/2006/relationships/hyperlink" Target="https://www.maskdance.com/2024/sub7/sub1.asp?ymd=20261004" TargetMode="External"/><Relationship Id="rId409" Type="http://schemas.openxmlformats.org/officeDocument/2006/relationships/hyperlink" Target="https://www.maskdance.com/2024/sub7/sub1.asp?ymd=20261004" TargetMode="External"/><Relationship Id="rId410" Type="http://schemas.openxmlformats.org/officeDocument/2006/relationships/hyperlink" Target="https://www.maskdance.com/2024/sub7/sub1.asp?ymd=20261004" TargetMode="External"/><Relationship Id="rId411" Type="http://schemas.openxmlformats.org/officeDocument/2006/relationships/hyperlink" Target="https://www.maskdance.com/2024/sub7/sub1.asp?ymd=20261004" TargetMode="External"/><Relationship Id="rId412" Type="http://schemas.openxmlformats.org/officeDocument/2006/relationships/hyperlink" Target="https://www.maskdance.com/2024/sub7/sub1.asp?ymd=20261004" TargetMode="External"/><Relationship Id="rId413" Type="http://schemas.openxmlformats.org/officeDocument/2006/relationships/hyperlink" Target="https://www.maskdance.com/2024/sub7/sub1.asp?ymd=20261004" TargetMode="External"/><Relationship Id="rId41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askdance.com/2024/sub2/sub18.asp?yflag=2026&amp;search=&amp;page=1&amp;seq=4504" TargetMode="External"/><Relationship Id="rId2" Type="http://schemas.openxmlformats.org/officeDocument/2006/relationships/hyperlink" Target="https://www.maskdance.com/2024/sub2/sub18.asp?yflag=2026&amp;search=&amp;page=1&amp;seq=4501" TargetMode="External"/><Relationship Id="rId3" Type="http://schemas.openxmlformats.org/officeDocument/2006/relationships/hyperlink" Target="https://www.maskdance.com/2024/sub2/sub18.asp?yflag=2026&amp;search=&amp;page=1&amp;seq=4503" TargetMode="External"/><Relationship Id="rId4" Type="http://schemas.openxmlformats.org/officeDocument/2006/relationships/hyperlink" Target="https://www.maskdance.com/2024/sub2/sub18.asp?yflag=2026&amp;search=&amp;page=1&amp;seq=4502" TargetMode="External"/><Relationship Id="rId5" Type="http://schemas.openxmlformats.org/officeDocument/2006/relationships/hyperlink" Target="https://www.maskdance.com/2024/sub2/sub18.asp?yflag=2026&amp;search=&amp;page=1&amp;seq=4505" TargetMode="External"/><Relationship Id="rId6" Type="http://schemas.openxmlformats.org/officeDocument/2006/relationships/hyperlink" Target="https://www.maskdance.com/2024/sub2/sub17.asp?yflag=2026&amp;search=&amp;page=1&amp;seq=4373" TargetMode="External"/><Relationship Id="rId7" Type="http://schemas.openxmlformats.org/officeDocument/2006/relationships/hyperlink" Target="https://www.maskdance.com/2024/sub2/sub17.asp?yflag=2026&amp;search=&amp;page=1&amp;seq=4380" TargetMode="External"/><Relationship Id="rId8" Type="http://schemas.openxmlformats.org/officeDocument/2006/relationships/hyperlink" Target="https://www.maskdance.com/2024/sub2/sub17.asp?yflag=2026&amp;search=&amp;page=1&amp;seq=4379" TargetMode="External"/><Relationship Id="rId9" Type="http://schemas.openxmlformats.org/officeDocument/2006/relationships/hyperlink" Target="https://www.maskdance.com/2024/sub2/sub17.asp?yflag=2026&amp;search=&amp;page=1&amp;seq=4376" TargetMode="External"/><Relationship Id="rId10" Type="http://schemas.openxmlformats.org/officeDocument/2006/relationships/hyperlink" Target="https://www.maskdance.com/2024/sub2/sub17.asp?yflag=2026&amp;search=&amp;page=2&amp;seq=4499" TargetMode="External"/><Relationship Id="rId11" Type="http://schemas.openxmlformats.org/officeDocument/2006/relationships/hyperlink" Target="https://www.maskdance.com/2024/sub2/sub17.asp?yflag=2026&amp;search=&amp;page=2&amp;seq=4372" TargetMode="External"/><Relationship Id="rId12" Type="http://schemas.openxmlformats.org/officeDocument/2006/relationships/hyperlink" Target="https://www.maskdance.com/gears_pds/book/123/2026_leaflet_ko%20(2).pdf" TargetMode="External"/><Relationship Id="rId13" Type="http://schemas.openxmlformats.org/officeDocument/2006/relationships/hyperlink" Target="https://www.maskdance.com/gears_pds/book/123/2026_leaflet_ko%20(2).pdf" TargetMode="External"/><Relationship Id="rId14" Type="http://schemas.openxmlformats.org/officeDocument/2006/relationships/hyperlink" Target="https://www.maskdance.com/2024/sub2/sub3_3.asp" TargetMode="External"/><Relationship Id="rId1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askdance.com/2024/sub7/sub5.asp" TargetMode="External"/><Relationship Id="rId2" Type="http://schemas.openxmlformats.org/officeDocument/2006/relationships/hyperlink" Target="https://www.maskdance.com/2024/sub7/sub5.asp" TargetMode="External"/><Relationship Id="rId3" Type="http://schemas.openxmlformats.org/officeDocument/2006/relationships/hyperlink" Target="https://www.maskdance.com/2024/sub7/sub5.asp" TargetMode="External"/><Relationship Id="rId4" Type="http://schemas.openxmlformats.org/officeDocument/2006/relationships/hyperlink" Target="https://www.maskdance.com/2024/sub7/sub5.asp" TargetMode="External"/><Relationship Id="rId5" Type="http://schemas.openxmlformats.org/officeDocument/2006/relationships/hyperlink" Target="https://www.maskdance.com/2024/sub7/sub5.asp" TargetMode="External"/><Relationship Id="rId6" Type="http://schemas.openxmlformats.org/officeDocument/2006/relationships/hyperlink" Target="https://www.maskdance.com/2024/sub7/sub5.asp" TargetMode="External"/><Relationship Id="rId7" Type="http://schemas.openxmlformats.org/officeDocument/2006/relationships/hyperlink" Target="https://www.maskdance.com/2024/sub7/sub5.asp" TargetMode="External"/><Relationship Id="rId8" Type="http://schemas.openxmlformats.org/officeDocument/2006/relationships/hyperlink" Target="https://www.maskdance.com/2024/sub7/sub5.asp" TargetMode="External"/><Relationship Id="rId9" Type="http://schemas.openxmlformats.org/officeDocument/2006/relationships/hyperlink" Target="https://www.maskdance.com/2024/sub7/sub5.asp" TargetMode="External"/><Relationship Id="rId10" Type="http://schemas.openxmlformats.org/officeDocument/2006/relationships/hyperlink" Target="https://www.maskdance.com/2024/sub7/sub5.asp" TargetMode="External"/><Relationship Id="rId11" Type="http://schemas.openxmlformats.org/officeDocument/2006/relationships/hyperlink" Target="https://www.maskdance.com/2024/sub7/sub5.asp" TargetMode="External"/><Relationship Id="rId12" Type="http://schemas.openxmlformats.org/officeDocument/2006/relationships/hyperlink" Target="https://www.maskdance.com/2024/sub7/sub5.asp" TargetMode="External"/><Relationship Id="rId13" Type="http://schemas.openxmlformats.org/officeDocument/2006/relationships/hyperlink" Target="https://www.maskdance.com/2024/sub7/sub5.asp" TargetMode="External"/><Relationship Id="rId14" Type="http://schemas.openxmlformats.org/officeDocument/2006/relationships/hyperlink" Target="https://www.maskdance.com/2024/sub7/sub5.asp" TargetMode="External"/><Relationship Id="rId15" Type="http://schemas.openxmlformats.org/officeDocument/2006/relationships/hyperlink" Target="https://www.maskdance.com/2024/sub7/sub5.asp" TargetMode="External"/><Relationship Id="rId16" Type="http://schemas.openxmlformats.org/officeDocument/2006/relationships/hyperlink" Target="https://www.maskdance.com/2024/sub7/sub5.asp" TargetMode="External"/><Relationship Id="rId17" Type="http://schemas.openxmlformats.org/officeDocument/2006/relationships/hyperlink" Target="https://www.maskdance.com/2024/sub7/sub5.asp" TargetMode="External"/><Relationship Id="rId18" Type="http://schemas.openxmlformats.org/officeDocument/2006/relationships/hyperlink" Target="https://www.maskdance.com/2024/sub7/sub5.asp" TargetMode="External"/><Relationship Id="rId19" Type="http://schemas.openxmlformats.org/officeDocument/2006/relationships/hyperlink" Target="https://www.maskdance.com/2024/sub7/sub5.asp" TargetMode="External"/><Relationship Id="rId20" Type="http://schemas.openxmlformats.org/officeDocument/2006/relationships/hyperlink" Target="https://www.maskdance.com/2024/sub7/sub5.asp" TargetMode="External"/><Relationship Id="rId21" Type="http://schemas.openxmlformats.org/officeDocument/2006/relationships/hyperlink" Target="https://www.maskdance.com/2024/sub7/sub5.asp" TargetMode="External"/><Relationship Id="rId22" Type="http://schemas.openxmlformats.org/officeDocument/2006/relationships/hyperlink" Target="https://www.maskdance.com/2024/sub7/sub5.asp" TargetMode="External"/><Relationship Id="rId23" Type="http://schemas.openxmlformats.org/officeDocument/2006/relationships/hyperlink" Target="https://www.maskdance.com/2024/sub7/sub5.asp" TargetMode="External"/><Relationship Id="rId24" Type="http://schemas.openxmlformats.org/officeDocument/2006/relationships/hyperlink" Target="https://www.maskdance.com/2024/sub7/sub5.asp" TargetMode="External"/><Relationship Id="rId25" Type="http://schemas.openxmlformats.org/officeDocument/2006/relationships/hyperlink" Target="https://www.maskdance.com/2024/sub7/sub5.asp" TargetMode="External"/><Relationship Id="rId26" Type="http://schemas.openxmlformats.org/officeDocument/2006/relationships/hyperlink" Target="https://www.maskdance.com/2024/sub7/sub5.asp" TargetMode="External"/><Relationship Id="rId27" Type="http://schemas.openxmlformats.org/officeDocument/2006/relationships/hyperlink" Target="https://www.maskdance.com/2024/sub7/sub5.asp" TargetMode="External"/><Relationship Id="rId28" Type="http://schemas.openxmlformats.org/officeDocument/2006/relationships/hyperlink" Target="https://www.maskdance.com/2024/sub7/sub5.asp" TargetMode="External"/><Relationship Id="rId29" Type="http://schemas.openxmlformats.org/officeDocument/2006/relationships/hyperlink" Target="https://www.maskdance.com/2024/sub7/sub5.asp" TargetMode="External"/><Relationship Id="rId30" Type="http://schemas.openxmlformats.org/officeDocument/2006/relationships/hyperlink" Target="https://www.maskdance.com/2024/sub7/sub5.asp" TargetMode="External"/><Relationship Id="rId31" Type="http://schemas.openxmlformats.org/officeDocument/2006/relationships/hyperlink" Target="https://www.maskdance.com/2024/sub7/sub5.asp" TargetMode="External"/><Relationship Id="rId32" Type="http://schemas.openxmlformats.org/officeDocument/2006/relationships/hyperlink" Target="https://www.maskdance.com/2024/sub7/sub5.asp" TargetMode="External"/><Relationship Id="rId33" Type="http://schemas.openxmlformats.org/officeDocument/2006/relationships/hyperlink" Target="https://www.maskdance.com/2024/sub7/sub5.asp" TargetMode="External"/><Relationship Id="rId34" Type="http://schemas.openxmlformats.org/officeDocument/2006/relationships/hyperlink" Target="https://www.maskdance.com/2024/sub7/sub5.asp" TargetMode="External"/><Relationship Id="rId35" Type="http://schemas.openxmlformats.org/officeDocument/2006/relationships/hyperlink" Target="https://www.maskdance.com/2024/sub7/sub5.asp" TargetMode="External"/><Relationship Id="rId36" Type="http://schemas.openxmlformats.org/officeDocument/2006/relationships/hyperlink" Target="https://www.maskdance.com/2024/sub7/sub5.asp" TargetMode="External"/><Relationship Id="rId37" Type="http://schemas.openxmlformats.org/officeDocument/2006/relationships/hyperlink" Target="https://www.maskdance.com/2024/sub7/sub5.asp" TargetMode="External"/><Relationship Id="rId38" Type="http://schemas.openxmlformats.org/officeDocument/2006/relationships/hyperlink" Target="https://www.maskdance.com/2024/sub7/sub5.asp" TargetMode="External"/><Relationship Id="rId39" Type="http://schemas.openxmlformats.org/officeDocument/2006/relationships/hyperlink" Target="https://www.maskdance.com/2024/sub7/sub5.asp" TargetMode="External"/><Relationship Id="rId40" Type="http://schemas.openxmlformats.org/officeDocument/2006/relationships/hyperlink" Target="https://www.maskdance.com/2024/sub7/sub5.asp" TargetMode="External"/><Relationship Id="rId41" Type="http://schemas.openxmlformats.org/officeDocument/2006/relationships/hyperlink" Target="https://www.maskdance.com/2024/sub7/sub5.asp" TargetMode="External"/><Relationship Id="rId42" Type="http://schemas.openxmlformats.org/officeDocument/2006/relationships/hyperlink" Target="https://www.maskdance.com/2024/sub7/sub5.asp" TargetMode="External"/><Relationship Id="rId43" Type="http://schemas.openxmlformats.org/officeDocument/2006/relationships/hyperlink" Target="https://www.maskdance.com/2024/sub7/sub5.asp" TargetMode="External"/><Relationship Id="rId44" Type="http://schemas.openxmlformats.org/officeDocument/2006/relationships/hyperlink" Target="https://www.maskdance.com/2024/sub7/sub5.asp" TargetMode="External"/><Relationship Id="rId45" Type="http://schemas.openxmlformats.org/officeDocument/2006/relationships/hyperlink" Target="https://www.maskdance.com/2024/sub7/sub5.asp" TargetMode="External"/><Relationship Id="rId46" Type="http://schemas.openxmlformats.org/officeDocument/2006/relationships/hyperlink" Target="https://www.maskdance.com/2024/sub7/sub5.asp" TargetMode="External"/><Relationship Id="rId47" Type="http://schemas.openxmlformats.org/officeDocument/2006/relationships/hyperlink" Target="https://www.maskdance.com/2024/sub7/sub5.asp" TargetMode="External"/><Relationship Id="rId48" Type="http://schemas.openxmlformats.org/officeDocument/2006/relationships/hyperlink" Target="https://www.maskdance.com/2024/sub7/sub5.asp" TargetMode="External"/><Relationship Id="rId49" Type="http://schemas.openxmlformats.org/officeDocument/2006/relationships/hyperlink" Target="https://www.maskdance.com/2024/sub7/sub5.asp" TargetMode="External"/><Relationship Id="rId50" Type="http://schemas.openxmlformats.org/officeDocument/2006/relationships/hyperlink" Target="https://www.maskdance.com/2024/sub7/sub5.asp" TargetMode="External"/><Relationship Id="rId51" Type="http://schemas.openxmlformats.org/officeDocument/2006/relationships/hyperlink" Target="https://www.maskdance.com/2024/sub7/sub5.asp" TargetMode="External"/><Relationship Id="rId52" Type="http://schemas.openxmlformats.org/officeDocument/2006/relationships/hyperlink" Target="https://www.maskdance.com/2024/sub7/sub5.asp" TargetMode="External"/><Relationship Id="rId53" Type="http://schemas.openxmlformats.org/officeDocument/2006/relationships/hyperlink" Target="https://www.maskdance.com/2024/sub7/sub5.asp" TargetMode="External"/><Relationship Id="rId54" Type="http://schemas.openxmlformats.org/officeDocument/2006/relationships/hyperlink" Target="https://www.maskdance.com/2024/sub7/sub5.asp" TargetMode="External"/><Relationship Id="rId55" Type="http://schemas.openxmlformats.org/officeDocument/2006/relationships/hyperlink" Target="https://www.maskdance.com/2024/sub7/sub5.asp" TargetMode="External"/><Relationship Id="rId56" Type="http://schemas.openxmlformats.org/officeDocument/2006/relationships/hyperlink" Target="https://www.maskdance.com/2024/sub7/sub5.asp" TargetMode="External"/><Relationship Id="rId57" Type="http://schemas.openxmlformats.org/officeDocument/2006/relationships/hyperlink" Target="https://www.maskdance.com/2024/sub7/sub5.asp" TargetMode="External"/><Relationship Id="rId58" Type="http://schemas.openxmlformats.org/officeDocument/2006/relationships/hyperlink" Target="https://www.maskdance.com/2024/sub7/sub5.asp" TargetMode="External"/><Relationship Id="rId59" Type="http://schemas.openxmlformats.org/officeDocument/2006/relationships/hyperlink" Target="https://www.maskdance.com/2024/sub7/sub5.asp" TargetMode="External"/><Relationship Id="rId60" Type="http://schemas.openxmlformats.org/officeDocument/2006/relationships/hyperlink" Target="https://www.maskdance.com/2024/sub7/sub5.asp" TargetMode="External"/><Relationship Id="rId61" Type="http://schemas.openxmlformats.org/officeDocument/2006/relationships/hyperlink" Target="https://www.maskdance.com/2024/sub7/sub5.asp" TargetMode="External"/><Relationship Id="rId62" Type="http://schemas.openxmlformats.org/officeDocument/2006/relationships/hyperlink" Target="https://www.maskdance.com/2024/sub7/sub5.asp" TargetMode="External"/><Relationship Id="rId63" Type="http://schemas.openxmlformats.org/officeDocument/2006/relationships/hyperlink" Target="https://www.maskdance.com/2024/sub7/sub5.asp" TargetMode="External"/><Relationship Id="rId64" Type="http://schemas.openxmlformats.org/officeDocument/2006/relationships/hyperlink" Target="https://www.maskdance.com/2024/sub7/sub5.asp" TargetMode="External"/><Relationship Id="rId65" Type="http://schemas.openxmlformats.org/officeDocument/2006/relationships/hyperlink" Target="https://www.maskdance.com/2024/sub7/sub5.asp" TargetMode="External"/><Relationship Id="rId66" Type="http://schemas.openxmlformats.org/officeDocument/2006/relationships/hyperlink" Target="https://www.maskdance.com/2024/sub7/sub5.asp" TargetMode="External"/><Relationship Id="rId67" Type="http://schemas.openxmlformats.org/officeDocument/2006/relationships/hyperlink" Target="https://www.maskdance.com/2024/sub7/sub5.asp" TargetMode="External"/><Relationship Id="rId68" Type="http://schemas.openxmlformats.org/officeDocument/2006/relationships/hyperlink" Target="https://www.maskdance.com/2024/sub7/sub5.asp" TargetMode="External"/><Relationship Id="rId69" Type="http://schemas.openxmlformats.org/officeDocument/2006/relationships/hyperlink" Target="https://www.maskdance.com/2024/sub7/sub5.asp" TargetMode="External"/><Relationship Id="rId70" Type="http://schemas.openxmlformats.org/officeDocument/2006/relationships/hyperlink" Target="https://www.maskdance.com/2024/sub7/sub5.asp" TargetMode="External"/><Relationship Id="rId71" Type="http://schemas.openxmlformats.org/officeDocument/2006/relationships/hyperlink" Target="https://www.maskdance.com/2024/sub7/sub5.asp" TargetMode="External"/><Relationship Id="rId72" Type="http://schemas.openxmlformats.org/officeDocument/2006/relationships/hyperlink" Target="https://www.maskdance.com/2024/sub7/sub5.asp" TargetMode="External"/><Relationship Id="rId73" Type="http://schemas.openxmlformats.org/officeDocument/2006/relationships/hyperlink" Target="https://www.maskdance.com/2024/sub7/sub5.asp" TargetMode="External"/><Relationship Id="rId74" Type="http://schemas.openxmlformats.org/officeDocument/2006/relationships/hyperlink" Target="https://www.maskdance.com/2024/sub7/sub5.asp" TargetMode="External"/><Relationship Id="rId75" Type="http://schemas.openxmlformats.org/officeDocument/2006/relationships/hyperlink" Target="https://www.maskdance.com/2024/sub7/sub5.asp" TargetMode="External"/><Relationship Id="rId76" Type="http://schemas.openxmlformats.org/officeDocument/2006/relationships/hyperlink" Target="https://www.maskdance.com/2024/sub7/sub5.asp" TargetMode="External"/><Relationship Id="rId77" Type="http://schemas.openxmlformats.org/officeDocument/2006/relationships/hyperlink" Target="https://www.maskdance.com/2024/sub7/sub5.asp" TargetMode="External"/><Relationship Id="rId78" Type="http://schemas.openxmlformats.org/officeDocument/2006/relationships/hyperlink" Target="https://www.maskdance.com/2024/sub7/sub5.asp" TargetMode="External"/><Relationship Id="rId79" Type="http://schemas.openxmlformats.org/officeDocument/2006/relationships/hyperlink" Target="https://www.maskdance.com/2024/sub7/sub5.asp" TargetMode="External"/><Relationship Id="rId80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maskdance.com/2024/sub7/sub2.asp" TargetMode="External"/><Relationship Id="rId2" Type="http://schemas.openxmlformats.org/officeDocument/2006/relationships/hyperlink" Target="https://www.maskdance.com/2024/sub7/sub2.asp" TargetMode="External"/><Relationship Id="rId3" Type="http://schemas.openxmlformats.org/officeDocument/2006/relationships/hyperlink" Target="https://www.maskdance.com/2024/sub7/sub2.asp" TargetMode="External"/><Relationship Id="rId4" Type="http://schemas.openxmlformats.org/officeDocument/2006/relationships/hyperlink" Target="https://www.maskdance.com/2024/sub7/sub2.asp" TargetMode="External"/><Relationship Id="rId5" Type="http://schemas.openxmlformats.org/officeDocument/2006/relationships/hyperlink" Target="https://tickets.interpark.com/goods/25014153" TargetMode="External"/><Relationship Id="rId6" Type="http://schemas.openxmlformats.org/officeDocument/2006/relationships/hyperlink" Target="https://biz.heraldcorp.com/article/10844864" TargetMode="External"/><Relationship Id="rId7" Type="http://schemas.openxmlformats.org/officeDocument/2006/relationships/hyperlink" Target="https://www.maskdance.com/2024/sub4/sub4.asp" TargetMode="External"/><Relationship Id="rId8" Type="http://schemas.openxmlformats.org/officeDocument/2006/relationships/hyperlink" Target="https://www.maskdance.com/gears_pds/book/123/2026_leaflet_ko%20(2).pdf" TargetMode="External"/><Relationship Id="rId9" Type="http://schemas.openxmlformats.org/officeDocument/2006/relationships/hyperlink" Target="https://www.maskdance.com/2024/sub4/sub4.asp" TargetMode="External"/><Relationship Id="rId10" Type="http://schemas.openxmlformats.org/officeDocument/2006/relationships/hyperlink" Target="https://www.maskdance.com/gears_pds/book/123/2026_leaflet_ko%20(2).pdf" TargetMode="External"/><Relationship Id="rId11" Type="http://schemas.openxmlformats.org/officeDocument/2006/relationships/hyperlink" Target="https://www.maskdance.com/2024/sub4/sub4.asp" TargetMode="External"/><Relationship Id="rId12" Type="http://schemas.openxmlformats.org/officeDocument/2006/relationships/hyperlink" Target="https://www.maskdance.com/2024/sub2/sub1_9.asp" TargetMode="External"/><Relationship Id="rId13" Type="http://schemas.openxmlformats.org/officeDocument/2006/relationships/hyperlink" Target="https://www.maskdance.com/2024/sub4/sub4.asp" TargetMode="External"/><Relationship Id="rId14" Type="http://schemas.openxmlformats.org/officeDocument/2006/relationships/hyperlink" Target="https://www.maskdance.com/2024/sub4/sub4.asp" TargetMode="External"/><Relationship Id="rId15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5.84"/>
    <col collapsed="false" customWidth="true" hidden="false" outlineLevel="0" max="3" min="3" style="0" width="18.36"/>
    <col collapsed="false" customWidth="true" hidden="false" outlineLevel="0" max="4" min="4" style="0" width="9.18"/>
    <col collapsed="false" customWidth="true" hidden="false" outlineLevel="0" max="6" min="5" style="0" width="6.68"/>
    <col collapsed="false" customWidth="true" hidden="false" outlineLevel="0" max="8" min="7" style="0" width="23.37"/>
    <col collapsed="false" customWidth="true" hidden="false" outlineLevel="0" max="10" min="9" style="0" width="8.35"/>
    <col collapsed="false" customWidth="true" hidden="false" outlineLevel="0" max="11" min="11" style="0" width="18.36"/>
    <col collapsed="false" customWidth="true" hidden="false" outlineLevel="0" max="12" min="12" style="0" width="13.35"/>
    <col collapsed="false" customWidth="true" hidden="false" outlineLevel="0" max="13" min="13" style="0" width="4.17"/>
    <col collapsed="false" customWidth="true" hidden="false" outlineLevel="0" max="14" min="14" style="0" width="25.04"/>
    <col collapsed="false" customWidth="true" hidden="false" outlineLevel="0" max="15" min="15" style="0" width="18.36"/>
    <col collapsed="false" customWidth="true" hidden="false" outlineLevel="0" max="16" min="16" style="0" width="9.18"/>
    <col collapsed="false" customWidth="true" hidden="false" outlineLevel="0" max="17" min="17" style="0" width="25.0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35.05" hidden="false" customHeight="false" outlineLevel="0" collapsed="false">
      <c r="A2" s="3" t="s">
        <v>17</v>
      </c>
      <c r="B2" s="3" t="s">
        <v>18</v>
      </c>
      <c r="C2" s="3" t="s">
        <v>19</v>
      </c>
      <c r="D2" s="4" t="n">
        <v>46289</v>
      </c>
      <c r="E2" s="5" t="n">
        <v>0.541666666666667</v>
      </c>
      <c r="F2" s="5" t="n">
        <v>0.583333333333333</v>
      </c>
      <c r="G2" s="3" t="s">
        <v>20</v>
      </c>
      <c r="H2" s="3" t="s">
        <v>20</v>
      </c>
      <c r="I2" s="3" t="str">
        <f aca="false">IF(E2&gt;=TIME(18,0,0),"Y","")</f>
        <v/>
      </c>
      <c r="J2" s="3" t="str">
        <f aca="false">IF(AND(ISNUMBER(F2),F2&gt;TIME(21,0,0)),"Y","")</f>
        <v/>
      </c>
      <c r="K2" s="3" t="s">
        <v>21</v>
      </c>
      <c r="L2" s="3" t="s">
        <v>19</v>
      </c>
      <c r="M2" s="3" t="str">
        <f aca="false">CHOOSE(WEEKDAY(D2),"일","월","화","수","목","금","토")</f>
        <v>목</v>
      </c>
      <c r="N2" s="6" t="s">
        <v>22</v>
      </c>
      <c r="O2" s="3" t="s">
        <v>23</v>
      </c>
      <c r="P2" s="4" t="n">
        <v>46286</v>
      </c>
      <c r="Q2" s="3"/>
    </row>
    <row r="3" customFormat="false" ht="35.05" hidden="false" customHeight="false" outlineLevel="0" collapsed="false">
      <c r="A3" s="3" t="s">
        <v>24</v>
      </c>
      <c r="B3" s="3" t="s">
        <v>18</v>
      </c>
      <c r="C3" s="3" t="s">
        <v>25</v>
      </c>
      <c r="D3" s="4" t="n">
        <v>46289</v>
      </c>
      <c r="E3" s="5" t="n">
        <v>0.541666666666667</v>
      </c>
      <c r="F3" s="5" t="n">
        <v>0.625</v>
      </c>
      <c r="G3" s="3" t="s">
        <v>20</v>
      </c>
      <c r="H3" s="3" t="s">
        <v>20</v>
      </c>
      <c r="I3" s="3" t="str">
        <f aca="false">IF(E3&gt;=TIME(18,0,0),"Y","")</f>
        <v/>
      </c>
      <c r="J3" s="3" t="str">
        <f aca="false">IF(AND(ISNUMBER(F3),F3&gt;TIME(21,0,0)),"Y","")</f>
        <v/>
      </c>
      <c r="K3" s="3" t="s">
        <v>21</v>
      </c>
      <c r="L3" s="3" t="s">
        <v>26</v>
      </c>
      <c r="M3" s="3" t="str">
        <f aca="false">CHOOSE(WEEKDAY(D3),"일","월","화","수","목","금","토")</f>
        <v>목</v>
      </c>
      <c r="N3" s="6" t="s">
        <v>22</v>
      </c>
      <c r="O3" s="3" t="s">
        <v>23</v>
      </c>
      <c r="P3" s="4" t="n">
        <v>46286</v>
      </c>
      <c r="Q3" s="3"/>
    </row>
    <row r="4" customFormat="false" ht="35.05" hidden="false" customHeight="false" outlineLevel="0" collapsed="false">
      <c r="A4" s="3" t="s">
        <v>27</v>
      </c>
      <c r="B4" s="3" t="s">
        <v>18</v>
      </c>
      <c r="C4" s="3" t="s">
        <v>28</v>
      </c>
      <c r="D4" s="4" t="n">
        <v>46289</v>
      </c>
      <c r="E4" s="5" t="n">
        <v>0.5625</v>
      </c>
      <c r="F4" s="5" t="n">
        <v>0.583333333333333</v>
      </c>
      <c r="G4" s="3" t="s">
        <v>20</v>
      </c>
      <c r="H4" s="3" t="s">
        <v>20</v>
      </c>
      <c r="I4" s="3" t="str">
        <f aca="false">IF(E4&gt;=TIME(18,0,0),"Y","")</f>
        <v/>
      </c>
      <c r="J4" s="3" t="str">
        <f aca="false">IF(AND(ISNUMBER(F4),F4&gt;TIME(21,0,0)),"Y","")</f>
        <v/>
      </c>
      <c r="K4" s="3" t="s">
        <v>29</v>
      </c>
      <c r="L4" s="3" t="s">
        <v>19</v>
      </c>
      <c r="M4" s="3" t="str">
        <f aca="false">CHOOSE(WEEKDAY(D4),"일","월","화","수","목","금","토")</f>
        <v>목</v>
      </c>
      <c r="N4" s="6" t="s">
        <v>22</v>
      </c>
      <c r="O4" s="3" t="s">
        <v>23</v>
      </c>
      <c r="P4" s="4" t="n">
        <v>46286</v>
      </c>
      <c r="Q4" s="3"/>
    </row>
    <row r="5" customFormat="false" ht="35.05" hidden="false" customHeight="false" outlineLevel="0" collapsed="false">
      <c r="A5" s="3" t="s">
        <v>30</v>
      </c>
      <c r="B5" s="3" t="s">
        <v>18</v>
      </c>
      <c r="C5" s="3" t="s">
        <v>28</v>
      </c>
      <c r="D5" s="4" t="n">
        <v>46289</v>
      </c>
      <c r="E5" s="5" t="n">
        <v>0.583333333333333</v>
      </c>
      <c r="F5" s="5" t="n">
        <v>0.625</v>
      </c>
      <c r="G5" s="3" t="s">
        <v>20</v>
      </c>
      <c r="H5" s="3" t="s">
        <v>20</v>
      </c>
      <c r="I5" s="3" t="str">
        <f aca="false">IF(E5&gt;=TIME(18,0,0),"Y","")</f>
        <v/>
      </c>
      <c r="J5" s="3" t="str">
        <f aca="false">IF(AND(ISNUMBER(F5),F5&gt;TIME(21,0,0)),"Y","")</f>
        <v/>
      </c>
      <c r="K5" s="3" t="s">
        <v>29</v>
      </c>
      <c r="L5" s="3" t="s">
        <v>19</v>
      </c>
      <c r="M5" s="3" t="str">
        <f aca="false">CHOOSE(WEEKDAY(D5),"일","월","화","수","목","금","토")</f>
        <v>목</v>
      </c>
      <c r="N5" s="6" t="s">
        <v>22</v>
      </c>
      <c r="O5" s="3" t="s">
        <v>23</v>
      </c>
      <c r="P5" s="4" t="n">
        <v>46286</v>
      </c>
      <c r="Q5" s="3"/>
    </row>
    <row r="6" customFormat="false" ht="35.05" hidden="false" customHeight="false" outlineLevel="0" collapsed="false">
      <c r="A6" s="3" t="s">
        <v>31</v>
      </c>
      <c r="B6" s="3" t="s">
        <v>32</v>
      </c>
      <c r="C6" s="3" t="s">
        <v>33</v>
      </c>
      <c r="D6" s="4" t="n">
        <v>46289</v>
      </c>
      <c r="E6" s="5" t="n">
        <v>0.583333333333333</v>
      </c>
      <c r="F6" s="5" t="n">
        <v>0.708333333333333</v>
      </c>
      <c r="G6" s="3" t="s">
        <v>20</v>
      </c>
      <c r="H6" s="3" t="s">
        <v>20</v>
      </c>
      <c r="I6" s="3" t="str">
        <f aca="false">IF(E6&gt;=TIME(18,0,0),"Y","")</f>
        <v/>
      </c>
      <c r="J6" s="3" t="str">
        <f aca="false">IF(AND(ISNUMBER(F6),F6&gt;TIME(21,0,0)),"Y","")</f>
        <v/>
      </c>
      <c r="K6" s="3" t="s">
        <v>34</v>
      </c>
      <c r="L6" s="3" t="s">
        <v>35</v>
      </c>
      <c r="M6" s="3" t="str">
        <f aca="false">CHOOSE(WEEKDAY(D6),"일","월","화","수","목","금","토")</f>
        <v>목</v>
      </c>
      <c r="N6" s="6" t="s">
        <v>22</v>
      </c>
      <c r="O6" s="3" t="s">
        <v>23</v>
      </c>
      <c r="P6" s="4" t="n">
        <v>46286</v>
      </c>
      <c r="Q6" s="3"/>
    </row>
    <row r="7" customFormat="false" ht="35.05" hidden="false" customHeight="false" outlineLevel="0" collapsed="false">
      <c r="A7" s="3" t="s">
        <v>17</v>
      </c>
      <c r="B7" s="3" t="s">
        <v>18</v>
      </c>
      <c r="C7" s="3" t="s">
        <v>19</v>
      </c>
      <c r="D7" s="4" t="n">
        <v>46289</v>
      </c>
      <c r="E7" s="5" t="n">
        <v>0.625</v>
      </c>
      <c r="F7" s="5" t="n">
        <v>0.666666666666667</v>
      </c>
      <c r="G7" s="3" t="s">
        <v>20</v>
      </c>
      <c r="H7" s="3" t="s">
        <v>20</v>
      </c>
      <c r="I7" s="3" t="str">
        <f aca="false">IF(E7&gt;=TIME(18,0,0),"Y","")</f>
        <v/>
      </c>
      <c r="J7" s="3" t="str">
        <f aca="false">IF(AND(ISNUMBER(F7),F7&gt;TIME(21,0,0)),"Y","")</f>
        <v/>
      </c>
      <c r="K7" s="3" t="s">
        <v>21</v>
      </c>
      <c r="L7" s="3" t="s">
        <v>19</v>
      </c>
      <c r="M7" s="3" t="str">
        <f aca="false">CHOOSE(WEEKDAY(D7),"일","월","화","수","목","금","토")</f>
        <v>목</v>
      </c>
      <c r="N7" s="6" t="s">
        <v>22</v>
      </c>
      <c r="O7" s="3" t="s">
        <v>23</v>
      </c>
      <c r="P7" s="4" t="n">
        <v>46286</v>
      </c>
      <c r="Q7" s="3"/>
    </row>
    <row r="8" customFormat="false" ht="35.05" hidden="false" customHeight="false" outlineLevel="0" collapsed="false">
      <c r="A8" s="3" t="s">
        <v>36</v>
      </c>
      <c r="B8" s="3" t="s">
        <v>18</v>
      </c>
      <c r="C8" s="3" t="s">
        <v>28</v>
      </c>
      <c r="D8" s="4" t="n">
        <v>46289</v>
      </c>
      <c r="E8" s="5" t="n">
        <v>0.625</v>
      </c>
      <c r="F8" s="5" t="n">
        <v>0.666666666666667</v>
      </c>
      <c r="G8" s="3" t="s">
        <v>20</v>
      </c>
      <c r="H8" s="3" t="s">
        <v>20</v>
      </c>
      <c r="I8" s="3" t="str">
        <f aca="false">IF(E8&gt;=TIME(18,0,0),"Y","")</f>
        <v/>
      </c>
      <c r="J8" s="3" t="str">
        <f aca="false">IF(AND(ISNUMBER(F8),F8&gt;TIME(21,0,0)),"Y","")</f>
        <v/>
      </c>
      <c r="K8" s="3" t="s">
        <v>29</v>
      </c>
      <c r="L8" s="3" t="s">
        <v>19</v>
      </c>
      <c r="M8" s="3" t="str">
        <f aca="false">CHOOSE(WEEKDAY(D8),"일","월","화","수","목","금","토")</f>
        <v>목</v>
      </c>
      <c r="N8" s="6" t="s">
        <v>22</v>
      </c>
      <c r="O8" s="3" t="s">
        <v>23</v>
      </c>
      <c r="P8" s="4" t="n">
        <v>46286</v>
      </c>
      <c r="Q8" s="3"/>
    </row>
    <row r="9" customFormat="false" ht="35.05" hidden="false" customHeight="false" outlineLevel="0" collapsed="false">
      <c r="A9" s="3" t="s">
        <v>37</v>
      </c>
      <c r="B9" s="3" t="s">
        <v>18</v>
      </c>
      <c r="C9" s="3" t="s">
        <v>28</v>
      </c>
      <c r="D9" s="4" t="n">
        <v>46289</v>
      </c>
      <c r="E9" s="5" t="n">
        <v>0.666666666666667</v>
      </c>
      <c r="F9" s="5" t="n">
        <v>0.708333333333333</v>
      </c>
      <c r="G9" s="3" t="s">
        <v>20</v>
      </c>
      <c r="H9" s="3" t="s">
        <v>20</v>
      </c>
      <c r="I9" s="3" t="str">
        <f aca="false">IF(E9&gt;=TIME(18,0,0),"Y","")</f>
        <v/>
      </c>
      <c r="J9" s="3" t="str">
        <f aca="false">IF(AND(ISNUMBER(F9),F9&gt;TIME(21,0,0)),"Y","")</f>
        <v/>
      </c>
      <c r="K9" s="3" t="s">
        <v>29</v>
      </c>
      <c r="L9" s="3" t="s">
        <v>19</v>
      </c>
      <c r="M9" s="3" t="str">
        <f aca="false">CHOOSE(WEEKDAY(D9),"일","월","화","수","목","금","토")</f>
        <v>목</v>
      </c>
      <c r="N9" s="6" t="s">
        <v>22</v>
      </c>
      <c r="O9" s="3" t="s">
        <v>23</v>
      </c>
      <c r="P9" s="4" t="n">
        <v>46286</v>
      </c>
      <c r="Q9" s="3"/>
    </row>
    <row r="10" customFormat="false" ht="35.05" hidden="false" customHeight="false" outlineLevel="0" collapsed="false">
      <c r="A10" s="3" t="s">
        <v>17</v>
      </c>
      <c r="B10" s="3" t="s">
        <v>18</v>
      </c>
      <c r="C10" s="3" t="s">
        <v>19</v>
      </c>
      <c r="D10" s="4" t="n">
        <v>46289</v>
      </c>
      <c r="E10" s="5" t="n">
        <v>0.708333333333333</v>
      </c>
      <c r="F10" s="5" t="n">
        <v>0.75</v>
      </c>
      <c r="G10" s="3" t="s">
        <v>20</v>
      </c>
      <c r="H10" s="3" t="s">
        <v>20</v>
      </c>
      <c r="I10" s="3" t="str">
        <f aca="false">IF(E10&gt;=TIME(18,0,0),"Y","")</f>
        <v/>
      </c>
      <c r="J10" s="3" t="str">
        <f aca="false">IF(AND(ISNUMBER(F10),F10&gt;TIME(21,0,0)),"Y","")</f>
        <v/>
      </c>
      <c r="K10" s="3" t="s">
        <v>21</v>
      </c>
      <c r="L10" s="3" t="s">
        <v>19</v>
      </c>
      <c r="M10" s="3" t="str">
        <f aca="false">CHOOSE(WEEKDAY(D10),"일","월","화","수","목","금","토")</f>
        <v>목</v>
      </c>
      <c r="N10" s="6" t="s">
        <v>22</v>
      </c>
      <c r="O10" s="3" t="s">
        <v>23</v>
      </c>
      <c r="P10" s="4" t="n">
        <v>46286</v>
      </c>
      <c r="Q10" s="3"/>
    </row>
    <row r="11" customFormat="false" ht="35.05" hidden="false" customHeight="false" outlineLevel="0" collapsed="false">
      <c r="A11" s="3" t="s">
        <v>38</v>
      </c>
      <c r="B11" s="3" t="s">
        <v>18</v>
      </c>
      <c r="C11" s="3" t="s">
        <v>33</v>
      </c>
      <c r="D11" s="4" t="n">
        <v>46289</v>
      </c>
      <c r="E11" s="5" t="n">
        <v>0.791666666666667</v>
      </c>
      <c r="F11" s="5" t="n">
        <v>0.833333333333333</v>
      </c>
      <c r="G11" s="3" t="s">
        <v>20</v>
      </c>
      <c r="H11" s="3" t="s">
        <v>20</v>
      </c>
      <c r="I11" s="3" t="str">
        <f aca="false">IF(E11&gt;=TIME(18,0,0),"Y","")</f>
        <v>Y</v>
      </c>
      <c r="J11" s="3" t="str">
        <f aca="false">IF(AND(ISNUMBER(F11),F11&gt;TIME(21,0,0)),"Y","")</f>
        <v/>
      </c>
      <c r="K11" s="3" t="s">
        <v>29</v>
      </c>
      <c r="L11" s="3" t="s">
        <v>35</v>
      </c>
      <c r="M11" s="3" t="str">
        <f aca="false">CHOOSE(WEEKDAY(D11),"일","월","화","수","목","금","토")</f>
        <v>목</v>
      </c>
      <c r="N11" s="6" t="s">
        <v>22</v>
      </c>
      <c r="O11" s="3" t="s">
        <v>23</v>
      </c>
      <c r="P11" s="4" t="n">
        <v>46286</v>
      </c>
      <c r="Q11" s="3"/>
    </row>
    <row r="12" customFormat="false" ht="35.05" hidden="false" customHeight="false" outlineLevel="0" collapsed="false">
      <c r="A12" s="3" t="s">
        <v>39</v>
      </c>
      <c r="B12" s="3" t="s">
        <v>18</v>
      </c>
      <c r="C12" s="3" t="s">
        <v>28</v>
      </c>
      <c r="D12" s="4" t="n">
        <v>46289</v>
      </c>
      <c r="E12" s="5" t="n">
        <v>0.791666666666667</v>
      </c>
      <c r="F12" s="5" t="n">
        <v>0.875</v>
      </c>
      <c r="G12" s="3" t="s">
        <v>20</v>
      </c>
      <c r="H12" s="3" t="s">
        <v>20</v>
      </c>
      <c r="I12" s="3" t="str">
        <f aca="false">IF(E12&gt;=TIME(18,0,0),"Y","")</f>
        <v>Y</v>
      </c>
      <c r="J12" s="3" t="str">
        <f aca="false">IF(AND(ISNUMBER(F12),F12&gt;TIME(21,0,0)),"Y","")</f>
        <v/>
      </c>
      <c r="K12" s="3" t="s">
        <v>40</v>
      </c>
      <c r="L12" s="3" t="s">
        <v>19</v>
      </c>
      <c r="M12" s="3" t="str">
        <f aca="false">CHOOSE(WEEKDAY(D12),"일","월","화","수","목","금","토")</f>
        <v>목</v>
      </c>
      <c r="N12" s="6" t="s">
        <v>22</v>
      </c>
      <c r="O12" s="3" t="s">
        <v>23</v>
      </c>
      <c r="P12" s="4" t="n">
        <v>46286</v>
      </c>
      <c r="Q12" s="3"/>
    </row>
    <row r="13" customFormat="false" ht="35.05" hidden="false" customHeight="false" outlineLevel="0" collapsed="false">
      <c r="A13" s="3" t="s">
        <v>41</v>
      </c>
      <c r="B13" s="3" t="s">
        <v>32</v>
      </c>
      <c r="C13" s="3" t="s">
        <v>33</v>
      </c>
      <c r="D13" s="4" t="n">
        <v>46289</v>
      </c>
      <c r="E13" s="5" t="n">
        <v>0.833333333333333</v>
      </c>
      <c r="F13" s="5" t="n">
        <v>0.875</v>
      </c>
      <c r="G13" s="3" t="s">
        <v>20</v>
      </c>
      <c r="H13" s="3" t="s">
        <v>20</v>
      </c>
      <c r="I13" s="3" t="str">
        <f aca="false">IF(E13&gt;=TIME(18,0,0),"Y","")</f>
        <v>Y</v>
      </c>
      <c r="J13" s="3" t="str">
        <f aca="false">IF(AND(ISNUMBER(F13),F13&gt;TIME(21,0,0)),"Y","")</f>
        <v/>
      </c>
      <c r="K13" s="3" t="s">
        <v>34</v>
      </c>
      <c r="L13" s="3" t="s">
        <v>35</v>
      </c>
      <c r="M13" s="3" t="str">
        <f aca="false">CHOOSE(WEEKDAY(D13),"일","월","화","수","목","금","토")</f>
        <v>목</v>
      </c>
      <c r="N13" s="6" t="s">
        <v>22</v>
      </c>
      <c r="O13" s="3" t="s">
        <v>23</v>
      </c>
      <c r="P13" s="4" t="n">
        <v>46286</v>
      </c>
      <c r="Q13" s="3"/>
    </row>
    <row r="14" customFormat="false" ht="35.05" hidden="false" customHeight="false" outlineLevel="0" collapsed="false">
      <c r="A14" s="3" t="s">
        <v>42</v>
      </c>
      <c r="B14" s="3" t="s">
        <v>32</v>
      </c>
      <c r="C14" s="3" t="s">
        <v>43</v>
      </c>
      <c r="D14" s="4" t="n">
        <v>46290</v>
      </c>
      <c r="E14" s="5" t="n">
        <v>0.458333333333333</v>
      </c>
      <c r="F14" s="5" t="n">
        <v>0.5</v>
      </c>
      <c r="G14" s="3" t="s">
        <v>20</v>
      </c>
      <c r="H14" s="3" t="s">
        <v>20</v>
      </c>
      <c r="I14" s="3" t="str">
        <f aca="false">IF(E14&gt;=TIME(18,0,0),"Y","")</f>
        <v/>
      </c>
      <c r="J14" s="3" t="str">
        <f aca="false">IF(AND(ISNUMBER(F14),F14&gt;TIME(21,0,0)),"Y","")</f>
        <v/>
      </c>
      <c r="K14" s="3" t="s">
        <v>34</v>
      </c>
      <c r="L14" s="3" t="s">
        <v>44</v>
      </c>
      <c r="M14" s="3" t="str">
        <f aca="false">CHOOSE(WEEKDAY(D14),"일","월","화","수","목","금","토")</f>
        <v>금</v>
      </c>
      <c r="N14" s="6" t="s">
        <v>45</v>
      </c>
      <c r="O14" s="3" t="s">
        <v>23</v>
      </c>
      <c r="P14" s="4" t="n">
        <v>46286</v>
      </c>
      <c r="Q14" s="3"/>
    </row>
    <row r="15" customFormat="false" ht="35.05" hidden="false" customHeight="false" outlineLevel="0" collapsed="false">
      <c r="A15" s="3" t="s">
        <v>46</v>
      </c>
      <c r="B15" s="3" t="s">
        <v>18</v>
      </c>
      <c r="C15" s="3" t="s">
        <v>47</v>
      </c>
      <c r="D15" s="4" t="n">
        <v>46290</v>
      </c>
      <c r="E15" s="5" t="n">
        <v>0.458333333333333</v>
      </c>
      <c r="F15" s="5" t="n">
        <v>0.5</v>
      </c>
      <c r="G15" s="3" t="s">
        <v>20</v>
      </c>
      <c r="H15" s="3" t="s">
        <v>20</v>
      </c>
      <c r="I15" s="3" t="str">
        <f aca="false">IF(E15&gt;=TIME(18,0,0),"Y","")</f>
        <v/>
      </c>
      <c r="J15" s="3" t="str">
        <f aca="false">IF(AND(ISNUMBER(F15),F15&gt;TIME(21,0,0)),"Y","")</f>
        <v/>
      </c>
      <c r="K15" s="3" t="s">
        <v>48</v>
      </c>
      <c r="L15" s="3" t="s">
        <v>47</v>
      </c>
      <c r="M15" s="3" t="str">
        <f aca="false">CHOOSE(WEEKDAY(D15),"일","월","화","수","목","금","토")</f>
        <v>금</v>
      </c>
      <c r="N15" s="6" t="s">
        <v>45</v>
      </c>
      <c r="O15" s="3" t="s">
        <v>23</v>
      </c>
      <c r="P15" s="4" t="n">
        <v>46286</v>
      </c>
      <c r="Q15" s="3" t="s">
        <v>49</v>
      </c>
    </row>
    <row r="16" customFormat="false" ht="35.05" hidden="false" customHeight="false" outlineLevel="0" collapsed="false">
      <c r="A16" s="3" t="s">
        <v>50</v>
      </c>
      <c r="B16" s="3" t="s">
        <v>51</v>
      </c>
      <c r="C16" s="3" t="s">
        <v>52</v>
      </c>
      <c r="D16" s="4" t="n">
        <v>46290</v>
      </c>
      <c r="E16" s="5" t="n">
        <v>0.479166666666667</v>
      </c>
      <c r="F16" s="5" t="n">
        <v>0.5</v>
      </c>
      <c r="G16" s="3" t="s">
        <v>20</v>
      </c>
      <c r="H16" s="3" t="s">
        <v>20</v>
      </c>
      <c r="I16" s="3" t="str">
        <f aca="false">IF(E16&gt;=TIME(18,0,0),"Y","")</f>
        <v/>
      </c>
      <c r="J16" s="3" t="str">
        <f aca="false">IF(AND(ISNUMBER(F16),F16&gt;TIME(21,0,0)),"Y","")</f>
        <v/>
      </c>
      <c r="K16" s="3" t="s">
        <v>51</v>
      </c>
      <c r="L16" s="3" t="s">
        <v>19</v>
      </c>
      <c r="M16" s="3" t="str">
        <f aca="false">CHOOSE(WEEKDAY(D16),"일","월","화","수","목","금","토")</f>
        <v>금</v>
      </c>
      <c r="N16" s="6" t="s">
        <v>45</v>
      </c>
      <c r="O16" s="3" t="s">
        <v>23</v>
      </c>
      <c r="P16" s="4" t="n">
        <v>46286</v>
      </c>
      <c r="Q16" s="3"/>
    </row>
    <row r="17" customFormat="false" ht="35.05" hidden="false" customHeight="false" outlineLevel="0" collapsed="false">
      <c r="A17" s="3" t="s">
        <v>53</v>
      </c>
      <c r="B17" s="3" t="s">
        <v>18</v>
      </c>
      <c r="C17" s="3" t="s">
        <v>47</v>
      </c>
      <c r="D17" s="4" t="n">
        <v>46290</v>
      </c>
      <c r="E17" s="5" t="n">
        <v>0.5</v>
      </c>
      <c r="F17" s="5" t="n">
        <v>0.541666666666667</v>
      </c>
      <c r="G17" s="3" t="s">
        <v>20</v>
      </c>
      <c r="H17" s="3" t="s">
        <v>20</v>
      </c>
      <c r="I17" s="3" t="str">
        <f aca="false">IF(E17&gt;=TIME(18,0,0),"Y","")</f>
        <v/>
      </c>
      <c r="J17" s="3" t="str">
        <f aca="false">IF(AND(ISNUMBER(F17),F17&gt;TIME(21,0,0)),"Y","")</f>
        <v/>
      </c>
      <c r="K17" s="3" t="s">
        <v>48</v>
      </c>
      <c r="L17" s="3" t="s">
        <v>47</v>
      </c>
      <c r="M17" s="3" t="str">
        <f aca="false">CHOOSE(WEEKDAY(D17),"일","월","화","수","목","금","토")</f>
        <v>금</v>
      </c>
      <c r="N17" s="6" t="s">
        <v>45</v>
      </c>
      <c r="O17" s="3" t="s">
        <v>23</v>
      </c>
      <c r="P17" s="4" t="n">
        <v>46286</v>
      </c>
      <c r="Q17" s="3" t="s">
        <v>49</v>
      </c>
    </row>
    <row r="18" customFormat="false" ht="35.05" hidden="false" customHeight="false" outlineLevel="0" collapsed="false">
      <c r="A18" s="3" t="s">
        <v>24</v>
      </c>
      <c r="B18" s="3" t="s">
        <v>18</v>
      </c>
      <c r="C18" s="3" t="s">
        <v>54</v>
      </c>
      <c r="D18" s="4" t="n">
        <v>46290</v>
      </c>
      <c r="E18" s="5" t="n">
        <v>0.541666666666667</v>
      </c>
      <c r="F18" s="5" t="n">
        <v>0.625</v>
      </c>
      <c r="G18" s="3" t="s">
        <v>20</v>
      </c>
      <c r="H18" s="3" t="s">
        <v>20</v>
      </c>
      <c r="I18" s="3" t="str">
        <f aca="false">IF(E18&gt;=TIME(18,0,0),"Y","")</f>
        <v/>
      </c>
      <c r="J18" s="3" t="str">
        <f aca="false">IF(AND(ISNUMBER(F18),F18&gt;TIME(21,0,0)),"Y","")</f>
        <v/>
      </c>
      <c r="K18" s="3" t="s">
        <v>21</v>
      </c>
      <c r="L18" s="3" t="s">
        <v>26</v>
      </c>
      <c r="M18" s="3" t="str">
        <f aca="false">CHOOSE(WEEKDAY(D18),"일","월","화","수","목","금","토")</f>
        <v>금</v>
      </c>
      <c r="N18" s="6" t="s">
        <v>45</v>
      </c>
      <c r="O18" s="3" t="s">
        <v>23</v>
      </c>
      <c r="P18" s="4" t="n">
        <v>46286</v>
      </c>
      <c r="Q18" s="3"/>
    </row>
    <row r="19" customFormat="false" ht="35.05" hidden="false" customHeight="false" outlineLevel="0" collapsed="false">
      <c r="A19" s="3" t="s">
        <v>55</v>
      </c>
      <c r="B19" s="3" t="s">
        <v>51</v>
      </c>
      <c r="C19" s="3" t="s">
        <v>52</v>
      </c>
      <c r="D19" s="4" t="n">
        <v>46290</v>
      </c>
      <c r="E19" s="5" t="n">
        <v>0.583333333333333</v>
      </c>
      <c r="F19" s="5" t="n">
        <v>0.604166666666667</v>
      </c>
      <c r="G19" s="3" t="s">
        <v>20</v>
      </c>
      <c r="H19" s="3" t="s">
        <v>20</v>
      </c>
      <c r="I19" s="3" t="str">
        <f aca="false">IF(E19&gt;=TIME(18,0,0),"Y","")</f>
        <v/>
      </c>
      <c r="J19" s="3" t="str">
        <f aca="false">IF(AND(ISNUMBER(F19),F19&gt;TIME(21,0,0)),"Y","")</f>
        <v/>
      </c>
      <c r="K19" s="3" t="s">
        <v>51</v>
      </c>
      <c r="L19" s="3" t="s">
        <v>19</v>
      </c>
      <c r="M19" s="3" t="str">
        <f aca="false">CHOOSE(WEEKDAY(D19),"일","월","화","수","목","금","토")</f>
        <v>금</v>
      </c>
      <c r="N19" s="6" t="s">
        <v>45</v>
      </c>
      <c r="O19" s="3" t="s">
        <v>23</v>
      </c>
      <c r="P19" s="4" t="n">
        <v>46286</v>
      </c>
      <c r="Q19" s="3"/>
    </row>
    <row r="20" customFormat="false" ht="35.05" hidden="false" customHeight="false" outlineLevel="0" collapsed="false">
      <c r="A20" s="3" t="s">
        <v>56</v>
      </c>
      <c r="B20" s="3" t="s">
        <v>18</v>
      </c>
      <c r="C20" s="3" t="s">
        <v>57</v>
      </c>
      <c r="D20" s="4" t="n">
        <v>46290</v>
      </c>
      <c r="E20" s="5" t="n">
        <v>0.583333333333333</v>
      </c>
      <c r="F20" s="5" t="n">
        <v>0.625</v>
      </c>
      <c r="G20" s="3" t="s">
        <v>20</v>
      </c>
      <c r="H20" s="3" t="s">
        <v>20</v>
      </c>
      <c r="I20" s="3" t="str">
        <f aca="false">IF(E20&gt;=TIME(18,0,0),"Y","")</f>
        <v/>
      </c>
      <c r="J20" s="3" t="str">
        <f aca="false">IF(AND(ISNUMBER(F20),F20&gt;TIME(21,0,0)),"Y","")</f>
        <v/>
      </c>
      <c r="K20" s="3" t="s">
        <v>48</v>
      </c>
      <c r="L20" s="3" t="s">
        <v>47</v>
      </c>
      <c r="M20" s="3" t="str">
        <f aca="false">CHOOSE(WEEKDAY(D20),"일","월","화","수","목","금","토")</f>
        <v>금</v>
      </c>
      <c r="N20" s="6" t="s">
        <v>45</v>
      </c>
      <c r="O20" s="3" t="s">
        <v>23</v>
      </c>
      <c r="P20" s="4" t="n">
        <v>46286</v>
      </c>
      <c r="Q20" s="3" t="s">
        <v>49</v>
      </c>
    </row>
    <row r="21" customFormat="false" ht="35.05" hidden="false" customHeight="false" outlineLevel="0" collapsed="false">
      <c r="A21" s="3" t="s">
        <v>31</v>
      </c>
      <c r="B21" s="3" t="s">
        <v>32</v>
      </c>
      <c r="C21" s="3" t="s">
        <v>28</v>
      </c>
      <c r="D21" s="4" t="n">
        <v>46290</v>
      </c>
      <c r="E21" s="5" t="n">
        <v>0.583333333333333</v>
      </c>
      <c r="F21" s="5" t="n">
        <v>0.708333333333333</v>
      </c>
      <c r="G21" s="3" t="s">
        <v>20</v>
      </c>
      <c r="H21" s="3" t="s">
        <v>20</v>
      </c>
      <c r="I21" s="3" t="str">
        <f aca="false">IF(E21&gt;=TIME(18,0,0),"Y","")</f>
        <v/>
      </c>
      <c r="J21" s="3" t="str">
        <f aca="false">IF(AND(ISNUMBER(F21),F21&gt;TIME(21,0,0)),"Y","")</f>
        <v/>
      </c>
      <c r="K21" s="3" t="s">
        <v>34</v>
      </c>
      <c r="L21" s="3" t="s">
        <v>19</v>
      </c>
      <c r="M21" s="3" t="str">
        <f aca="false">CHOOSE(WEEKDAY(D21),"일","월","화","수","목","금","토")</f>
        <v>금</v>
      </c>
      <c r="N21" s="6" t="s">
        <v>45</v>
      </c>
      <c r="O21" s="3" t="s">
        <v>23</v>
      </c>
      <c r="P21" s="4" t="n">
        <v>46286</v>
      </c>
      <c r="Q21" s="3"/>
    </row>
    <row r="22" customFormat="false" ht="35.05" hidden="false" customHeight="false" outlineLevel="0" collapsed="false">
      <c r="A22" s="3" t="s">
        <v>58</v>
      </c>
      <c r="B22" s="3" t="s">
        <v>32</v>
      </c>
      <c r="C22" s="3" t="s">
        <v>43</v>
      </c>
      <c r="D22" s="4" t="n">
        <v>46290</v>
      </c>
      <c r="E22" s="5" t="n">
        <v>0.583333333333333</v>
      </c>
      <c r="F22" s="5" t="n">
        <v>0.833333333333333</v>
      </c>
      <c r="G22" s="3" t="s">
        <v>20</v>
      </c>
      <c r="H22" s="3" t="s">
        <v>20</v>
      </c>
      <c r="I22" s="3" t="str">
        <f aca="false">IF(E22&gt;=TIME(18,0,0),"Y","")</f>
        <v/>
      </c>
      <c r="J22" s="3" t="str">
        <f aca="false">IF(AND(ISNUMBER(F22),F22&gt;TIME(21,0,0)),"Y","")</f>
        <v/>
      </c>
      <c r="K22" s="3" t="s">
        <v>34</v>
      </c>
      <c r="L22" s="3" t="s">
        <v>44</v>
      </c>
      <c r="M22" s="3" t="str">
        <f aca="false">CHOOSE(WEEKDAY(D22),"일","월","화","수","목","금","토")</f>
        <v>금</v>
      </c>
      <c r="N22" s="6" t="s">
        <v>45</v>
      </c>
      <c r="O22" s="3" t="s">
        <v>23</v>
      </c>
      <c r="P22" s="4" t="n">
        <v>46286</v>
      </c>
      <c r="Q22" s="3"/>
    </row>
    <row r="23" customFormat="false" ht="35.05" hidden="false" customHeight="false" outlineLevel="0" collapsed="false">
      <c r="A23" s="3" t="s">
        <v>50</v>
      </c>
      <c r="B23" s="3" t="s">
        <v>51</v>
      </c>
      <c r="C23" s="3" t="s">
        <v>52</v>
      </c>
      <c r="D23" s="4" t="n">
        <v>46290</v>
      </c>
      <c r="E23" s="5" t="n">
        <v>0.604166666666667</v>
      </c>
      <c r="F23" s="5" t="n">
        <v>0.625</v>
      </c>
      <c r="G23" s="3" t="s">
        <v>20</v>
      </c>
      <c r="H23" s="3" t="s">
        <v>20</v>
      </c>
      <c r="I23" s="3" t="str">
        <f aca="false">IF(E23&gt;=TIME(18,0,0),"Y","")</f>
        <v/>
      </c>
      <c r="J23" s="3" t="str">
        <f aca="false">IF(AND(ISNUMBER(F23),F23&gt;TIME(21,0,0)),"Y","")</f>
        <v/>
      </c>
      <c r="K23" s="3" t="s">
        <v>51</v>
      </c>
      <c r="L23" s="3" t="s">
        <v>19</v>
      </c>
      <c r="M23" s="3" t="str">
        <f aca="false">CHOOSE(WEEKDAY(D23),"일","월","화","수","목","금","토")</f>
        <v>금</v>
      </c>
      <c r="N23" s="6" t="s">
        <v>45</v>
      </c>
      <c r="O23" s="3" t="s">
        <v>23</v>
      </c>
      <c r="P23" s="4" t="n">
        <v>46286</v>
      </c>
      <c r="Q23" s="3"/>
    </row>
    <row r="24" customFormat="false" ht="35.05" hidden="false" customHeight="false" outlineLevel="0" collapsed="false">
      <c r="A24" s="3" t="s">
        <v>50</v>
      </c>
      <c r="B24" s="3" t="s">
        <v>51</v>
      </c>
      <c r="C24" s="3" t="s">
        <v>52</v>
      </c>
      <c r="D24" s="4" t="n">
        <v>46290</v>
      </c>
      <c r="E24" s="5" t="n">
        <v>0.666666666666667</v>
      </c>
      <c r="F24" s="5" t="n">
        <v>0.6875</v>
      </c>
      <c r="G24" s="3" t="s">
        <v>20</v>
      </c>
      <c r="H24" s="3" t="s">
        <v>20</v>
      </c>
      <c r="I24" s="3" t="str">
        <f aca="false">IF(E24&gt;=TIME(18,0,0),"Y","")</f>
        <v/>
      </c>
      <c r="J24" s="3" t="str">
        <f aca="false">IF(AND(ISNUMBER(F24),F24&gt;TIME(21,0,0)),"Y","")</f>
        <v/>
      </c>
      <c r="K24" s="3" t="s">
        <v>51</v>
      </c>
      <c r="L24" s="3" t="s">
        <v>19</v>
      </c>
      <c r="M24" s="3" t="str">
        <f aca="false">CHOOSE(WEEKDAY(D24),"일","월","화","수","목","금","토")</f>
        <v>금</v>
      </c>
      <c r="N24" s="6" t="s">
        <v>45</v>
      </c>
      <c r="O24" s="3" t="s">
        <v>23</v>
      </c>
      <c r="P24" s="4" t="n">
        <v>46286</v>
      </c>
      <c r="Q24" s="3"/>
    </row>
    <row r="25" customFormat="false" ht="46.25" hidden="false" customHeight="false" outlineLevel="0" collapsed="false">
      <c r="A25" s="3" t="s">
        <v>56</v>
      </c>
      <c r="B25" s="3" t="s">
        <v>18</v>
      </c>
      <c r="C25" s="3" t="s">
        <v>59</v>
      </c>
      <c r="D25" s="4" t="n">
        <v>46290</v>
      </c>
      <c r="E25" s="5" t="n">
        <v>0.6875</v>
      </c>
      <c r="F25" s="5" t="n">
        <v>0.729166666666667</v>
      </c>
      <c r="G25" s="3" t="s">
        <v>60</v>
      </c>
      <c r="H25" s="3" t="s">
        <v>61</v>
      </c>
      <c r="I25" s="3" t="str">
        <f aca="false">IF(E25&gt;=TIME(18,0,0),"Y","")</f>
        <v/>
      </c>
      <c r="J25" s="3" t="str">
        <f aca="false">IF(AND(ISNUMBER(F25),F25&gt;TIME(21,0,0)),"Y","")</f>
        <v/>
      </c>
      <c r="K25" s="3" t="s">
        <v>62</v>
      </c>
      <c r="L25" s="3" t="s">
        <v>19</v>
      </c>
      <c r="M25" s="3" t="str">
        <f aca="false">CHOOSE(WEEKDAY(D25),"일","월","화","수","목","금","토")</f>
        <v>금</v>
      </c>
      <c r="N25" s="6" t="s">
        <v>45</v>
      </c>
      <c r="O25" s="3" t="s">
        <v>23</v>
      </c>
      <c r="P25" s="4" t="n">
        <v>46286</v>
      </c>
      <c r="Q25" s="3" t="s">
        <v>63</v>
      </c>
    </row>
    <row r="26" customFormat="false" ht="35.05" hidden="false" customHeight="false" outlineLevel="0" collapsed="false">
      <c r="A26" s="3" t="s">
        <v>64</v>
      </c>
      <c r="B26" s="3" t="s">
        <v>18</v>
      </c>
      <c r="C26" s="3" t="s">
        <v>28</v>
      </c>
      <c r="D26" s="4" t="n">
        <v>46290</v>
      </c>
      <c r="E26" s="5" t="n">
        <v>0.708333333333333</v>
      </c>
      <c r="F26" s="5" t="n">
        <v>0.75</v>
      </c>
      <c r="G26" s="3" t="s">
        <v>20</v>
      </c>
      <c r="H26" s="3" t="s">
        <v>20</v>
      </c>
      <c r="I26" s="3" t="str">
        <f aca="false">IF(E26&gt;=TIME(18,0,0),"Y","")</f>
        <v/>
      </c>
      <c r="J26" s="3" t="str">
        <f aca="false">IF(AND(ISNUMBER(F26),F26&gt;TIME(21,0,0)),"Y","")</f>
        <v/>
      </c>
      <c r="K26" s="3" t="s">
        <v>29</v>
      </c>
      <c r="L26" s="3" t="s">
        <v>19</v>
      </c>
      <c r="M26" s="3" t="str">
        <f aca="false">CHOOSE(WEEKDAY(D26),"일","월","화","수","목","금","토")</f>
        <v>금</v>
      </c>
      <c r="N26" s="6" t="s">
        <v>45</v>
      </c>
      <c r="O26" s="3" t="s">
        <v>23</v>
      </c>
      <c r="P26" s="4" t="n">
        <v>46286</v>
      </c>
      <c r="Q26" s="3"/>
    </row>
    <row r="27" customFormat="false" ht="35.05" hidden="false" customHeight="false" outlineLevel="0" collapsed="false">
      <c r="A27" s="3" t="s">
        <v>65</v>
      </c>
      <c r="B27" s="3" t="s">
        <v>18</v>
      </c>
      <c r="C27" s="3" t="s">
        <v>33</v>
      </c>
      <c r="D27" s="4" t="n">
        <v>46290</v>
      </c>
      <c r="E27" s="5" t="n">
        <v>0.75</v>
      </c>
      <c r="F27" s="5" t="n">
        <v>0.791666666666667</v>
      </c>
      <c r="G27" s="3" t="s">
        <v>20</v>
      </c>
      <c r="H27" s="3" t="s">
        <v>20</v>
      </c>
      <c r="I27" s="3" t="str">
        <f aca="false">IF(E27&gt;=TIME(18,0,0),"Y","")</f>
        <v>Y</v>
      </c>
      <c r="J27" s="3" t="str">
        <f aca="false">IF(AND(ISNUMBER(F27),F27&gt;TIME(21,0,0)),"Y","")</f>
        <v/>
      </c>
      <c r="K27" s="3" t="s">
        <v>66</v>
      </c>
      <c r="L27" s="3" t="s">
        <v>35</v>
      </c>
      <c r="M27" s="3" t="str">
        <f aca="false">CHOOSE(WEEKDAY(D27),"일","월","화","수","목","금","토")</f>
        <v>금</v>
      </c>
      <c r="N27" s="6" t="s">
        <v>45</v>
      </c>
      <c r="O27" s="3" t="s">
        <v>23</v>
      </c>
      <c r="P27" s="4" t="n">
        <v>46286</v>
      </c>
      <c r="Q27" s="3"/>
    </row>
    <row r="28" customFormat="false" ht="35.05" hidden="false" customHeight="false" outlineLevel="0" collapsed="false">
      <c r="A28" s="3" t="s">
        <v>67</v>
      </c>
      <c r="B28" s="3" t="s">
        <v>18</v>
      </c>
      <c r="C28" s="3" t="s">
        <v>28</v>
      </c>
      <c r="D28" s="4" t="n">
        <v>46290</v>
      </c>
      <c r="E28" s="5" t="n">
        <v>0.770833333333333</v>
      </c>
      <c r="F28" s="5" t="n">
        <v>0.791666666666667</v>
      </c>
      <c r="G28" s="3" t="s">
        <v>20</v>
      </c>
      <c r="H28" s="3" t="s">
        <v>20</v>
      </c>
      <c r="I28" s="3" t="str">
        <f aca="false">IF(E28&gt;=TIME(18,0,0),"Y","")</f>
        <v>Y</v>
      </c>
      <c r="J28" s="3" t="str">
        <f aca="false">IF(AND(ISNUMBER(F28),F28&gt;TIME(21,0,0)),"Y","")</f>
        <v/>
      </c>
      <c r="K28" s="3" t="s">
        <v>29</v>
      </c>
      <c r="L28" s="3" t="s">
        <v>19</v>
      </c>
      <c r="M28" s="3" t="str">
        <f aca="false">CHOOSE(WEEKDAY(D28),"일","월","화","수","목","금","토")</f>
        <v>금</v>
      </c>
      <c r="N28" s="6" t="s">
        <v>45</v>
      </c>
      <c r="O28" s="3" t="s">
        <v>23</v>
      </c>
      <c r="P28" s="4" t="n">
        <v>46286</v>
      </c>
      <c r="Q28" s="3"/>
    </row>
    <row r="29" customFormat="false" ht="35.05" hidden="false" customHeight="false" outlineLevel="0" collapsed="false">
      <c r="A29" s="3" t="s">
        <v>68</v>
      </c>
      <c r="B29" s="3" t="s">
        <v>18</v>
      </c>
      <c r="C29" s="3" t="s">
        <v>28</v>
      </c>
      <c r="D29" s="4" t="n">
        <v>46290</v>
      </c>
      <c r="E29" s="5" t="n">
        <v>0.791666666666667</v>
      </c>
      <c r="F29" s="5" t="n">
        <v>0.8125</v>
      </c>
      <c r="G29" s="3" t="s">
        <v>20</v>
      </c>
      <c r="H29" s="3" t="s">
        <v>20</v>
      </c>
      <c r="I29" s="3" t="str">
        <f aca="false">IF(E29&gt;=TIME(18,0,0),"Y","")</f>
        <v>Y</v>
      </c>
      <c r="J29" s="3" t="str">
        <f aca="false">IF(AND(ISNUMBER(F29),F29&gt;TIME(21,0,0)),"Y","")</f>
        <v/>
      </c>
      <c r="K29" s="3" t="s">
        <v>29</v>
      </c>
      <c r="L29" s="3" t="s">
        <v>19</v>
      </c>
      <c r="M29" s="3" t="str">
        <f aca="false">CHOOSE(WEEKDAY(D29),"일","월","화","수","목","금","토")</f>
        <v>금</v>
      </c>
      <c r="N29" s="6" t="s">
        <v>45</v>
      </c>
      <c r="O29" s="3" t="s">
        <v>23</v>
      </c>
      <c r="P29" s="4" t="n">
        <v>46286</v>
      </c>
      <c r="Q29" s="3"/>
    </row>
    <row r="30" customFormat="false" ht="35.05" hidden="false" customHeight="false" outlineLevel="0" collapsed="false">
      <c r="A30" s="3" t="s">
        <v>69</v>
      </c>
      <c r="B30" s="3" t="s">
        <v>18</v>
      </c>
      <c r="C30" s="3" t="s">
        <v>33</v>
      </c>
      <c r="D30" s="4" t="n">
        <v>46290</v>
      </c>
      <c r="E30" s="5" t="n">
        <v>0.791666666666667</v>
      </c>
      <c r="F30" s="5" t="n">
        <v>0.875</v>
      </c>
      <c r="G30" s="3" t="s">
        <v>20</v>
      </c>
      <c r="H30" s="3" t="s">
        <v>20</v>
      </c>
      <c r="I30" s="3" t="str">
        <f aca="false">IF(E30&gt;=TIME(18,0,0),"Y","")</f>
        <v>Y</v>
      </c>
      <c r="J30" s="3" t="str">
        <f aca="false">IF(AND(ISNUMBER(F30),F30&gt;TIME(21,0,0)),"Y","")</f>
        <v/>
      </c>
      <c r="K30" s="3" t="s">
        <v>70</v>
      </c>
      <c r="L30" s="3" t="s">
        <v>35</v>
      </c>
      <c r="M30" s="3" t="str">
        <f aca="false">CHOOSE(WEEKDAY(D30),"일","월","화","수","목","금","토")</f>
        <v>금</v>
      </c>
      <c r="N30" s="6" t="s">
        <v>45</v>
      </c>
      <c r="O30" s="3" t="s">
        <v>23</v>
      </c>
      <c r="P30" s="4" t="n">
        <v>46286</v>
      </c>
      <c r="Q30" s="3"/>
    </row>
    <row r="31" customFormat="false" ht="35.05" hidden="false" customHeight="false" outlineLevel="0" collapsed="false">
      <c r="A31" s="3" t="s">
        <v>71</v>
      </c>
      <c r="B31" s="3" t="s">
        <v>18</v>
      </c>
      <c r="C31" s="3" t="s">
        <v>28</v>
      </c>
      <c r="D31" s="4" t="n">
        <v>46290</v>
      </c>
      <c r="E31" s="5" t="n">
        <v>0.833333333333333</v>
      </c>
      <c r="F31" s="5" t="n">
        <v>0.875</v>
      </c>
      <c r="G31" s="3" t="s">
        <v>20</v>
      </c>
      <c r="H31" s="3" t="s">
        <v>20</v>
      </c>
      <c r="I31" s="3" t="str">
        <f aca="false">IF(E31&gt;=TIME(18,0,0),"Y","")</f>
        <v>Y</v>
      </c>
      <c r="J31" s="3" t="str">
        <f aca="false">IF(AND(ISNUMBER(F31),F31&gt;TIME(21,0,0)),"Y","")</f>
        <v/>
      </c>
      <c r="K31" s="3" t="s">
        <v>29</v>
      </c>
      <c r="L31" s="3" t="s">
        <v>19</v>
      </c>
      <c r="M31" s="3" t="str">
        <f aca="false">CHOOSE(WEEKDAY(D31),"일","월","화","수","목","금","토")</f>
        <v>금</v>
      </c>
      <c r="N31" s="6" t="s">
        <v>45</v>
      </c>
      <c r="O31" s="3" t="s">
        <v>23</v>
      </c>
      <c r="P31" s="4" t="n">
        <v>46286</v>
      </c>
      <c r="Q31" s="3"/>
    </row>
    <row r="32" customFormat="false" ht="46.25" hidden="false" customHeight="false" outlineLevel="0" collapsed="false">
      <c r="A32" s="3" t="s">
        <v>56</v>
      </c>
      <c r="B32" s="3" t="s">
        <v>18</v>
      </c>
      <c r="C32" s="3" t="s">
        <v>59</v>
      </c>
      <c r="D32" s="4" t="n">
        <v>46291</v>
      </c>
      <c r="E32" s="5" t="n">
        <v>0.416666666666667</v>
      </c>
      <c r="F32" s="5" t="n">
        <v>0.458333333333333</v>
      </c>
      <c r="G32" s="3" t="s">
        <v>60</v>
      </c>
      <c r="H32" s="3" t="s">
        <v>61</v>
      </c>
      <c r="I32" s="3" t="str">
        <f aca="false">IF(E32&gt;=TIME(18,0,0),"Y","")</f>
        <v/>
      </c>
      <c r="J32" s="3" t="str">
        <f aca="false">IF(AND(ISNUMBER(F32),F32&gt;TIME(21,0,0)),"Y","")</f>
        <v/>
      </c>
      <c r="K32" s="3" t="s">
        <v>62</v>
      </c>
      <c r="L32" s="3" t="s">
        <v>19</v>
      </c>
      <c r="M32" s="3" t="str">
        <f aca="false">CHOOSE(WEEKDAY(D32),"일","월","화","수","목","금","토")</f>
        <v>토</v>
      </c>
      <c r="N32" s="6" t="s">
        <v>72</v>
      </c>
      <c r="O32" s="3" t="s">
        <v>23</v>
      </c>
      <c r="P32" s="4" t="n">
        <v>46286</v>
      </c>
      <c r="Q32" s="3" t="s">
        <v>63</v>
      </c>
    </row>
    <row r="33" customFormat="false" ht="35.05" hidden="false" customHeight="false" outlineLevel="0" collapsed="false">
      <c r="A33" s="3" t="s">
        <v>55</v>
      </c>
      <c r="B33" s="3" t="s">
        <v>51</v>
      </c>
      <c r="C33" s="3" t="s">
        <v>52</v>
      </c>
      <c r="D33" s="4" t="n">
        <v>46291</v>
      </c>
      <c r="E33" s="5" t="n">
        <v>0.458333333333333</v>
      </c>
      <c r="F33" s="5" t="n">
        <v>0.479166666666667</v>
      </c>
      <c r="G33" s="3" t="s">
        <v>20</v>
      </c>
      <c r="H33" s="3" t="s">
        <v>20</v>
      </c>
      <c r="I33" s="3" t="str">
        <f aca="false">IF(E33&gt;=TIME(18,0,0),"Y","")</f>
        <v/>
      </c>
      <c r="J33" s="3" t="str">
        <f aca="false">IF(AND(ISNUMBER(F33),F33&gt;TIME(21,0,0)),"Y","")</f>
        <v/>
      </c>
      <c r="K33" s="3" t="s">
        <v>51</v>
      </c>
      <c r="L33" s="3" t="s">
        <v>19</v>
      </c>
      <c r="M33" s="3" t="str">
        <f aca="false">CHOOSE(WEEKDAY(D33),"일","월","화","수","목","금","토")</f>
        <v>토</v>
      </c>
      <c r="N33" s="6" t="s">
        <v>72</v>
      </c>
      <c r="O33" s="3" t="s">
        <v>23</v>
      </c>
      <c r="P33" s="4" t="n">
        <v>46286</v>
      </c>
      <c r="Q33" s="3"/>
    </row>
    <row r="34" customFormat="false" ht="35.05" hidden="false" customHeight="false" outlineLevel="0" collapsed="false">
      <c r="A34" s="3" t="s">
        <v>73</v>
      </c>
      <c r="B34" s="3" t="s">
        <v>18</v>
      </c>
      <c r="C34" s="3" t="s">
        <v>33</v>
      </c>
      <c r="D34" s="4" t="n">
        <v>46291</v>
      </c>
      <c r="E34" s="5" t="n">
        <v>0.458333333333333</v>
      </c>
      <c r="F34" s="5" t="n">
        <v>0.5</v>
      </c>
      <c r="G34" s="3" t="s">
        <v>20</v>
      </c>
      <c r="H34" s="3" t="s">
        <v>20</v>
      </c>
      <c r="I34" s="3" t="str">
        <f aca="false">IF(E34&gt;=TIME(18,0,0),"Y","")</f>
        <v/>
      </c>
      <c r="J34" s="3" t="str">
        <f aca="false">IF(AND(ISNUMBER(F34),F34&gt;TIME(21,0,0)),"Y","")</f>
        <v/>
      </c>
      <c r="K34" s="3" t="s">
        <v>29</v>
      </c>
      <c r="L34" s="3" t="s">
        <v>35</v>
      </c>
      <c r="M34" s="3" t="str">
        <f aca="false">CHOOSE(WEEKDAY(D34),"일","월","화","수","목","금","토")</f>
        <v>토</v>
      </c>
      <c r="N34" s="6" t="s">
        <v>72</v>
      </c>
      <c r="O34" s="3" t="s">
        <v>23</v>
      </c>
      <c r="P34" s="4" t="n">
        <v>46286</v>
      </c>
      <c r="Q34" s="3"/>
    </row>
    <row r="35" customFormat="false" ht="35.05" hidden="false" customHeight="false" outlineLevel="0" collapsed="false">
      <c r="A35" s="3" t="s">
        <v>42</v>
      </c>
      <c r="B35" s="3" t="s">
        <v>32</v>
      </c>
      <c r="C35" s="3" t="s">
        <v>43</v>
      </c>
      <c r="D35" s="4" t="n">
        <v>46291</v>
      </c>
      <c r="E35" s="5" t="n">
        <v>0.458333333333333</v>
      </c>
      <c r="F35" s="5" t="n">
        <v>0.5</v>
      </c>
      <c r="G35" s="3" t="s">
        <v>20</v>
      </c>
      <c r="H35" s="3" t="s">
        <v>20</v>
      </c>
      <c r="I35" s="3" t="str">
        <f aca="false">IF(E35&gt;=TIME(18,0,0),"Y","")</f>
        <v/>
      </c>
      <c r="J35" s="3" t="str">
        <f aca="false">IF(AND(ISNUMBER(F35),F35&gt;TIME(21,0,0)),"Y","")</f>
        <v/>
      </c>
      <c r="K35" s="3" t="s">
        <v>34</v>
      </c>
      <c r="L35" s="3" t="s">
        <v>44</v>
      </c>
      <c r="M35" s="3" t="str">
        <f aca="false">CHOOSE(WEEKDAY(D35),"일","월","화","수","목","금","토")</f>
        <v>토</v>
      </c>
      <c r="N35" s="6" t="s">
        <v>72</v>
      </c>
      <c r="O35" s="3" t="s">
        <v>23</v>
      </c>
      <c r="P35" s="4" t="n">
        <v>46286</v>
      </c>
      <c r="Q35" s="3"/>
    </row>
    <row r="36" customFormat="false" ht="35.05" hidden="false" customHeight="false" outlineLevel="0" collapsed="false">
      <c r="A36" s="3" t="s">
        <v>50</v>
      </c>
      <c r="B36" s="3" t="s">
        <v>51</v>
      </c>
      <c r="C36" s="3" t="s">
        <v>52</v>
      </c>
      <c r="D36" s="4" t="n">
        <v>46291</v>
      </c>
      <c r="E36" s="5" t="n">
        <v>0.479166666666667</v>
      </c>
      <c r="F36" s="5" t="n">
        <v>0.5</v>
      </c>
      <c r="G36" s="3" t="s">
        <v>20</v>
      </c>
      <c r="H36" s="3" t="s">
        <v>20</v>
      </c>
      <c r="I36" s="3" t="str">
        <f aca="false">IF(E36&gt;=TIME(18,0,0),"Y","")</f>
        <v/>
      </c>
      <c r="J36" s="3" t="str">
        <f aca="false">IF(AND(ISNUMBER(F36),F36&gt;TIME(21,0,0)),"Y","")</f>
        <v/>
      </c>
      <c r="K36" s="3" t="s">
        <v>51</v>
      </c>
      <c r="L36" s="3" t="s">
        <v>19</v>
      </c>
      <c r="M36" s="3" t="str">
        <f aca="false">CHOOSE(WEEKDAY(D36),"일","월","화","수","목","금","토")</f>
        <v>토</v>
      </c>
      <c r="N36" s="6" t="s">
        <v>72</v>
      </c>
      <c r="O36" s="3" t="s">
        <v>23</v>
      </c>
      <c r="P36" s="4" t="n">
        <v>46286</v>
      </c>
      <c r="Q36" s="3"/>
    </row>
    <row r="37" customFormat="false" ht="46.25" hidden="false" customHeight="false" outlineLevel="0" collapsed="false">
      <c r="A37" s="3" t="s">
        <v>74</v>
      </c>
      <c r="B37" s="3" t="s">
        <v>18</v>
      </c>
      <c r="C37" s="3" t="s">
        <v>59</v>
      </c>
      <c r="D37" s="4" t="n">
        <v>46291</v>
      </c>
      <c r="E37" s="5" t="n">
        <v>0.479166666666667</v>
      </c>
      <c r="F37" s="5" t="n">
        <v>0.520833333333333</v>
      </c>
      <c r="G37" s="3" t="s">
        <v>60</v>
      </c>
      <c r="H37" s="3" t="s">
        <v>61</v>
      </c>
      <c r="I37" s="3" t="str">
        <f aca="false">IF(E37&gt;=TIME(18,0,0),"Y","")</f>
        <v/>
      </c>
      <c r="J37" s="3" t="str">
        <f aca="false">IF(AND(ISNUMBER(F37),F37&gt;TIME(21,0,0)),"Y","")</f>
        <v/>
      </c>
      <c r="K37" s="3" t="s">
        <v>75</v>
      </c>
      <c r="L37" s="3" t="s">
        <v>19</v>
      </c>
      <c r="M37" s="3" t="str">
        <f aca="false">CHOOSE(WEEKDAY(D37),"일","월","화","수","목","금","토")</f>
        <v>토</v>
      </c>
      <c r="N37" s="6" t="s">
        <v>72</v>
      </c>
      <c r="O37" s="3" t="s">
        <v>23</v>
      </c>
      <c r="P37" s="4" t="n">
        <v>46286</v>
      </c>
      <c r="Q37" s="3" t="s">
        <v>63</v>
      </c>
    </row>
    <row r="38" customFormat="false" ht="35.05" hidden="false" customHeight="false" outlineLevel="0" collapsed="false">
      <c r="A38" s="3" t="s">
        <v>76</v>
      </c>
      <c r="B38" s="3" t="s">
        <v>18</v>
      </c>
      <c r="C38" s="3" t="s">
        <v>33</v>
      </c>
      <c r="D38" s="4" t="n">
        <v>46291</v>
      </c>
      <c r="E38" s="5" t="n">
        <v>0.5</v>
      </c>
      <c r="F38" s="5" t="n">
        <v>0.520833333333333</v>
      </c>
      <c r="G38" s="3" t="s">
        <v>20</v>
      </c>
      <c r="H38" s="3" t="s">
        <v>20</v>
      </c>
      <c r="I38" s="3" t="str">
        <f aca="false">IF(E38&gt;=TIME(18,0,0),"Y","")</f>
        <v/>
      </c>
      <c r="J38" s="3" t="str">
        <f aca="false">IF(AND(ISNUMBER(F38),F38&gt;TIME(21,0,0)),"Y","")</f>
        <v/>
      </c>
      <c r="K38" s="3" t="s">
        <v>75</v>
      </c>
      <c r="L38" s="3" t="s">
        <v>35</v>
      </c>
      <c r="M38" s="3" t="str">
        <f aca="false">CHOOSE(WEEKDAY(D38),"일","월","화","수","목","금","토")</f>
        <v>토</v>
      </c>
      <c r="N38" s="6" t="s">
        <v>72</v>
      </c>
      <c r="O38" s="3" t="s">
        <v>23</v>
      </c>
      <c r="P38" s="4" t="n">
        <v>46286</v>
      </c>
      <c r="Q38" s="3"/>
    </row>
    <row r="39" customFormat="false" ht="35.05" hidden="false" customHeight="false" outlineLevel="0" collapsed="false">
      <c r="A39" s="3" t="s">
        <v>77</v>
      </c>
      <c r="B39" s="3" t="s">
        <v>18</v>
      </c>
      <c r="C39" s="3" t="s">
        <v>28</v>
      </c>
      <c r="D39" s="4" t="n">
        <v>46291</v>
      </c>
      <c r="E39" s="5" t="n">
        <v>0.5</v>
      </c>
      <c r="F39" s="5" t="n">
        <v>0.541666666666667</v>
      </c>
      <c r="G39" s="3" t="s">
        <v>20</v>
      </c>
      <c r="H39" s="3" t="s">
        <v>20</v>
      </c>
      <c r="I39" s="3" t="str">
        <f aca="false">IF(E39&gt;=TIME(18,0,0),"Y","")</f>
        <v/>
      </c>
      <c r="J39" s="3" t="str">
        <f aca="false">IF(AND(ISNUMBER(F39),F39&gt;TIME(21,0,0)),"Y","")</f>
        <v/>
      </c>
      <c r="K39" s="3" t="s">
        <v>29</v>
      </c>
      <c r="L39" s="3" t="s">
        <v>19</v>
      </c>
      <c r="M39" s="3" t="str">
        <f aca="false">CHOOSE(WEEKDAY(D39),"일","월","화","수","목","금","토")</f>
        <v>토</v>
      </c>
      <c r="N39" s="6" t="s">
        <v>72</v>
      </c>
      <c r="O39" s="3" t="s">
        <v>23</v>
      </c>
      <c r="P39" s="4" t="n">
        <v>46286</v>
      </c>
      <c r="Q39" s="3"/>
    </row>
    <row r="40" customFormat="false" ht="35.05" hidden="false" customHeight="false" outlineLevel="0" collapsed="false">
      <c r="A40" s="7" t="s">
        <v>78</v>
      </c>
      <c r="B40" s="3" t="s">
        <v>18</v>
      </c>
      <c r="C40" s="3" t="s">
        <v>33</v>
      </c>
      <c r="D40" s="4" t="n">
        <v>46291</v>
      </c>
      <c r="E40" s="5" t="n">
        <v>0.520833333333333</v>
      </c>
      <c r="F40" s="5" t="n">
        <v>0.5625</v>
      </c>
      <c r="G40" s="3" t="s">
        <v>20</v>
      </c>
      <c r="H40" s="3" t="s">
        <v>20</v>
      </c>
      <c r="I40" s="3" t="str">
        <f aca="false">IF(E40&gt;=TIME(18,0,0),"Y","")</f>
        <v/>
      </c>
      <c r="J40" s="3" t="str">
        <f aca="false">IF(AND(ISNUMBER(F40),F40&gt;TIME(21,0,0)),"Y","")</f>
        <v/>
      </c>
      <c r="K40" s="3" t="s">
        <v>29</v>
      </c>
      <c r="L40" s="3" t="s">
        <v>35</v>
      </c>
      <c r="M40" s="3" t="str">
        <f aca="false">CHOOSE(WEEKDAY(D40),"일","월","화","수","목","금","토")</f>
        <v>토</v>
      </c>
      <c r="N40" s="6" t="s">
        <v>72</v>
      </c>
      <c r="O40" s="3" t="s">
        <v>23</v>
      </c>
      <c r="P40" s="4" t="n">
        <v>46286</v>
      </c>
      <c r="Q40" s="3"/>
    </row>
    <row r="41" customFormat="false" ht="35.05" hidden="false" customHeight="false" outlineLevel="0" collapsed="false">
      <c r="A41" s="3" t="s">
        <v>79</v>
      </c>
      <c r="B41" s="3" t="s">
        <v>18</v>
      </c>
      <c r="C41" s="3" t="s">
        <v>28</v>
      </c>
      <c r="D41" s="4" t="n">
        <v>46291</v>
      </c>
      <c r="E41" s="5" t="n">
        <v>0.541666666666667</v>
      </c>
      <c r="F41" s="5" t="n">
        <v>0.5625</v>
      </c>
      <c r="G41" s="3" t="s">
        <v>20</v>
      </c>
      <c r="H41" s="3" t="s">
        <v>20</v>
      </c>
      <c r="I41" s="3" t="str">
        <f aca="false">IF(E41&gt;=TIME(18,0,0),"Y","")</f>
        <v/>
      </c>
      <c r="J41" s="3" t="str">
        <f aca="false">IF(AND(ISNUMBER(F41),F41&gt;TIME(21,0,0)),"Y","")</f>
        <v/>
      </c>
      <c r="K41" s="3" t="s">
        <v>29</v>
      </c>
      <c r="L41" s="3" t="s">
        <v>19</v>
      </c>
      <c r="M41" s="3" t="str">
        <f aca="false">CHOOSE(WEEKDAY(D41),"일","월","화","수","목","금","토")</f>
        <v>토</v>
      </c>
      <c r="N41" s="6" t="s">
        <v>72</v>
      </c>
      <c r="O41" s="3" t="s">
        <v>23</v>
      </c>
      <c r="P41" s="4" t="n">
        <v>46286</v>
      </c>
      <c r="Q41" s="3"/>
    </row>
    <row r="42" customFormat="false" ht="35.05" hidden="false" customHeight="false" outlineLevel="0" collapsed="false">
      <c r="A42" s="3" t="s">
        <v>17</v>
      </c>
      <c r="B42" s="3" t="s">
        <v>18</v>
      </c>
      <c r="C42" s="3" t="s">
        <v>19</v>
      </c>
      <c r="D42" s="4" t="n">
        <v>46291</v>
      </c>
      <c r="E42" s="5" t="n">
        <v>0.541666666666667</v>
      </c>
      <c r="F42" s="5" t="n">
        <v>0.583333333333333</v>
      </c>
      <c r="G42" s="3" t="s">
        <v>20</v>
      </c>
      <c r="H42" s="3" t="s">
        <v>20</v>
      </c>
      <c r="I42" s="3" t="str">
        <f aca="false">IF(E42&gt;=TIME(18,0,0),"Y","")</f>
        <v/>
      </c>
      <c r="J42" s="3" t="str">
        <f aca="false">IF(AND(ISNUMBER(F42),F42&gt;TIME(21,0,0)),"Y","")</f>
        <v/>
      </c>
      <c r="K42" s="3" t="s">
        <v>21</v>
      </c>
      <c r="L42" s="3" t="s">
        <v>19</v>
      </c>
      <c r="M42" s="3" t="str">
        <f aca="false">CHOOSE(WEEKDAY(D42),"일","월","화","수","목","금","토")</f>
        <v>토</v>
      </c>
      <c r="N42" s="6" t="s">
        <v>72</v>
      </c>
      <c r="O42" s="3" t="s">
        <v>23</v>
      </c>
      <c r="P42" s="4" t="n">
        <v>46286</v>
      </c>
      <c r="Q42" s="3"/>
    </row>
    <row r="43" customFormat="false" ht="46.25" hidden="false" customHeight="false" outlineLevel="0" collapsed="false">
      <c r="A43" s="3" t="s">
        <v>80</v>
      </c>
      <c r="B43" s="3" t="s">
        <v>18</v>
      </c>
      <c r="C43" s="3" t="s">
        <v>59</v>
      </c>
      <c r="D43" s="4" t="n">
        <v>46291</v>
      </c>
      <c r="E43" s="5" t="n">
        <v>0.541666666666667</v>
      </c>
      <c r="F43" s="5" t="n">
        <v>0.583333333333333</v>
      </c>
      <c r="G43" s="3" t="s">
        <v>60</v>
      </c>
      <c r="H43" s="3" t="s">
        <v>61</v>
      </c>
      <c r="I43" s="3" t="str">
        <f aca="false">IF(E43&gt;=TIME(18,0,0),"Y","")</f>
        <v/>
      </c>
      <c r="J43" s="3" t="str">
        <f aca="false">IF(AND(ISNUMBER(F43),F43&gt;TIME(21,0,0)),"Y","")</f>
        <v/>
      </c>
      <c r="K43" s="3" t="s">
        <v>62</v>
      </c>
      <c r="L43" s="3" t="s">
        <v>19</v>
      </c>
      <c r="M43" s="3" t="str">
        <f aca="false">CHOOSE(WEEKDAY(D43),"일","월","화","수","목","금","토")</f>
        <v>토</v>
      </c>
      <c r="N43" s="6" t="s">
        <v>72</v>
      </c>
      <c r="O43" s="3" t="s">
        <v>23</v>
      </c>
      <c r="P43" s="4" t="n">
        <v>46286</v>
      </c>
      <c r="Q43" s="3" t="s">
        <v>63</v>
      </c>
    </row>
    <row r="44" customFormat="false" ht="35.05" hidden="false" customHeight="false" outlineLevel="0" collapsed="false">
      <c r="A44" s="3" t="s">
        <v>81</v>
      </c>
      <c r="B44" s="3" t="s">
        <v>18</v>
      </c>
      <c r="C44" s="3" t="s">
        <v>54</v>
      </c>
      <c r="D44" s="4" t="n">
        <v>46291</v>
      </c>
      <c r="E44" s="5" t="n">
        <v>0.541666666666667</v>
      </c>
      <c r="F44" s="5" t="n">
        <v>0.583333333333333</v>
      </c>
      <c r="G44" s="3" t="s">
        <v>20</v>
      </c>
      <c r="H44" s="3" t="s">
        <v>20</v>
      </c>
      <c r="I44" s="3" t="str">
        <f aca="false">IF(E44&gt;=TIME(18,0,0),"Y","")</f>
        <v/>
      </c>
      <c r="J44" s="3" t="str">
        <f aca="false">IF(AND(ISNUMBER(F44),F44&gt;TIME(21,0,0)),"Y","")</f>
        <v/>
      </c>
      <c r="K44" s="3" t="s">
        <v>66</v>
      </c>
      <c r="L44" s="3" t="s">
        <v>26</v>
      </c>
      <c r="M44" s="3" t="str">
        <f aca="false">CHOOSE(WEEKDAY(D44),"일","월","화","수","목","금","토")</f>
        <v>토</v>
      </c>
      <c r="N44" s="6" t="s">
        <v>72</v>
      </c>
      <c r="O44" s="3" t="s">
        <v>23</v>
      </c>
      <c r="P44" s="4" t="n">
        <v>46286</v>
      </c>
      <c r="Q44" s="3"/>
    </row>
    <row r="45" customFormat="false" ht="35.05" hidden="false" customHeight="false" outlineLevel="0" collapsed="false">
      <c r="A45" s="3" t="s">
        <v>55</v>
      </c>
      <c r="B45" s="3" t="s">
        <v>51</v>
      </c>
      <c r="C45" s="3" t="s">
        <v>52</v>
      </c>
      <c r="D45" s="4" t="n">
        <v>46291</v>
      </c>
      <c r="E45" s="5" t="n">
        <v>0.5625</v>
      </c>
      <c r="F45" s="5" t="n">
        <v>0.583333333333333</v>
      </c>
      <c r="G45" s="3" t="s">
        <v>20</v>
      </c>
      <c r="H45" s="3" t="s">
        <v>20</v>
      </c>
      <c r="I45" s="3" t="str">
        <f aca="false">IF(E45&gt;=TIME(18,0,0),"Y","")</f>
        <v/>
      </c>
      <c r="J45" s="3" t="str">
        <f aca="false">IF(AND(ISNUMBER(F45),F45&gt;TIME(21,0,0)),"Y","")</f>
        <v/>
      </c>
      <c r="K45" s="3" t="s">
        <v>51</v>
      </c>
      <c r="L45" s="3" t="s">
        <v>19</v>
      </c>
      <c r="M45" s="3" t="str">
        <f aca="false">CHOOSE(WEEKDAY(D45),"일","월","화","수","목","금","토")</f>
        <v>토</v>
      </c>
      <c r="N45" s="6" t="s">
        <v>72</v>
      </c>
      <c r="O45" s="3" t="s">
        <v>23</v>
      </c>
      <c r="P45" s="4" t="n">
        <v>46286</v>
      </c>
      <c r="Q45" s="3"/>
    </row>
    <row r="46" customFormat="false" ht="35.05" hidden="false" customHeight="false" outlineLevel="0" collapsed="false">
      <c r="A46" s="3" t="s">
        <v>50</v>
      </c>
      <c r="B46" s="3" t="s">
        <v>51</v>
      </c>
      <c r="C46" s="3" t="s">
        <v>52</v>
      </c>
      <c r="D46" s="4" t="n">
        <v>46291</v>
      </c>
      <c r="E46" s="5" t="n">
        <v>0.583333333333333</v>
      </c>
      <c r="F46" s="5" t="n">
        <v>0.604166666666667</v>
      </c>
      <c r="G46" s="3" t="s">
        <v>20</v>
      </c>
      <c r="H46" s="3" t="s">
        <v>20</v>
      </c>
      <c r="I46" s="3" t="str">
        <f aca="false">IF(E46&gt;=TIME(18,0,0),"Y","")</f>
        <v/>
      </c>
      <c r="J46" s="3" t="str">
        <f aca="false">IF(AND(ISNUMBER(F46),F46&gt;TIME(21,0,0)),"Y","")</f>
        <v/>
      </c>
      <c r="K46" s="3" t="s">
        <v>51</v>
      </c>
      <c r="L46" s="3" t="s">
        <v>19</v>
      </c>
      <c r="M46" s="3" t="str">
        <f aca="false">CHOOSE(WEEKDAY(D46),"일","월","화","수","목","금","토")</f>
        <v>토</v>
      </c>
      <c r="N46" s="6" t="s">
        <v>72</v>
      </c>
      <c r="O46" s="3" t="s">
        <v>23</v>
      </c>
      <c r="P46" s="4" t="n">
        <v>46286</v>
      </c>
      <c r="Q46" s="3"/>
    </row>
    <row r="47" customFormat="false" ht="35.05" hidden="false" customHeight="false" outlineLevel="0" collapsed="false">
      <c r="A47" s="7" t="s">
        <v>82</v>
      </c>
      <c r="B47" s="3" t="s">
        <v>32</v>
      </c>
      <c r="C47" s="3" t="s">
        <v>43</v>
      </c>
      <c r="D47" s="4" t="n">
        <v>46291</v>
      </c>
      <c r="E47" s="5" t="n">
        <v>0.583333333333333</v>
      </c>
      <c r="F47" s="5" t="n">
        <v>0.604166666666667</v>
      </c>
      <c r="G47" s="3" t="s">
        <v>20</v>
      </c>
      <c r="H47" s="3" t="s">
        <v>20</v>
      </c>
      <c r="I47" s="3" t="str">
        <f aca="false">IF(E47&gt;=TIME(18,0,0),"Y","")</f>
        <v/>
      </c>
      <c r="J47" s="3" t="str">
        <f aca="false">IF(AND(ISNUMBER(F47),F47&gt;TIME(21,0,0)),"Y","")</f>
        <v/>
      </c>
      <c r="K47" s="3" t="s">
        <v>34</v>
      </c>
      <c r="L47" s="3" t="s">
        <v>44</v>
      </c>
      <c r="M47" s="3" t="str">
        <f aca="false">CHOOSE(WEEKDAY(D47),"일","월","화","수","목","금","토")</f>
        <v>토</v>
      </c>
      <c r="N47" s="6" t="s">
        <v>72</v>
      </c>
      <c r="O47" s="3" t="s">
        <v>23</v>
      </c>
      <c r="P47" s="4" t="n">
        <v>46286</v>
      </c>
      <c r="Q47" s="3"/>
    </row>
    <row r="48" customFormat="false" ht="35.05" hidden="false" customHeight="false" outlineLevel="0" collapsed="false">
      <c r="A48" s="3" t="s">
        <v>83</v>
      </c>
      <c r="B48" s="3" t="s">
        <v>18</v>
      </c>
      <c r="C48" s="3" t="s">
        <v>28</v>
      </c>
      <c r="D48" s="4" t="n">
        <v>46291</v>
      </c>
      <c r="E48" s="5" t="n">
        <v>0.583333333333333</v>
      </c>
      <c r="F48" s="5" t="n">
        <v>0.625</v>
      </c>
      <c r="G48" s="3" t="s">
        <v>20</v>
      </c>
      <c r="H48" s="3" t="s">
        <v>20</v>
      </c>
      <c r="I48" s="3" t="str">
        <f aca="false">IF(E48&gt;=TIME(18,0,0),"Y","")</f>
        <v/>
      </c>
      <c r="J48" s="3" t="str">
        <f aca="false">IF(AND(ISNUMBER(F48),F48&gt;TIME(21,0,0)),"Y","")</f>
        <v/>
      </c>
      <c r="K48" s="3" t="s">
        <v>40</v>
      </c>
      <c r="L48" s="3" t="s">
        <v>19</v>
      </c>
      <c r="M48" s="3" t="str">
        <f aca="false">CHOOSE(WEEKDAY(D48),"일","월","화","수","목","금","토")</f>
        <v>토</v>
      </c>
      <c r="N48" s="6" t="s">
        <v>72</v>
      </c>
      <c r="O48" s="3" t="s">
        <v>23</v>
      </c>
      <c r="P48" s="4" t="n">
        <v>46286</v>
      </c>
      <c r="Q48" s="3"/>
    </row>
    <row r="49" customFormat="false" ht="35.05" hidden="false" customHeight="false" outlineLevel="0" collapsed="false">
      <c r="A49" s="3" t="s">
        <v>56</v>
      </c>
      <c r="B49" s="3" t="s">
        <v>18</v>
      </c>
      <c r="C49" s="3" t="s">
        <v>57</v>
      </c>
      <c r="D49" s="4" t="n">
        <v>46291</v>
      </c>
      <c r="E49" s="5" t="n">
        <v>0.583333333333333</v>
      </c>
      <c r="F49" s="5" t="n">
        <v>0.625</v>
      </c>
      <c r="G49" s="3" t="s">
        <v>20</v>
      </c>
      <c r="H49" s="3" t="s">
        <v>20</v>
      </c>
      <c r="I49" s="3" t="str">
        <f aca="false">IF(E49&gt;=TIME(18,0,0),"Y","")</f>
        <v/>
      </c>
      <c r="J49" s="3" t="str">
        <f aca="false">IF(AND(ISNUMBER(F49),F49&gt;TIME(21,0,0)),"Y","")</f>
        <v/>
      </c>
      <c r="K49" s="3" t="s">
        <v>48</v>
      </c>
      <c r="L49" s="3" t="s">
        <v>47</v>
      </c>
      <c r="M49" s="3" t="str">
        <f aca="false">CHOOSE(WEEKDAY(D49),"일","월","화","수","목","금","토")</f>
        <v>토</v>
      </c>
      <c r="N49" s="6" t="s">
        <v>72</v>
      </c>
      <c r="O49" s="3" t="s">
        <v>23</v>
      </c>
      <c r="P49" s="4" t="n">
        <v>46286</v>
      </c>
      <c r="Q49" s="3" t="s">
        <v>49</v>
      </c>
    </row>
    <row r="50" customFormat="false" ht="35.05" hidden="false" customHeight="false" outlineLevel="0" collapsed="false">
      <c r="A50" s="3" t="s">
        <v>84</v>
      </c>
      <c r="B50" s="3" t="s">
        <v>85</v>
      </c>
      <c r="C50" s="3" t="s">
        <v>33</v>
      </c>
      <c r="D50" s="4" t="n">
        <v>46291</v>
      </c>
      <c r="E50" s="5" t="n">
        <v>0.583333333333333</v>
      </c>
      <c r="F50" s="5" t="n">
        <v>0.666666666666667</v>
      </c>
      <c r="G50" s="3" t="s">
        <v>20</v>
      </c>
      <c r="H50" s="3" t="s">
        <v>20</v>
      </c>
      <c r="I50" s="3" t="str">
        <f aca="false">IF(E50&gt;=TIME(18,0,0),"Y","")</f>
        <v/>
      </c>
      <c r="J50" s="3" t="str">
        <f aca="false">IF(AND(ISNUMBER(F50),F50&gt;TIME(21,0,0)),"Y","")</f>
        <v/>
      </c>
      <c r="K50" s="3" t="s">
        <v>86</v>
      </c>
      <c r="L50" s="3" t="s">
        <v>35</v>
      </c>
      <c r="M50" s="3" t="str">
        <f aca="false">CHOOSE(WEEKDAY(D50),"일","월","화","수","목","금","토")</f>
        <v>토</v>
      </c>
      <c r="N50" s="6" t="s">
        <v>72</v>
      </c>
      <c r="O50" s="3" t="s">
        <v>23</v>
      </c>
      <c r="P50" s="4" t="n">
        <v>46286</v>
      </c>
      <c r="Q50" s="3"/>
    </row>
    <row r="51" customFormat="false" ht="35.05" hidden="false" customHeight="false" outlineLevel="0" collapsed="false">
      <c r="A51" s="3" t="s">
        <v>24</v>
      </c>
      <c r="B51" s="3" t="s">
        <v>18</v>
      </c>
      <c r="C51" s="3" t="s">
        <v>87</v>
      </c>
      <c r="D51" s="4" t="n">
        <v>46291</v>
      </c>
      <c r="E51" s="5" t="n">
        <v>0.583333333333333</v>
      </c>
      <c r="F51" s="5" t="n">
        <v>0.666666666666667</v>
      </c>
      <c r="G51" s="3" t="s">
        <v>20</v>
      </c>
      <c r="H51" s="3" t="s">
        <v>20</v>
      </c>
      <c r="I51" s="3" t="str">
        <f aca="false">IF(E51&gt;=TIME(18,0,0),"Y","")</f>
        <v/>
      </c>
      <c r="J51" s="3" t="str">
        <f aca="false">IF(AND(ISNUMBER(F51),F51&gt;TIME(21,0,0)),"Y","")</f>
        <v/>
      </c>
      <c r="K51" s="3" t="s">
        <v>21</v>
      </c>
      <c r="L51" s="3" t="s">
        <v>26</v>
      </c>
      <c r="M51" s="3" t="str">
        <f aca="false">CHOOSE(WEEKDAY(D51),"일","월","화","수","목","금","토")</f>
        <v>토</v>
      </c>
      <c r="N51" s="6" t="s">
        <v>72</v>
      </c>
      <c r="O51" s="3" t="s">
        <v>23</v>
      </c>
      <c r="P51" s="4" t="n">
        <v>46286</v>
      </c>
      <c r="Q51" s="3"/>
    </row>
    <row r="52" customFormat="false" ht="46.25" hidden="false" customHeight="false" outlineLevel="0" collapsed="false">
      <c r="A52" s="3" t="s">
        <v>88</v>
      </c>
      <c r="B52" s="3" t="s">
        <v>18</v>
      </c>
      <c r="C52" s="3" t="s">
        <v>59</v>
      </c>
      <c r="D52" s="4" t="n">
        <v>46291</v>
      </c>
      <c r="E52" s="5" t="n">
        <v>0.604166666666667</v>
      </c>
      <c r="F52" s="5" t="n">
        <v>0.645833333333333</v>
      </c>
      <c r="G52" s="3" t="s">
        <v>60</v>
      </c>
      <c r="H52" s="3" t="s">
        <v>61</v>
      </c>
      <c r="I52" s="3" t="str">
        <f aca="false">IF(E52&gt;=TIME(18,0,0),"Y","")</f>
        <v/>
      </c>
      <c r="J52" s="3" t="str">
        <f aca="false">IF(AND(ISNUMBER(F52),F52&gt;TIME(21,0,0)),"Y","")</f>
        <v/>
      </c>
      <c r="K52" s="3" t="s">
        <v>75</v>
      </c>
      <c r="L52" s="3" t="s">
        <v>19</v>
      </c>
      <c r="M52" s="3" t="str">
        <f aca="false">CHOOSE(WEEKDAY(D52),"일","월","화","수","목","금","토")</f>
        <v>토</v>
      </c>
      <c r="N52" s="6" t="s">
        <v>72</v>
      </c>
      <c r="O52" s="3" t="s">
        <v>23</v>
      </c>
      <c r="P52" s="4" t="n">
        <v>46286</v>
      </c>
      <c r="Q52" s="3" t="s">
        <v>63</v>
      </c>
    </row>
    <row r="53" customFormat="false" ht="35.05" hidden="false" customHeight="false" outlineLevel="0" collapsed="false">
      <c r="A53" s="3" t="s">
        <v>89</v>
      </c>
      <c r="B53" s="3" t="s">
        <v>18</v>
      </c>
      <c r="C53" s="3" t="s">
        <v>43</v>
      </c>
      <c r="D53" s="4" t="n">
        <v>46291</v>
      </c>
      <c r="E53" s="5" t="n">
        <v>0.625</v>
      </c>
      <c r="F53" s="5" t="n">
        <v>0.645833333333333</v>
      </c>
      <c r="G53" s="3" t="s">
        <v>20</v>
      </c>
      <c r="H53" s="3" t="s">
        <v>20</v>
      </c>
      <c r="I53" s="3" t="str">
        <f aca="false">IF(E53&gt;=TIME(18,0,0),"Y","")</f>
        <v/>
      </c>
      <c r="J53" s="3" t="str">
        <f aca="false">IF(AND(ISNUMBER(F53),F53&gt;TIME(21,0,0)),"Y","")</f>
        <v/>
      </c>
      <c r="K53" s="3" t="s">
        <v>75</v>
      </c>
      <c r="L53" s="3" t="s">
        <v>44</v>
      </c>
      <c r="M53" s="3" t="str">
        <f aca="false">CHOOSE(WEEKDAY(D53),"일","월","화","수","목","금","토")</f>
        <v>토</v>
      </c>
      <c r="N53" s="6" t="s">
        <v>72</v>
      </c>
      <c r="O53" s="3" t="s">
        <v>23</v>
      </c>
      <c r="P53" s="4" t="n">
        <v>46286</v>
      </c>
      <c r="Q53" s="3"/>
    </row>
    <row r="54" customFormat="false" ht="35.05" hidden="false" customHeight="false" outlineLevel="0" collapsed="false">
      <c r="A54" s="3" t="s">
        <v>17</v>
      </c>
      <c r="B54" s="3" t="s">
        <v>18</v>
      </c>
      <c r="C54" s="3" t="s">
        <v>19</v>
      </c>
      <c r="D54" s="4" t="n">
        <v>46291</v>
      </c>
      <c r="E54" s="5" t="n">
        <v>0.625</v>
      </c>
      <c r="F54" s="5" t="n">
        <v>0.666666666666667</v>
      </c>
      <c r="G54" s="3" t="s">
        <v>20</v>
      </c>
      <c r="H54" s="3" t="s">
        <v>20</v>
      </c>
      <c r="I54" s="3" t="str">
        <f aca="false">IF(E54&gt;=TIME(18,0,0),"Y","")</f>
        <v/>
      </c>
      <c r="J54" s="3" t="str">
        <f aca="false">IF(AND(ISNUMBER(F54),F54&gt;TIME(21,0,0)),"Y","")</f>
        <v/>
      </c>
      <c r="K54" s="3" t="s">
        <v>21</v>
      </c>
      <c r="L54" s="3" t="s">
        <v>19</v>
      </c>
      <c r="M54" s="3" t="str">
        <f aca="false">CHOOSE(WEEKDAY(D54),"일","월","화","수","목","금","토")</f>
        <v>토</v>
      </c>
      <c r="N54" s="6" t="s">
        <v>72</v>
      </c>
      <c r="O54" s="3" t="s">
        <v>23</v>
      </c>
      <c r="P54" s="4" t="n">
        <v>46286</v>
      </c>
      <c r="Q54" s="3"/>
    </row>
    <row r="55" customFormat="false" ht="35.05" hidden="false" customHeight="false" outlineLevel="0" collapsed="false">
      <c r="A55" s="3" t="s">
        <v>90</v>
      </c>
      <c r="B55" s="3" t="s">
        <v>32</v>
      </c>
      <c r="C55" s="3" t="s">
        <v>52</v>
      </c>
      <c r="D55" s="4" t="n">
        <v>46291</v>
      </c>
      <c r="E55" s="5" t="n">
        <v>0.625</v>
      </c>
      <c r="F55" s="5" t="n">
        <v>0.666666666666667</v>
      </c>
      <c r="G55" s="3" t="s">
        <v>20</v>
      </c>
      <c r="H55" s="3" t="s">
        <v>20</v>
      </c>
      <c r="I55" s="3" t="str">
        <f aca="false">IF(E55&gt;=TIME(18,0,0),"Y","")</f>
        <v/>
      </c>
      <c r="J55" s="3" t="str">
        <f aca="false">IF(AND(ISNUMBER(F55),F55&gt;TIME(21,0,0)),"Y","")</f>
        <v/>
      </c>
      <c r="K55" s="3" t="s">
        <v>34</v>
      </c>
      <c r="L55" s="3" t="s">
        <v>19</v>
      </c>
      <c r="M55" s="3" t="str">
        <f aca="false">CHOOSE(WEEKDAY(D55),"일","월","화","수","목","금","토")</f>
        <v>토</v>
      </c>
      <c r="N55" s="6" t="s">
        <v>72</v>
      </c>
      <c r="O55" s="3" t="s">
        <v>23</v>
      </c>
      <c r="P55" s="4" t="n">
        <v>46286</v>
      </c>
      <c r="Q55" s="3"/>
    </row>
    <row r="56" customFormat="false" ht="35.05" hidden="false" customHeight="false" outlineLevel="0" collapsed="false">
      <c r="A56" s="3" t="s">
        <v>91</v>
      </c>
      <c r="B56" s="3" t="s">
        <v>18</v>
      </c>
      <c r="C56" s="3" t="s">
        <v>87</v>
      </c>
      <c r="D56" s="4" t="n">
        <v>46291</v>
      </c>
      <c r="E56" s="5" t="n">
        <v>0.625</v>
      </c>
      <c r="F56" s="5" t="n">
        <v>0.666666666666667</v>
      </c>
      <c r="G56" s="3" t="s">
        <v>20</v>
      </c>
      <c r="H56" s="3" t="s">
        <v>20</v>
      </c>
      <c r="I56" s="3" t="str">
        <f aca="false">IF(E56&gt;=TIME(18,0,0),"Y","")</f>
        <v/>
      </c>
      <c r="J56" s="3" t="str">
        <f aca="false">IF(AND(ISNUMBER(F56),F56&gt;TIME(21,0,0)),"Y","")</f>
        <v/>
      </c>
      <c r="K56" s="3" t="s">
        <v>66</v>
      </c>
      <c r="L56" s="3" t="s">
        <v>26</v>
      </c>
      <c r="M56" s="3" t="str">
        <f aca="false">CHOOSE(WEEKDAY(D56),"일","월","화","수","목","금","토")</f>
        <v>토</v>
      </c>
      <c r="N56" s="6" t="s">
        <v>72</v>
      </c>
      <c r="O56" s="3" t="s">
        <v>23</v>
      </c>
      <c r="P56" s="4" t="n">
        <v>46286</v>
      </c>
      <c r="Q56" s="3"/>
    </row>
    <row r="57" customFormat="false" ht="35.05" hidden="false" customHeight="false" outlineLevel="0" collapsed="false">
      <c r="A57" s="3" t="s">
        <v>92</v>
      </c>
      <c r="B57" s="3" t="s">
        <v>18</v>
      </c>
      <c r="C57" s="3" t="s">
        <v>28</v>
      </c>
      <c r="D57" s="4" t="n">
        <v>46291</v>
      </c>
      <c r="E57" s="5" t="n">
        <v>0.625</v>
      </c>
      <c r="F57" s="5" t="n">
        <v>0.708333333333333</v>
      </c>
      <c r="G57" s="3" t="s">
        <v>20</v>
      </c>
      <c r="H57" s="3" t="s">
        <v>20</v>
      </c>
      <c r="I57" s="3" t="str">
        <f aca="false">IF(E57&gt;=TIME(18,0,0),"Y","")</f>
        <v/>
      </c>
      <c r="J57" s="3" t="str">
        <f aca="false">IF(AND(ISNUMBER(F57),F57&gt;TIME(21,0,0)),"Y","")</f>
        <v/>
      </c>
      <c r="K57" s="3" t="s">
        <v>40</v>
      </c>
      <c r="L57" s="3" t="s">
        <v>19</v>
      </c>
      <c r="M57" s="3" t="str">
        <f aca="false">CHOOSE(WEEKDAY(D57),"일","월","화","수","목","금","토")</f>
        <v>토</v>
      </c>
      <c r="N57" s="6" t="s">
        <v>72</v>
      </c>
      <c r="O57" s="3" t="s">
        <v>23</v>
      </c>
      <c r="P57" s="4" t="n">
        <v>46286</v>
      </c>
      <c r="Q57" s="3"/>
    </row>
    <row r="58" customFormat="false" ht="35.05" hidden="false" customHeight="false" outlineLevel="0" collapsed="false">
      <c r="A58" s="3" t="s">
        <v>50</v>
      </c>
      <c r="B58" s="3" t="s">
        <v>51</v>
      </c>
      <c r="C58" s="3" t="s">
        <v>52</v>
      </c>
      <c r="D58" s="4" t="n">
        <v>46291</v>
      </c>
      <c r="E58" s="5" t="n">
        <v>0.666666666666667</v>
      </c>
      <c r="F58" s="5" t="n">
        <v>0.6875</v>
      </c>
      <c r="G58" s="3" t="s">
        <v>20</v>
      </c>
      <c r="H58" s="3" t="s">
        <v>20</v>
      </c>
      <c r="I58" s="3" t="str">
        <f aca="false">IF(E58&gt;=TIME(18,0,0),"Y","")</f>
        <v/>
      </c>
      <c r="J58" s="3" t="str">
        <f aca="false">IF(AND(ISNUMBER(F58),F58&gt;TIME(21,0,0)),"Y","")</f>
        <v/>
      </c>
      <c r="K58" s="3" t="s">
        <v>51</v>
      </c>
      <c r="L58" s="3" t="s">
        <v>19</v>
      </c>
      <c r="M58" s="3" t="str">
        <f aca="false">CHOOSE(WEEKDAY(D58),"일","월","화","수","목","금","토")</f>
        <v>토</v>
      </c>
      <c r="N58" s="6" t="s">
        <v>72</v>
      </c>
      <c r="O58" s="3" t="s">
        <v>23</v>
      </c>
      <c r="P58" s="4" t="n">
        <v>46286</v>
      </c>
      <c r="Q58" s="3"/>
    </row>
    <row r="59" customFormat="false" ht="35.05" hidden="false" customHeight="false" outlineLevel="0" collapsed="false">
      <c r="A59" s="3" t="s">
        <v>93</v>
      </c>
      <c r="B59" s="3" t="s">
        <v>18</v>
      </c>
      <c r="C59" s="3" t="s">
        <v>33</v>
      </c>
      <c r="D59" s="4" t="n">
        <v>46291</v>
      </c>
      <c r="E59" s="5" t="n">
        <v>0.666666666666667</v>
      </c>
      <c r="F59" s="5" t="n">
        <v>0.6875</v>
      </c>
      <c r="G59" s="3" t="s">
        <v>20</v>
      </c>
      <c r="H59" s="3" t="s">
        <v>20</v>
      </c>
      <c r="I59" s="3" t="str">
        <f aca="false">IF(E59&gt;=TIME(18,0,0),"Y","")</f>
        <v/>
      </c>
      <c r="J59" s="3" t="str">
        <f aca="false">IF(AND(ISNUMBER(F59),F59&gt;TIME(21,0,0)),"Y","")</f>
        <v/>
      </c>
      <c r="K59" s="3" t="s">
        <v>29</v>
      </c>
      <c r="L59" s="3" t="s">
        <v>35</v>
      </c>
      <c r="M59" s="3" t="str">
        <f aca="false">CHOOSE(WEEKDAY(D59),"일","월","화","수","목","금","토")</f>
        <v>토</v>
      </c>
      <c r="N59" s="6" t="s">
        <v>72</v>
      </c>
      <c r="O59" s="3" t="s">
        <v>23</v>
      </c>
      <c r="P59" s="4" t="n">
        <v>46286</v>
      </c>
      <c r="Q59" s="3"/>
    </row>
    <row r="60" customFormat="false" ht="35.05" hidden="false" customHeight="false" outlineLevel="0" collapsed="false">
      <c r="A60" s="3" t="s">
        <v>94</v>
      </c>
      <c r="B60" s="3" t="s">
        <v>18</v>
      </c>
      <c r="C60" s="3" t="s">
        <v>43</v>
      </c>
      <c r="D60" s="4" t="n">
        <v>46291</v>
      </c>
      <c r="E60" s="5" t="n">
        <v>0.666666666666667</v>
      </c>
      <c r="F60" s="5" t="n">
        <v>0.6875</v>
      </c>
      <c r="G60" s="3" t="s">
        <v>20</v>
      </c>
      <c r="H60" s="3" t="s">
        <v>20</v>
      </c>
      <c r="I60" s="3" t="str">
        <f aca="false">IF(E60&gt;=TIME(18,0,0),"Y","")</f>
        <v/>
      </c>
      <c r="J60" s="3" t="str">
        <f aca="false">IF(AND(ISNUMBER(F60),F60&gt;TIME(21,0,0)),"Y","")</f>
        <v/>
      </c>
      <c r="K60" s="3" t="s">
        <v>75</v>
      </c>
      <c r="L60" s="3" t="s">
        <v>44</v>
      </c>
      <c r="M60" s="3" t="str">
        <f aca="false">CHOOSE(WEEKDAY(D60),"일","월","화","수","목","금","토")</f>
        <v>토</v>
      </c>
      <c r="N60" s="6" t="s">
        <v>72</v>
      </c>
      <c r="O60" s="3" t="s">
        <v>23</v>
      </c>
      <c r="P60" s="4" t="n">
        <v>46286</v>
      </c>
      <c r="Q60" s="3"/>
    </row>
    <row r="61" customFormat="false" ht="46.25" hidden="false" customHeight="false" outlineLevel="0" collapsed="false">
      <c r="A61" s="3" t="s">
        <v>95</v>
      </c>
      <c r="B61" s="3" t="s">
        <v>18</v>
      </c>
      <c r="C61" s="3" t="s">
        <v>59</v>
      </c>
      <c r="D61" s="4" t="n">
        <v>46291</v>
      </c>
      <c r="E61" s="5" t="n">
        <v>0.666666666666667</v>
      </c>
      <c r="F61" s="5" t="n">
        <v>0.708333333333333</v>
      </c>
      <c r="G61" s="3" t="s">
        <v>60</v>
      </c>
      <c r="H61" s="3" t="s">
        <v>61</v>
      </c>
      <c r="I61" s="3" t="str">
        <f aca="false">IF(E61&gt;=TIME(18,0,0),"Y","")</f>
        <v/>
      </c>
      <c r="J61" s="3" t="str">
        <f aca="false">IF(AND(ISNUMBER(F61),F61&gt;TIME(21,0,0)),"Y","")</f>
        <v/>
      </c>
      <c r="K61" s="3" t="s">
        <v>62</v>
      </c>
      <c r="L61" s="3" t="s">
        <v>19</v>
      </c>
      <c r="M61" s="3" t="str">
        <f aca="false">CHOOSE(WEEKDAY(D61),"일","월","화","수","목","금","토")</f>
        <v>토</v>
      </c>
      <c r="N61" s="6" t="s">
        <v>72</v>
      </c>
      <c r="O61" s="3" t="s">
        <v>23</v>
      </c>
      <c r="P61" s="4" t="n">
        <v>46286</v>
      </c>
      <c r="Q61" s="3" t="s">
        <v>63</v>
      </c>
    </row>
    <row r="62" customFormat="false" ht="35.05" hidden="false" customHeight="false" outlineLevel="0" collapsed="false">
      <c r="A62" s="3" t="s">
        <v>55</v>
      </c>
      <c r="B62" s="3" t="s">
        <v>51</v>
      </c>
      <c r="C62" s="3" t="s">
        <v>52</v>
      </c>
      <c r="D62" s="4" t="n">
        <v>46291</v>
      </c>
      <c r="E62" s="5" t="n">
        <v>0.6875</v>
      </c>
      <c r="F62" s="5" t="n">
        <v>0.708333333333333</v>
      </c>
      <c r="G62" s="3" t="s">
        <v>20</v>
      </c>
      <c r="H62" s="3" t="s">
        <v>20</v>
      </c>
      <c r="I62" s="3" t="str">
        <f aca="false">IF(E62&gt;=TIME(18,0,0),"Y","")</f>
        <v/>
      </c>
      <c r="J62" s="3" t="str">
        <f aca="false">IF(AND(ISNUMBER(F62),F62&gt;TIME(21,0,0)),"Y","")</f>
        <v/>
      </c>
      <c r="K62" s="3" t="s">
        <v>51</v>
      </c>
      <c r="L62" s="3" t="s">
        <v>19</v>
      </c>
      <c r="M62" s="3" t="str">
        <f aca="false">CHOOSE(WEEKDAY(D62),"일","월","화","수","목","금","토")</f>
        <v>토</v>
      </c>
      <c r="N62" s="6" t="s">
        <v>72</v>
      </c>
      <c r="O62" s="3" t="s">
        <v>23</v>
      </c>
      <c r="P62" s="4" t="n">
        <v>46286</v>
      </c>
      <c r="Q62" s="3"/>
    </row>
    <row r="63" customFormat="false" ht="35.05" hidden="false" customHeight="false" outlineLevel="0" collapsed="false">
      <c r="A63" s="3" t="s">
        <v>96</v>
      </c>
      <c r="B63" s="3" t="s">
        <v>18</v>
      </c>
      <c r="C63" s="3" t="s">
        <v>33</v>
      </c>
      <c r="D63" s="4" t="n">
        <v>46291</v>
      </c>
      <c r="E63" s="5" t="n">
        <v>0.6875</v>
      </c>
      <c r="F63" s="5" t="n">
        <v>0.729166666666667</v>
      </c>
      <c r="G63" s="3" t="s">
        <v>20</v>
      </c>
      <c r="H63" s="3" t="s">
        <v>20</v>
      </c>
      <c r="I63" s="3" t="str">
        <f aca="false">IF(E63&gt;=TIME(18,0,0),"Y","")</f>
        <v/>
      </c>
      <c r="J63" s="3" t="str">
        <f aca="false">IF(AND(ISNUMBER(F63),F63&gt;TIME(21,0,0)),"Y","")</f>
        <v/>
      </c>
      <c r="K63" s="3" t="s">
        <v>29</v>
      </c>
      <c r="L63" s="3" t="s">
        <v>35</v>
      </c>
      <c r="M63" s="3" t="str">
        <f aca="false">CHOOSE(WEEKDAY(D63),"일","월","화","수","목","금","토")</f>
        <v>토</v>
      </c>
      <c r="N63" s="6" t="s">
        <v>72</v>
      </c>
      <c r="O63" s="3" t="s">
        <v>23</v>
      </c>
      <c r="P63" s="4" t="n">
        <v>46286</v>
      </c>
      <c r="Q63" s="3"/>
    </row>
    <row r="64" customFormat="false" ht="35.05" hidden="false" customHeight="false" outlineLevel="0" collapsed="false">
      <c r="A64" s="3" t="s">
        <v>97</v>
      </c>
      <c r="B64" s="3" t="s">
        <v>18</v>
      </c>
      <c r="C64" s="3" t="s">
        <v>28</v>
      </c>
      <c r="D64" s="4" t="n">
        <v>46291</v>
      </c>
      <c r="E64" s="5" t="n">
        <v>0.708333333333333</v>
      </c>
      <c r="F64" s="5" t="n">
        <v>0.729166666666667</v>
      </c>
      <c r="G64" s="3" t="s">
        <v>20</v>
      </c>
      <c r="H64" s="3" t="s">
        <v>20</v>
      </c>
      <c r="I64" s="3" t="str">
        <f aca="false">IF(E64&gt;=TIME(18,0,0),"Y","")</f>
        <v/>
      </c>
      <c r="J64" s="3" t="str">
        <f aca="false">IF(AND(ISNUMBER(F64),F64&gt;TIME(21,0,0)),"Y","")</f>
        <v/>
      </c>
      <c r="K64" s="3" t="s">
        <v>29</v>
      </c>
      <c r="L64" s="3" t="s">
        <v>19</v>
      </c>
      <c r="M64" s="3" t="str">
        <f aca="false">CHOOSE(WEEKDAY(D64),"일","월","화","수","목","금","토")</f>
        <v>토</v>
      </c>
      <c r="N64" s="6" t="s">
        <v>72</v>
      </c>
      <c r="O64" s="3" t="s">
        <v>23</v>
      </c>
      <c r="P64" s="4" t="n">
        <v>46286</v>
      </c>
      <c r="Q64" s="3"/>
    </row>
    <row r="65" customFormat="false" ht="35.05" hidden="false" customHeight="false" outlineLevel="0" collapsed="false">
      <c r="A65" s="3" t="s">
        <v>17</v>
      </c>
      <c r="B65" s="3" t="s">
        <v>18</v>
      </c>
      <c r="C65" s="3" t="s">
        <v>19</v>
      </c>
      <c r="D65" s="4" t="n">
        <v>46291</v>
      </c>
      <c r="E65" s="5" t="n">
        <v>0.708333333333333</v>
      </c>
      <c r="F65" s="5" t="n">
        <v>0.75</v>
      </c>
      <c r="G65" s="3" t="s">
        <v>20</v>
      </c>
      <c r="H65" s="3" t="s">
        <v>20</v>
      </c>
      <c r="I65" s="3" t="str">
        <f aca="false">IF(E65&gt;=TIME(18,0,0),"Y","")</f>
        <v/>
      </c>
      <c r="J65" s="3" t="str">
        <f aca="false">IF(AND(ISNUMBER(F65),F65&gt;TIME(21,0,0)),"Y","")</f>
        <v/>
      </c>
      <c r="K65" s="3" t="s">
        <v>21</v>
      </c>
      <c r="L65" s="3" t="s">
        <v>19</v>
      </c>
      <c r="M65" s="3" t="str">
        <f aca="false">CHOOSE(WEEKDAY(D65),"일","월","화","수","목","금","토")</f>
        <v>토</v>
      </c>
      <c r="N65" s="6" t="s">
        <v>72</v>
      </c>
      <c r="O65" s="3" t="s">
        <v>23</v>
      </c>
      <c r="P65" s="4" t="n">
        <v>46286</v>
      </c>
      <c r="Q65" s="3"/>
    </row>
    <row r="66" customFormat="false" ht="35.05" hidden="false" customHeight="false" outlineLevel="0" collapsed="false">
      <c r="A66" s="3" t="s">
        <v>98</v>
      </c>
      <c r="B66" s="3" t="s">
        <v>18</v>
      </c>
      <c r="C66" s="3" t="s">
        <v>43</v>
      </c>
      <c r="D66" s="4" t="n">
        <v>46291</v>
      </c>
      <c r="E66" s="5" t="n">
        <v>0.708333333333333</v>
      </c>
      <c r="F66" s="5" t="n">
        <v>0.75</v>
      </c>
      <c r="G66" s="3" t="s">
        <v>20</v>
      </c>
      <c r="H66" s="3" t="s">
        <v>20</v>
      </c>
      <c r="I66" s="3" t="str">
        <f aca="false">IF(E66&gt;=TIME(18,0,0),"Y","")</f>
        <v/>
      </c>
      <c r="J66" s="3" t="str">
        <f aca="false">IF(AND(ISNUMBER(F66),F66&gt;TIME(21,0,0)),"Y","")</f>
        <v/>
      </c>
      <c r="K66" s="3" t="s">
        <v>29</v>
      </c>
      <c r="L66" s="3" t="s">
        <v>44</v>
      </c>
      <c r="M66" s="3" t="str">
        <f aca="false">CHOOSE(WEEKDAY(D66),"일","월","화","수","목","금","토")</f>
        <v>토</v>
      </c>
      <c r="N66" s="6" t="s">
        <v>72</v>
      </c>
      <c r="O66" s="3" t="s">
        <v>23</v>
      </c>
      <c r="P66" s="4" t="n">
        <v>46286</v>
      </c>
      <c r="Q66" s="3"/>
    </row>
    <row r="67" customFormat="false" ht="35.05" hidden="false" customHeight="false" outlineLevel="0" collapsed="false">
      <c r="A67" s="3" t="s">
        <v>99</v>
      </c>
      <c r="B67" s="3" t="s">
        <v>18</v>
      </c>
      <c r="C67" s="3" t="s">
        <v>28</v>
      </c>
      <c r="D67" s="4" t="n">
        <v>46291</v>
      </c>
      <c r="E67" s="5" t="n">
        <v>0.729166666666667</v>
      </c>
      <c r="F67" s="5" t="n">
        <v>0.75</v>
      </c>
      <c r="G67" s="3" t="s">
        <v>20</v>
      </c>
      <c r="H67" s="3" t="s">
        <v>20</v>
      </c>
      <c r="I67" s="3" t="str">
        <f aca="false">IF(E67&gt;=TIME(18,0,0),"Y","")</f>
        <v/>
      </c>
      <c r="J67" s="3" t="str">
        <f aca="false">IF(AND(ISNUMBER(F67),F67&gt;TIME(21,0,0)),"Y","")</f>
        <v/>
      </c>
      <c r="K67" s="3" t="s">
        <v>29</v>
      </c>
      <c r="L67" s="3" t="s">
        <v>19</v>
      </c>
      <c r="M67" s="3" t="str">
        <f aca="false">CHOOSE(WEEKDAY(D67),"일","월","화","수","목","금","토")</f>
        <v>토</v>
      </c>
      <c r="N67" s="6" t="s">
        <v>72</v>
      </c>
      <c r="O67" s="3" t="s">
        <v>23</v>
      </c>
      <c r="P67" s="4" t="n">
        <v>46286</v>
      </c>
      <c r="Q67" s="3"/>
    </row>
    <row r="68" customFormat="false" ht="35.05" hidden="false" customHeight="false" outlineLevel="0" collapsed="false">
      <c r="A68" s="3" t="s">
        <v>100</v>
      </c>
      <c r="B68" s="3" t="s">
        <v>18</v>
      </c>
      <c r="C68" s="3" t="s">
        <v>33</v>
      </c>
      <c r="D68" s="4" t="n">
        <v>46291</v>
      </c>
      <c r="E68" s="5" t="n">
        <v>0.729166666666667</v>
      </c>
      <c r="F68" s="5" t="n">
        <v>0.75</v>
      </c>
      <c r="G68" s="3" t="s">
        <v>20</v>
      </c>
      <c r="H68" s="3" t="s">
        <v>20</v>
      </c>
      <c r="I68" s="3" t="str">
        <f aca="false">IF(E68&gt;=TIME(18,0,0),"Y","")</f>
        <v/>
      </c>
      <c r="J68" s="3" t="str">
        <f aca="false">IF(AND(ISNUMBER(F68),F68&gt;TIME(21,0,0)),"Y","")</f>
        <v/>
      </c>
      <c r="K68" s="3" t="s">
        <v>29</v>
      </c>
      <c r="L68" s="3" t="s">
        <v>35</v>
      </c>
      <c r="M68" s="3" t="str">
        <f aca="false">CHOOSE(WEEKDAY(D68),"일","월","화","수","목","금","토")</f>
        <v>토</v>
      </c>
      <c r="N68" s="6" t="s">
        <v>72</v>
      </c>
      <c r="O68" s="3" t="s">
        <v>23</v>
      </c>
      <c r="P68" s="4" t="n">
        <v>46286</v>
      </c>
      <c r="Q68" s="3"/>
    </row>
    <row r="69" customFormat="false" ht="46.25" hidden="false" customHeight="false" outlineLevel="0" collapsed="false">
      <c r="A69" s="3" t="s">
        <v>101</v>
      </c>
      <c r="B69" s="3" t="s">
        <v>18</v>
      </c>
      <c r="C69" s="3" t="s">
        <v>59</v>
      </c>
      <c r="D69" s="4" t="n">
        <v>46291</v>
      </c>
      <c r="E69" s="5" t="n">
        <v>0.729166666666667</v>
      </c>
      <c r="F69" s="5" t="n">
        <v>0.770833333333333</v>
      </c>
      <c r="G69" s="3" t="s">
        <v>60</v>
      </c>
      <c r="H69" s="3" t="s">
        <v>61</v>
      </c>
      <c r="I69" s="3" t="str">
        <f aca="false">IF(E69&gt;=TIME(18,0,0),"Y","")</f>
        <v/>
      </c>
      <c r="J69" s="3" t="str">
        <f aca="false">IF(AND(ISNUMBER(F69),F69&gt;TIME(21,0,0)),"Y","")</f>
        <v/>
      </c>
      <c r="K69" s="3" t="s">
        <v>75</v>
      </c>
      <c r="L69" s="3" t="s">
        <v>19</v>
      </c>
      <c r="M69" s="3" t="str">
        <f aca="false">CHOOSE(WEEKDAY(D69),"일","월","화","수","목","금","토")</f>
        <v>토</v>
      </c>
      <c r="N69" s="6" t="s">
        <v>72</v>
      </c>
      <c r="O69" s="3" t="s">
        <v>23</v>
      </c>
      <c r="P69" s="4" t="n">
        <v>46286</v>
      </c>
      <c r="Q69" s="3" t="s">
        <v>63</v>
      </c>
    </row>
    <row r="70" customFormat="false" ht="35.05" hidden="false" customHeight="false" outlineLevel="0" collapsed="false">
      <c r="A70" s="3" t="s">
        <v>102</v>
      </c>
      <c r="B70" s="3" t="s">
        <v>32</v>
      </c>
      <c r="C70" s="3" t="s">
        <v>33</v>
      </c>
      <c r="D70" s="4" t="n">
        <v>46291</v>
      </c>
      <c r="E70" s="5" t="n">
        <v>0.75</v>
      </c>
      <c r="F70" s="5" t="n">
        <v>0.770833333333333</v>
      </c>
      <c r="G70" s="3" t="s">
        <v>20</v>
      </c>
      <c r="H70" s="3" t="s">
        <v>20</v>
      </c>
      <c r="I70" s="3" t="str">
        <f aca="false">IF(E70&gt;=TIME(18,0,0),"Y","")</f>
        <v>Y</v>
      </c>
      <c r="J70" s="3" t="str">
        <f aca="false">IF(AND(ISNUMBER(F70),F70&gt;TIME(21,0,0)),"Y","")</f>
        <v/>
      </c>
      <c r="K70" s="3" t="s">
        <v>34</v>
      </c>
      <c r="L70" s="3" t="s">
        <v>35</v>
      </c>
      <c r="M70" s="3" t="str">
        <f aca="false">CHOOSE(WEEKDAY(D70),"일","월","화","수","목","금","토")</f>
        <v>토</v>
      </c>
      <c r="N70" s="6" t="s">
        <v>72</v>
      </c>
      <c r="O70" s="3" t="s">
        <v>23</v>
      </c>
      <c r="P70" s="4" t="n">
        <v>46286</v>
      </c>
      <c r="Q70" s="3"/>
    </row>
    <row r="71" customFormat="false" ht="35.05" hidden="false" customHeight="false" outlineLevel="0" collapsed="false">
      <c r="A71" s="3" t="s">
        <v>103</v>
      </c>
      <c r="B71" s="3" t="s">
        <v>18</v>
      </c>
      <c r="C71" s="3" t="s">
        <v>28</v>
      </c>
      <c r="D71" s="4" t="n">
        <v>46291</v>
      </c>
      <c r="E71" s="5" t="n">
        <v>0.75</v>
      </c>
      <c r="F71" s="5" t="n">
        <v>0.791666666666667</v>
      </c>
      <c r="G71" s="3" t="s">
        <v>20</v>
      </c>
      <c r="H71" s="3" t="s">
        <v>20</v>
      </c>
      <c r="I71" s="3" t="str">
        <f aca="false">IF(E71&gt;=TIME(18,0,0),"Y","")</f>
        <v>Y</v>
      </c>
      <c r="J71" s="3" t="str">
        <f aca="false">IF(AND(ISNUMBER(F71),F71&gt;TIME(21,0,0)),"Y","")</f>
        <v/>
      </c>
      <c r="K71" s="3" t="s">
        <v>29</v>
      </c>
      <c r="L71" s="3" t="s">
        <v>19</v>
      </c>
      <c r="M71" s="3" t="str">
        <f aca="false">CHOOSE(WEEKDAY(D71),"일","월","화","수","목","금","토")</f>
        <v>토</v>
      </c>
      <c r="N71" s="6" t="s">
        <v>72</v>
      </c>
      <c r="O71" s="3" t="s">
        <v>23</v>
      </c>
      <c r="P71" s="4" t="n">
        <v>46286</v>
      </c>
      <c r="Q71" s="3"/>
    </row>
    <row r="72" customFormat="false" ht="35.05" hidden="false" customHeight="false" outlineLevel="0" collapsed="false">
      <c r="A72" s="3" t="s">
        <v>65</v>
      </c>
      <c r="B72" s="3" t="s">
        <v>18</v>
      </c>
      <c r="C72" s="3" t="s">
        <v>43</v>
      </c>
      <c r="D72" s="4" t="n">
        <v>46291</v>
      </c>
      <c r="E72" s="5" t="n">
        <v>0.75</v>
      </c>
      <c r="F72" s="5" t="n">
        <v>0.791666666666667</v>
      </c>
      <c r="G72" s="3" t="s">
        <v>20</v>
      </c>
      <c r="H72" s="3" t="s">
        <v>20</v>
      </c>
      <c r="I72" s="3" t="str">
        <f aca="false">IF(E72&gt;=TIME(18,0,0),"Y","")</f>
        <v>Y</v>
      </c>
      <c r="J72" s="3" t="str">
        <f aca="false">IF(AND(ISNUMBER(F72),F72&gt;TIME(21,0,0)),"Y","")</f>
        <v/>
      </c>
      <c r="K72" s="3" t="s">
        <v>66</v>
      </c>
      <c r="L72" s="3" t="s">
        <v>44</v>
      </c>
      <c r="M72" s="3" t="str">
        <f aca="false">CHOOSE(WEEKDAY(D72),"일","월","화","수","목","금","토")</f>
        <v>토</v>
      </c>
      <c r="N72" s="6" t="s">
        <v>72</v>
      </c>
      <c r="O72" s="3" t="s">
        <v>23</v>
      </c>
      <c r="P72" s="4" t="n">
        <v>46286</v>
      </c>
      <c r="Q72" s="3"/>
    </row>
    <row r="73" customFormat="false" ht="35.05" hidden="false" customHeight="false" outlineLevel="0" collapsed="false">
      <c r="A73" s="3" t="s">
        <v>65</v>
      </c>
      <c r="B73" s="3" t="s">
        <v>18</v>
      </c>
      <c r="C73" s="3" t="s">
        <v>33</v>
      </c>
      <c r="D73" s="4" t="n">
        <v>46291</v>
      </c>
      <c r="E73" s="5" t="n">
        <v>0.770833333333333</v>
      </c>
      <c r="F73" s="5" t="n">
        <v>0.791666666666667</v>
      </c>
      <c r="G73" s="3" t="s">
        <v>20</v>
      </c>
      <c r="H73" s="3" t="s">
        <v>20</v>
      </c>
      <c r="I73" s="3" t="str">
        <f aca="false">IF(E73&gt;=TIME(18,0,0),"Y","")</f>
        <v>Y</v>
      </c>
      <c r="J73" s="3" t="str">
        <f aca="false">IF(AND(ISNUMBER(F73),F73&gt;TIME(21,0,0)),"Y","")</f>
        <v/>
      </c>
      <c r="K73" s="3" t="s">
        <v>66</v>
      </c>
      <c r="L73" s="3" t="s">
        <v>35</v>
      </c>
      <c r="M73" s="3" t="str">
        <f aca="false">CHOOSE(WEEKDAY(D73),"일","월","화","수","목","금","토")</f>
        <v>토</v>
      </c>
      <c r="N73" s="6" t="s">
        <v>72</v>
      </c>
      <c r="O73" s="3" t="s">
        <v>23</v>
      </c>
      <c r="P73" s="4" t="n">
        <v>46286</v>
      </c>
      <c r="Q73" s="3"/>
    </row>
    <row r="74" customFormat="false" ht="35.05" hidden="false" customHeight="false" outlineLevel="0" collapsed="false">
      <c r="A74" s="3" t="s">
        <v>104</v>
      </c>
      <c r="B74" s="3" t="s">
        <v>18</v>
      </c>
      <c r="C74" s="3" t="s">
        <v>33</v>
      </c>
      <c r="D74" s="4" t="n">
        <v>46291</v>
      </c>
      <c r="E74" s="5" t="n">
        <v>0.791666666666667</v>
      </c>
      <c r="F74" s="5" t="n">
        <v>0.8125</v>
      </c>
      <c r="G74" s="3" t="s">
        <v>20</v>
      </c>
      <c r="H74" s="3" t="s">
        <v>20</v>
      </c>
      <c r="I74" s="3" t="str">
        <f aca="false">IF(E74&gt;=TIME(18,0,0),"Y","")</f>
        <v>Y</v>
      </c>
      <c r="J74" s="3" t="str">
        <f aca="false">IF(AND(ISNUMBER(F74),F74&gt;TIME(21,0,0)),"Y","")</f>
        <v/>
      </c>
      <c r="K74" s="3" t="s">
        <v>105</v>
      </c>
      <c r="L74" s="3" t="s">
        <v>35</v>
      </c>
      <c r="M74" s="3" t="str">
        <f aca="false">CHOOSE(WEEKDAY(D74),"일","월","화","수","목","금","토")</f>
        <v>토</v>
      </c>
      <c r="N74" s="6" t="s">
        <v>72</v>
      </c>
      <c r="O74" s="3" t="s">
        <v>23</v>
      </c>
      <c r="P74" s="4" t="n">
        <v>46286</v>
      </c>
      <c r="Q74" s="3"/>
    </row>
    <row r="75" customFormat="false" ht="35.05" hidden="false" customHeight="false" outlineLevel="0" collapsed="false">
      <c r="A75" s="3" t="s">
        <v>106</v>
      </c>
      <c r="B75" s="3" t="s">
        <v>18</v>
      </c>
      <c r="C75" s="3" t="s">
        <v>52</v>
      </c>
      <c r="D75" s="4" t="n">
        <v>46291</v>
      </c>
      <c r="E75" s="5" t="n">
        <v>0.791666666666667</v>
      </c>
      <c r="F75" s="5" t="n">
        <v>0.833333333333333</v>
      </c>
      <c r="G75" s="3" t="s">
        <v>20</v>
      </c>
      <c r="H75" s="3" t="s">
        <v>20</v>
      </c>
      <c r="I75" s="3" t="str">
        <f aca="false">IF(E75&gt;=TIME(18,0,0),"Y","")</f>
        <v>Y</v>
      </c>
      <c r="J75" s="3" t="str">
        <f aca="false">IF(AND(ISNUMBER(F75),F75&gt;TIME(21,0,0)),"Y","")</f>
        <v/>
      </c>
      <c r="K75" s="3" t="s">
        <v>107</v>
      </c>
      <c r="L75" s="3" t="s">
        <v>19</v>
      </c>
      <c r="M75" s="3" t="str">
        <f aca="false">CHOOSE(WEEKDAY(D75),"일","월","화","수","목","금","토")</f>
        <v>토</v>
      </c>
      <c r="N75" s="6" t="s">
        <v>72</v>
      </c>
      <c r="O75" s="3" t="s">
        <v>23</v>
      </c>
      <c r="P75" s="4" t="n">
        <v>46286</v>
      </c>
      <c r="Q75" s="3"/>
    </row>
    <row r="76" customFormat="false" ht="35.05" hidden="false" customHeight="false" outlineLevel="0" collapsed="false">
      <c r="A76" s="3" t="s">
        <v>108</v>
      </c>
      <c r="B76" s="3" t="s">
        <v>18</v>
      </c>
      <c r="C76" s="3" t="s">
        <v>28</v>
      </c>
      <c r="D76" s="4" t="n">
        <v>46291</v>
      </c>
      <c r="E76" s="5" t="n">
        <v>0.791666666666667</v>
      </c>
      <c r="F76" s="5" t="n">
        <v>0.833333333333333</v>
      </c>
      <c r="G76" s="3" t="s">
        <v>20</v>
      </c>
      <c r="H76" s="3" t="s">
        <v>20</v>
      </c>
      <c r="I76" s="3" t="str">
        <f aca="false">IF(E76&gt;=TIME(18,0,0),"Y","")</f>
        <v>Y</v>
      </c>
      <c r="J76" s="3" t="str">
        <f aca="false">IF(AND(ISNUMBER(F76),F76&gt;TIME(21,0,0)),"Y","")</f>
        <v/>
      </c>
      <c r="K76" s="3" t="s">
        <v>29</v>
      </c>
      <c r="L76" s="3" t="s">
        <v>19</v>
      </c>
      <c r="M76" s="3" t="str">
        <f aca="false">CHOOSE(WEEKDAY(D76),"일","월","화","수","목","금","토")</f>
        <v>토</v>
      </c>
      <c r="N76" s="6" t="s">
        <v>72</v>
      </c>
      <c r="O76" s="3" t="s">
        <v>23</v>
      </c>
      <c r="P76" s="4" t="n">
        <v>46286</v>
      </c>
      <c r="Q76" s="3"/>
    </row>
    <row r="77" customFormat="false" ht="46.25" hidden="false" customHeight="false" outlineLevel="0" collapsed="false">
      <c r="A77" s="3" t="s">
        <v>109</v>
      </c>
      <c r="B77" s="3" t="s">
        <v>18</v>
      </c>
      <c r="C77" s="3" t="s">
        <v>59</v>
      </c>
      <c r="D77" s="4" t="n">
        <v>46291</v>
      </c>
      <c r="E77" s="5" t="n">
        <v>0.791666666666667</v>
      </c>
      <c r="F77" s="5" t="n">
        <v>0.833333333333333</v>
      </c>
      <c r="G77" s="3" t="s">
        <v>60</v>
      </c>
      <c r="H77" s="3" t="s">
        <v>61</v>
      </c>
      <c r="I77" s="3" t="str">
        <f aca="false">IF(E77&gt;=TIME(18,0,0),"Y","")</f>
        <v>Y</v>
      </c>
      <c r="J77" s="3" t="str">
        <f aca="false">IF(AND(ISNUMBER(F77),F77&gt;TIME(21,0,0)),"Y","")</f>
        <v/>
      </c>
      <c r="K77" s="3" t="s">
        <v>110</v>
      </c>
      <c r="L77" s="3" t="s">
        <v>19</v>
      </c>
      <c r="M77" s="3" t="str">
        <f aca="false">CHOOSE(WEEKDAY(D77),"일","월","화","수","목","금","토")</f>
        <v>토</v>
      </c>
      <c r="N77" s="6" t="s">
        <v>72</v>
      </c>
      <c r="O77" s="3" t="s">
        <v>23</v>
      </c>
      <c r="P77" s="4" t="n">
        <v>46286</v>
      </c>
      <c r="Q77" s="3" t="s">
        <v>63</v>
      </c>
    </row>
    <row r="78" customFormat="false" ht="35.05" hidden="false" customHeight="false" outlineLevel="0" collapsed="false">
      <c r="A78" s="3" t="s">
        <v>111</v>
      </c>
      <c r="B78" s="3" t="s">
        <v>32</v>
      </c>
      <c r="C78" s="3" t="s">
        <v>43</v>
      </c>
      <c r="D78" s="4" t="n">
        <v>46291</v>
      </c>
      <c r="E78" s="5" t="n">
        <v>0.791666666666667</v>
      </c>
      <c r="F78" s="5" t="n">
        <v>0.833333333333333</v>
      </c>
      <c r="G78" s="3" t="s">
        <v>20</v>
      </c>
      <c r="H78" s="3" t="s">
        <v>20</v>
      </c>
      <c r="I78" s="3" t="str">
        <f aca="false">IF(E78&gt;=TIME(18,0,0),"Y","")</f>
        <v>Y</v>
      </c>
      <c r="J78" s="3" t="str">
        <f aca="false">IF(AND(ISNUMBER(F78),F78&gt;TIME(21,0,0)),"Y","")</f>
        <v/>
      </c>
      <c r="K78" s="3" t="s">
        <v>34</v>
      </c>
      <c r="L78" s="3" t="s">
        <v>44</v>
      </c>
      <c r="M78" s="3" t="str">
        <f aca="false">CHOOSE(WEEKDAY(D78),"일","월","화","수","목","금","토")</f>
        <v>토</v>
      </c>
      <c r="N78" s="6" t="s">
        <v>72</v>
      </c>
      <c r="O78" s="3" t="s">
        <v>23</v>
      </c>
      <c r="P78" s="4" t="n">
        <v>46286</v>
      </c>
      <c r="Q78" s="3"/>
    </row>
    <row r="79" customFormat="false" ht="35.05" hidden="false" customHeight="false" outlineLevel="0" collapsed="false">
      <c r="A79" s="3" t="s">
        <v>112</v>
      </c>
      <c r="B79" s="3" t="s">
        <v>18</v>
      </c>
      <c r="C79" s="3" t="s">
        <v>47</v>
      </c>
      <c r="D79" s="4" t="n">
        <v>46291</v>
      </c>
      <c r="E79" s="5" t="n">
        <v>0.791666666666667</v>
      </c>
      <c r="F79" s="5" t="n">
        <v>0.875</v>
      </c>
      <c r="G79" s="3" t="s">
        <v>20</v>
      </c>
      <c r="H79" s="3" t="s">
        <v>20</v>
      </c>
      <c r="I79" s="3" t="str">
        <f aca="false">IF(E79&gt;=TIME(18,0,0),"Y","")</f>
        <v>Y</v>
      </c>
      <c r="J79" s="3" t="str">
        <f aca="false">IF(AND(ISNUMBER(F79),F79&gt;TIME(21,0,0)),"Y","")</f>
        <v/>
      </c>
      <c r="K79" s="3" t="s">
        <v>48</v>
      </c>
      <c r="L79" s="3" t="s">
        <v>47</v>
      </c>
      <c r="M79" s="3" t="str">
        <f aca="false">CHOOSE(WEEKDAY(D79),"일","월","화","수","목","금","토")</f>
        <v>토</v>
      </c>
      <c r="N79" s="6" t="s">
        <v>72</v>
      </c>
      <c r="O79" s="3" t="s">
        <v>23</v>
      </c>
      <c r="P79" s="4" t="n">
        <v>46286</v>
      </c>
      <c r="Q79" s="3" t="s">
        <v>49</v>
      </c>
    </row>
    <row r="80" customFormat="false" ht="35.05" hidden="false" customHeight="false" outlineLevel="0" collapsed="false">
      <c r="A80" s="3" t="s">
        <v>113</v>
      </c>
      <c r="B80" s="3" t="s">
        <v>18</v>
      </c>
      <c r="C80" s="3" t="s">
        <v>33</v>
      </c>
      <c r="D80" s="4" t="n">
        <v>46291</v>
      </c>
      <c r="E80" s="5" t="n">
        <v>0.8125</v>
      </c>
      <c r="F80" s="5" t="n">
        <v>0.833333333333333</v>
      </c>
      <c r="G80" s="3" t="s">
        <v>20</v>
      </c>
      <c r="H80" s="3" t="s">
        <v>20</v>
      </c>
      <c r="I80" s="3" t="str">
        <f aca="false">IF(E80&gt;=TIME(18,0,0),"Y","")</f>
        <v>Y</v>
      </c>
      <c r="J80" s="3" t="str">
        <f aca="false">IF(AND(ISNUMBER(F80),F80&gt;TIME(21,0,0)),"Y","")</f>
        <v/>
      </c>
      <c r="K80" s="3" t="s">
        <v>29</v>
      </c>
      <c r="L80" s="3" t="s">
        <v>35</v>
      </c>
      <c r="M80" s="3" t="str">
        <f aca="false">CHOOSE(WEEKDAY(D80),"일","월","화","수","목","금","토")</f>
        <v>토</v>
      </c>
      <c r="N80" s="6" t="s">
        <v>72</v>
      </c>
      <c r="O80" s="3" t="s">
        <v>23</v>
      </c>
      <c r="P80" s="4" t="n">
        <v>46286</v>
      </c>
      <c r="Q80" s="3"/>
    </row>
    <row r="81" customFormat="false" ht="35.05" hidden="false" customHeight="false" outlineLevel="0" collapsed="false">
      <c r="A81" s="3" t="s">
        <v>114</v>
      </c>
      <c r="B81" s="3" t="s">
        <v>18</v>
      </c>
      <c r="C81" s="3" t="s">
        <v>28</v>
      </c>
      <c r="D81" s="4" t="n">
        <v>46291</v>
      </c>
      <c r="E81" s="5" t="n">
        <v>0.833333333333333</v>
      </c>
      <c r="F81" s="5" t="n">
        <v>0.854166666666667</v>
      </c>
      <c r="G81" s="3" t="s">
        <v>20</v>
      </c>
      <c r="H81" s="3" t="s">
        <v>20</v>
      </c>
      <c r="I81" s="3" t="str">
        <f aca="false">IF(E81&gt;=TIME(18,0,0),"Y","")</f>
        <v>Y</v>
      </c>
      <c r="J81" s="3" t="str">
        <f aca="false">IF(AND(ISNUMBER(F81),F81&gt;TIME(21,0,0)),"Y","")</f>
        <v/>
      </c>
      <c r="K81" s="3" t="s">
        <v>29</v>
      </c>
      <c r="L81" s="3" t="s">
        <v>19</v>
      </c>
      <c r="M81" s="3" t="str">
        <f aca="false">CHOOSE(WEEKDAY(D81),"일","월","화","수","목","금","토")</f>
        <v>토</v>
      </c>
      <c r="N81" s="6" t="s">
        <v>72</v>
      </c>
      <c r="O81" s="3" t="s">
        <v>23</v>
      </c>
      <c r="P81" s="4" t="n">
        <v>46286</v>
      </c>
      <c r="Q81" s="3"/>
    </row>
    <row r="82" customFormat="false" ht="35.05" hidden="false" customHeight="false" outlineLevel="0" collapsed="false">
      <c r="A82" s="3" t="s">
        <v>115</v>
      </c>
      <c r="B82" s="3" t="s">
        <v>18</v>
      </c>
      <c r="C82" s="3" t="s">
        <v>33</v>
      </c>
      <c r="D82" s="4" t="n">
        <v>46291</v>
      </c>
      <c r="E82" s="5" t="n">
        <v>0.833333333333333</v>
      </c>
      <c r="F82" s="5" t="n">
        <v>0.875</v>
      </c>
      <c r="G82" s="3" t="s">
        <v>20</v>
      </c>
      <c r="H82" s="3" t="s">
        <v>20</v>
      </c>
      <c r="I82" s="3" t="str">
        <f aca="false">IF(E82&gt;=TIME(18,0,0),"Y","")</f>
        <v>Y</v>
      </c>
      <c r="J82" s="3" t="str">
        <f aca="false">IF(AND(ISNUMBER(F82),F82&gt;TIME(21,0,0)),"Y","")</f>
        <v/>
      </c>
      <c r="K82" s="3" t="s">
        <v>29</v>
      </c>
      <c r="L82" s="3" t="s">
        <v>35</v>
      </c>
      <c r="M82" s="3" t="str">
        <f aca="false">CHOOSE(WEEKDAY(D82),"일","월","화","수","목","금","토")</f>
        <v>토</v>
      </c>
      <c r="N82" s="6" t="s">
        <v>72</v>
      </c>
      <c r="O82" s="3" t="s">
        <v>23</v>
      </c>
      <c r="P82" s="4" t="n">
        <v>46286</v>
      </c>
      <c r="Q82" s="3"/>
    </row>
    <row r="83" customFormat="false" ht="35.05" hidden="false" customHeight="false" outlineLevel="0" collapsed="false">
      <c r="A83" s="3" t="s">
        <v>116</v>
      </c>
      <c r="B83" s="3" t="s">
        <v>18</v>
      </c>
      <c r="C83" s="3" t="s">
        <v>28</v>
      </c>
      <c r="D83" s="4" t="n">
        <v>46291</v>
      </c>
      <c r="E83" s="5" t="n">
        <v>0.854166666666667</v>
      </c>
      <c r="F83" s="5" t="n">
        <v>0.895833333333333</v>
      </c>
      <c r="G83" s="3" t="s">
        <v>20</v>
      </c>
      <c r="H83" s="3" t="s">
        <v>20</v>
      </c>
      <c r="I83" s="3" t="str">
        <f aca="false">IF(E83&gt;=TIME(18,0,0),"Y","")</f>
        <v>Y</v>
      </c>
      <c r="J83" s="3" t="str">
        <f aca="false">IF(AND(ISNUMBER(F83),F83&gt;TIME(21,0,0)),"Y","")</f>
        <v>Y</v>
      </c>
      <c r="K83" s="3" t="s">
        <v>29</v>
      </c>
      <c r="L83" s="3" t="s">
        <v>19</v>
      </c>
      <c r="M83" s="3" t="str">
        <f aca="false">CHOOSE(WEEKDAY(D83),"일","월","화","수","목","금","토")</f>
        <v>토</v>
      </c>
      <c r="N83" s="6" t="s">
        <v>72</v>
      </c>
      <c r="O83" s="3" t="s">
        <v>23</v>
      </c>
      <c r="P83" s="4" t="n">
        <v>46286</v>
      </c>
      <c r="Q83" s="3"/>
    </row>
    <row r="84" customFormat="false" ht="46.25" hidden="false" customHeight="false" outlineLevel="0" collapsed="false">
      <c r="A84" s="3" t="s">
        <v>117</v>
      </c>
      <c r="B84" s="3" t="s">
        <v>18</v>
      </c>
      <c r="C84" s="3" t="s">
        <v>59</v>
      </c>
      <c r="D84" s="4" t="n">
        <v>46291</v>
      </c>
      <c r="E84" s="5" t="n">
        <v>0.854166666666667</v>
      </c>
      <c r="F84" s="5" t="n">
        <v>0.895833333333333</v>
      </c>
      <c r="G84" s="3" t="s">
        <v>60</v>
      </c>
      <c r="H84" s="3" t="s">
        <v>61</v>
      </c>
      <c r="I84" s="3" t="str">
        <f aca="false">IF(E84&gt;=TIME(18,0,0),"Y","")</f>
        <v>Y</v>
      </c>
      <c r="J84" s="3" t="str">
        <f aca="false">IF(AND(ISNUMBER(F84),F84&gt;TIME(21,0,0)),"Y","")</f>
        <v>Y</v>
      </c>
      <c r="K84" s="3" t="s">
        <v>75</v>
      </c>
      <c r="L84" s="3" t="s">
        <v>19</v>
      </c>
      <c r="M84" s="3" t="str">
        <f aca="false">CHOOSE(WEEKDAY(D84),"일","월","화","수","목","금","토")</f>
        <v>토</v>
      </c>
      <c r="N84" s="6" t="s">
        <v>72</v>
      </c>
      <c r="O84" s="3" t="s">
        <v>23</v>
      </c>
      <c r="P84" s="4" t="n">
        <v>46286</v>
      </c>
      <c r="Q84" s="3" t="s">
        <v>63</v>
      </c>
    </row>
    <row r="85" customFormat="false" ht="35.05" hidden="false" customHeight="false" outlineLevel="0" collapsed="false">
      <c r="A85" s="3" t="s">
        <v>118</v>
      </c>
      <c r="B85" s="3" t="s">
        <v>18</v>
      </c>
      <c r="C85" s="3" t="s">
        <v>33</v>
      </c>
      <c r="D85" s="4" t="n">
        <v>46291</v>
      </c>
      <c r="E85" s="5" t="n">
        <v>0.875</v>
      </c>
      <c r="F85" s="5" t="n">
        <v>0.916666666666667</v>
      </c>
      <c r="G85" s="3" t="s">
        <v>20</v>
      </c>
      <c r="H85" s="3" t="s">
        <v>20</v>
      </c>
      <c r="I85" s="3" t="str">
        <f aca="false">IF(E85&gt;=TIME(18,0,0),"Y","")</f>
        <v>Y</v>
      </c>
      <c r="J85" s="3" t="str">
        <f aca="false">IF(AND(ISNUMBER(F85),F85&gt;TIME(21,0,0)),"Y","")</f>
        <v>Y</v>
      </c>
      <c r="K85" s="3" t="s">
        <v>29</v>
      </c>
      <c r="L85" s="3" t="s">
        <v>35</v>
      </c>
      <c r="M85" s="3" t="str">
        <f aca="false">CHOOSE(WEEKDAY(D85),"일","월","화","수","목","금","토")</f>
        <v>토</v>
      </c>
      <c r="N85" s="6" t="s">
        <v>72</v>
      </c>
      <c r="O85" s="3" t="s">
        <v>23</v>
      </c>
      <c r="P85" s="4" t="n">
        <v>46286</v>
      </c>
      <c r="Q85" s="3"/>
    </row>
    <row r="86" customFormat="false" ht="35.05" hidden="false" customHeight="false" outlineLevel="0" collapsed="false">
      <c r="A86" s="3" t="s">
        <v>119</v>
      </c>
      <c r="B86" s="3" t="s">
        <v>18</v>
      </c>
      <c r="C86" s="3" t="s">
        <v>33</v>
      </c>
      <c r="D86" s="4" t="n">
        <v>46291</v>
      </c>
      <c r="E86" s="5" t="n">
        <v>0.916666666666667</v>
      </c>
      <c r="F86" s="5" t="n">
        <v>0.958333333333333</v>
      </c>
      <c r="G86" s="3" t="s">
        <v>20</v>
      </c>
      <c r="H86" s="3" t="s">
        <v>20</v>
      </c>
      <c r="I86" s="3" t="str">
        <f aca="false">IF(E86&gt;=TIME(18,0,0),"Y","")</f>
        <v>Y</v>
      </c>
      <c r="J86" s="3" t="str">
        <f aca="false">IF(AND(ISNUMBER(F86),F86&gt;TIME(21,0,0)),"Y","")</f>
        <v>Y</v>
      </c>
      <c r="K86" s="3" t="s">
        <v>29</v>
      </c>
      <c r="L86" s="3" t="s">
        <v>35</v>
      </c>
      <c r="M86" s="3" t="str">
        <f aca="false">CHOOSE(WEEKDAY(D86),"일","월","화","수","목","금","토")</f>
        <v>토</v>
      </c>
      <c r="N86" s="6" t="s">
        <v>72</v>
      </c>
      <c r="O86" s="3" t="s">
        <v>23</v>
      </c>
      <c r="P86" s="4" t="n">
        <v>46286</v>
      </c>
      <c r="Q86" s="3"/>
    </row>
    <row r="87" customFormat="false" ht="46.25" hidden="false" customHeight="false" outlineLevel="0" collapsed="false">
      <c r="A87" s="3" t="s">
        <v>56</v>
      </c>
      <c r="B87" s="3" t="s">
        <v>18</v>
      </c>
      <c r="C87" s="3" t="s">
        <v>59</v>
      </c>
      <c r="D87" s="4" t="n">
        <v>46292</v>
      </c>
      <c r="E87" s="5" t="n">
        <v>0.416666666666667</v>
      </c>
      <c r="F87" s="5" t="n">
        <v>0.458333333333333</v>
      </c>
      <c r="G87" s="3" t="s">
        <v>60</v>
      </c>
      <c r="H87" s="3" t="s">
        <v>61</v>
      </c>
      <c r="I87" s="3" t="str">
        <f aca="false">IF(E87&gt;=TIME(18,0,0),"Y","")</f>
        <v/>
      </c>
      <c r="J87" s="3" t="str">
        <f aca="false">IF(AND(ISNUMBER(F87),F87&gt;TIME(21,0,0)),"Y","")</f>
        <v/>
      </c>
      <c r="K87" s="3" t="s">
        <v>62</v>
      </c>
      <c r="L87" s="3" t="s">
        <v>19</v>
      </c>
      <c r="M87" s="3" t="str">
        <f aca="false">CHOOSE(WEEKDAY(D87),"일","월","화","수","목","금","토")</f>
        <v>일</v>
      </c>
      <c r="N87" s="6" t="s">
        <v>120</v>
      </c>
      <c r="O87" s="3" t="s">
        <v>23</v>
      </c>
      <c r="P87" s="4" t="n">
        <v>46286</v>
      </c>
      <c r="Q87" s="3" t="s">
        <v>63</v>
      </c>
    </row>
    <row r="88" customFormat="false" ht="35.05" hidden="false" customHeight="false" outlineLevel="0" collapsed="false">
      <c r="A88" s="3" t="s">
        <v>121</v>
      </c>
      <c r="B88" s="3" t="s">
        <v>18</v>
      </c>
      <c r="C88" s="3" t="s">
        <v>33</v>
      </c>
      <c r="D88" s="4" t="n">
        <v>46292</v>
      </c>
      <c r="E88" s="5" t="n">
        <v>0.416666666666667</v>
      </c>
      <c r="F88" s="5" t="n">
        <v>0.458333333333333</v>
      </c>
      <c r="G88" s="3" t="s">
        <v>20</v>
      </c>
      <c r="H88" s="3" t="s">
        <v>20</v>
      </c>
      <c r="I88" s="3" t="str">
        <f aca="false">IF(E88&gt;=TIME(18,0,0),"Y","")</f>
        <v/>
      </c>
      <c r="J88" s="3" t="str">
        <f aca="false">IF(AND(ISNUMBER(F88),F88&gt;TIME(21,0,0)),"Y","")</f>
        <v/>
      </c>
      <c r="K88" s="3" t="s">
        <v>21</v>
      </c>
      <c r="L88" s="3" t="s">
        <v>35</v>
      </c>
      <c r="M88" s="3" t="str">
        <f aca="false">CHOOSE(WEEKDAY(D88),"일","월","화","수","목","금","토")</f>
        <v>일</v>
      </c>
      <c r="N88" s="6" t="s">
        <v>120</v>
      </c>
      <c r="O88" s="3" t="s">
        <v>23</v>
      </c>
      <c r="P88" s="4" t="n">
        <v>46286</v>
      </c>
      <c r="Q88" s="3"/>
    </row>
    <row r="89" customFormat="false" ht="35.05" hidden="false" customHeight="false" outlineLevel="0" collapsed="false">
      <c r="A89" s="3" t="s">
        <v>55</v>
      </c>
      <c r="B89" s="3" t="s">
        <v>51</v>
      </c>
      <c r="C89" s="3" t="s">
        <v>52</v>
      </c>
      <c r="D89" s="4" t="n">
        <v>46292</v>
      </c>
      <c r="E89" s="5" t="n">
        <v>0.458333333333333</v>
      </c>
      <c r="F89" s="5" t="n">
        <v>0.479166666666667</v>
      </c>
      <c r="G89" s="3" t="s">
        <v>20</v>
      </c>
      <c r="H89" s="3" t="s">
        <v>20</v>
      </c>
      <c r="I89" s="3" t="str">
        <f aca="false">IF(E89&gt;=TIME(18,0,0),"Y","")</f>
        <v/>
      </c>
      <c r="J89" s="3" t="str">
        <f aca="false">IF(AND(ISNUMBER(F89),F89&gt;TIME(21,0,0)),"Y","")</f>
        <v/>
      </c>
      <c r="K89" s="3" t="s">
        <v>51</v>
      </c>
      <c r="L89" s="3" t="s">
        <v>19</v>
      </c>
      <c r="M89" s="3" t="str">
        <f aca="false">CHOOSE(WEEKDAY(D89),"일","월","화","수","목","금","토")</f>
        <v>일</v>
      </c>
      <c r="N89" s="6" t="s">
        <v>120</v>
      </c>
      <c r="O89" s="3" t="s">
        <v>23</v>
      </c>
      <c r="P89" s="4" t="n">
        <v>46286</v>
      </c>
      <c r="Q89" s="3"/>
    </row>
    <row r="90" customFormat="false" ht="35.05" hidden="false" customHeight="false" outlineLevel="0" collapsed="false">
      <c r="A90" s="3" t="s">
        <v>122</v>
      </c>
      <c r="B90" s="3" t="s">
        <v>18</v>
      </c>
      <c r="C90" s="3" t="s">
        <v>33</v>
      </c>
      <c r="D90" s="4" t="n">
        <v>46292</v>
      </c>
      <c r="E90" s="5" t="n">
        <v>0.458333333333333</v>
      </c>
      <c r="F90" s="5" t="n">
        <v>0.5</v>
      </c>
      <c r="G90" s="3" t="s">
        <v>20</v>
      </c>
      <c r="H90" s="3" t="s">
        <v>20</v>
      </c>
      <c r="I90" s="3" t="str">
        <f aca="false">IF(E90&gt;=TIME(18,0,0),"Y","")</f>
        <v/>
      </c>
      <c r="J90" s="3" t="str">
        <f aca="false">IF(AND(ISNUMBER(F90),F90&gt;TIME(21,0,0)),"Y","")</f>
        <v/>
      </c>
      <c r="K90" s="3" t="s">
        <v>75</v>
      </c>
      <c r="L90" s="3" t="s">
        <v>35</v>
      </c>
      <c r="M90" s="3" t="str">
        <f aca="false">CHOOSE(WEEKDAY(D90),"일","월","화","수","목","금","토")</f>
        <v>일</v>
      </c>
      <c r="N90" s="6" t="s">
        <v>120</v>
      </c>
      <c r="O90" s="3" t="s">
        <v>23</v>
      </c>
      <c r="P90" s="4" t="n">
        <v>46286</v>
      </c>
      <c r="Q90" s="3"/>
    </row>
    <row r="91" customFormat="false" ht="35.05" hidden="false" customHeight="false" outlineLevel="0" collapsed="false">
      <c r="A91" s="3" t="s">
        <v>42</v>
      </c>
      <c r="B91" s="3" t="s">
        <v>32</v>
      </c>
      <c r="C91" s="3" t="s">
        <v>43</v>
      </c>
      <c r="D91" s="4" t="n">
        <v>46292</v>
      </c>
      <c r="E91" s="5" t="n">
        <v>0.458333333333333</v>
      </c>
      <c r="F91" s="5" t="n">
        <v>0.5</v>
      </c>
      <c r="G91" s="3" t="s">
        <v>20</v>
      </c>
      <c r="H91" s="3" t="s">
        <v>20</v>
      </c>
      <c r="I91" s="3" t="str">
        <f aca="false">IF(E91&gt;=TIME(18,0,0),"Y","")</f>
        <v/>
      </c>
      <c r="J91" s="3" t="str">
        <f aca="false">IF(AND(ISNUMBER(F91),F91&gt;TIME(21,0,0)),"Y","")</f>
        <v/>
      </c>
      <c r="K91" s="3" t="s">
        <v>34</v>
      </c>
      <c r="L91" s="3" t="s">
        <v>44</v>
      </c>
      <c r="M91" s="3" t="str">
        <f aca="false">CHOOSE(WEEKDAY(D91),"일","월","화","수","목","금","토")</f>
        <v>일</v>
      </c>
      <c r="N91" s="6" t="s">
        <v>120</v>
      </c>
      <c r="O91" s="3" t="s">
        <v>23</v>
      </c>
      <c r="P91" s="4" t="n">
        <v>46286</v>
      </c>
      <c r="Q91" s="3"/>
    </row>
    <row r="92" customFormat="false" ht="35.05" hidden="false" customHeight="false" outlineLevel="0" collapsed="false">
      <c r="A92" s="3" t="s">
        <v>50</v>
      </c>
      <c r="B92" s="3" t="s">
        <v>51</v>
      </c>
      <c r="C92" s="3" t="s">
        <v>52</v>
      </c>
      <c r="D92" s="4" t="n">
        <v>46292</v>
      </c>
      <c r="E92" s="5" t="n">
        <v>0.479166666666667</v>
      </c>
      <c r="F92" s="5" t="n">
        <v>0.5</v>
      </c>
      <c r="G92" s="3" t="s">
        <v>20</v>
      </c>
      <c r="H92" s="3" t="s">
        <v>20</v>
      </c>
      <c r="I92" s="3" t="str">
        <f aca="false">IF(E92&gt;=TIME(18,0,0),"Y","")</f>
        <v/>
      </c>
      <c r="J92" s="3" t="str">
        <f aca="false">IF(AND(ISNUMBER(F92),F92&gt;TIME(21,0,0)),"Y","")</f>
        <v/>
      </c>
      <c r="K92" s="3" t="s">
        <v>51</v>
      </c>
      <c r="L92" s="3" t="s">
        <v>19</v>
      </c>
      <c r="M92" s="3" t="str">
        <f aca="false">CHOOSE(WEEKDAY(D92),"일","월","화","수","목","금","토")</f>
        <v>일</v>
      </c>
      <c r="N92" s="6" t="s">
        <v>120</v>
      </c>
      <c r="O92" s="3" t="s">
        <v>23</v>
      </c>
      <c r="P92" s="4" t="n">
        <v>46286</v>
      </c>
      <c r="Q92" s="3"/>
    </row>
    <row r="93" customFormat="false" ht="46.25" hidden="false" customHeight="false" outlineLevel="0" collapsed="false">
      <c r="A93" s="3" t="s">
        <v>123</v>
      </c>
      <c r="B93" s="3" t="s">
        <v>18</v>
      </c>
      <c r="C93" s="3" t="s">
        <v>59</v>
      </c>
      <c r="D93" s="4" t="n">
        <v>46292</v>
      </c>
      <c r="E93" s="5" t="n">
        <v>0.479166666666667</v>
      </c>
      <c r="F93" s="5" t="n">
        <v>0.520833333333333</v>
      </c>
      <c r="G93" s="3" t="s">
        <v>60</v>
      </c>
      <c r="H93" s="3" t="s">
        <v>61</v>
      </c>
      <c r="I93" s="3" t="str">
        <f aca="false">IF(E93&gt;=TIME(18,0,0),"Y","")</f>
        <v/>
      </c>
      <c r="J93" s="3" t="str">
        <f aca="false">IF(AND(ISNUMBER(F93),F93&gt;TIME(21,0,0)),"Y","")</f>
        <v/>
      </c>
      <c r="K93" s="3" t="s">
        <v>75</v>
      </c>
      <c r="L93" s="3" t="s">
        <v>19</v>
      </c>
      <c r="M93" s="3" t="str">
        <f aca="false">CHOOSE(WEEKDAY(D93),"일","월","화","수","목","금","토")</f>
        <v>일</v>
      </c>
      <c r="N93" s="6" t="s">
        <v>120</v>
      </c>
      <c r="O93" s="3" t="s">
        <v>23</v>
      </c>
      <c r="P93" s="4" t="n">
        <v>46286</v>
      </c>
      <c r="Q93" s="3" t="s">
        <v>63</v>
      </c>
    </row>
    <row r="94" customFormat="false" ht="35.05" hidden="false" customHeight="false" outlineLevel="0" collapsed="false">
      <c r="A94" s="3" t="s">
        <v>124</v>
      </c>
      <c r="B94" s="3" t="s">
        <v>18</v>
      </c>
      <c r="C94" s="3" t="s">
        <v>28</v>
      </c>
      <c r="D94" s="4" t="n">
        <v>46292</v>
      </c>
      <c r="E94" s="5" t="n">
        <v>0.5</v>
      </c>
      <c r="F94" s="5" t="n">
        <v>0.520833333333333</v>
      </c>
      <c r="G94" s="3" t="s">
        <v>20</v>
      </c>
      <c r="H94" s="3" t="s">
        <v>20</v>
      </c>
      <c r="I94" s="3" t="str">
        <f aca="false">IF(E94&gt;=TIME(18,0,0),"Y","")</f>
        <v/>
      </c>
      <c r="J94" s="3" t="str">
        <f aca="false">IF(AND(ISNUMBER(F94),F94&gt;TIME(21,0,0)),"Y","")</f>
        <v/>
      </c>
      <c r="K94" s="3" t="s">
        <v>29</v>
      </c>
      <c r="L94" s="3" t="s">
        <v>19</v>
      </c>
      <c r="M94" s="3" t="str">
        <f aca="false">CHOOSE(WEEKDAY(D94),"일","월","화","수","목","금","토")</f>
        <v>일</v>
      </c>
      <c r="N94" s="6" t="s">
        <v>120</v>
      </c>
      <c r="O94" s="3" t="s">
        <v>23</v>
      </c>
      <c r="P94" s="4" t="n">
        <v>46286</v>
      </c>
      <c r="Q94" s="3"/>
    </row>
    <row r="95" customFormat="false" ht="35.05" hidden="false" customHeight="false" outlineLevel="0" collapsed="false">
      <c r="A95" s="3" t="s">
        <v>125</v>
      </c>
      <c r="B95" s="3" t="s">
        <v>18</v>
      </c>
      <c r="C95" s="3" t="s">
        <v>33</v>
      </c>
      <c r="D95" s="4" t="n">
        <v>46292</v>
      </c>
      <c r="E95" s="5" t="n">
        <v>0.5</v>
      </c>
      <c r="F95" s="5" t="n">
        <v>0.520833333333333</v>
      </c>
      <c r="G95" s="3" t="s">
        <v>20</v>
      </c>
      <c r="H95" s="3" t="s">
        <v>20</v>
      </c>
      <c r="I95" s="3" t="str">
        <f aca="false">IF(E95&gt;=TIME(18,0,0),"Y","")</f>
        <v/>
      </c>
      <c r="J95" s="3" t="str">
        <f aca="false">IF(AND(ISNUMBER(F95),F95&gt;TIME(21,0,0)),"Y","")</f>
        <v/>
      </c>
      <c r="K95" s="3" t="s">
        <v>29</v>
      </c>
      <c r="L95" s="3" t="s">
        <v>35</v>
      </c>
      <c r="M95" s="3" t="str">
        <f aca="false">CHOOSE(WEEKDAY(D95),"일","월","화","수","목","금","토")</f>
        <v>일</v>
      </c>
      <c r="N95" s="6" t="s">
        <v>120</v>
      </c>
      <c r="O95" s="3" t="s">
        <v>23</v>
      </c>
      <c r="P95" s="4" t="n">
        <v>46286</v>
      </c>
      <c r="Q95" s="3"/>
    </row>
    <row r="96" customFormat="false" ht="35.05" hidden="false" customHeight="false" outlineLevel="0" collapsed="false">
      <c r="A96" s="3" t="s">
        <v>126</v>
      </c>
      <c r="B96" s="3" t="s">
        <v>18</v>
      </c>
      <c r="C96" s="3" t="s">
        <v>33</v>
      </c>
      <c r="D96" s="4" t="n">
        <v>46292</v>
      </c>
      <c r="E96" s="5" t="n">
        <v>0.520833333333333</v>
      </c>
      <c r="F96" s="5" t="n">
        <v>0.5625</v>
      </c>
      <c r="G96" s="3" t="s">
        <v>20</v>
      </c>
      <c r="H96" s="3" t="s">
        <v>20</v>
      </c>
      <c r="I96" s="3" t="str">
        <f aca="false">IF(E96&gt;=TIME(18,0,0),"Y","")</f>
        <v/>
      </c>
      <c r="J96" s="3" t="str">
        <f aca="false">IF(AND(ISNUMBER(F96),F96&gt;TIME(21,0,0)),"Y","")</f>
        <v/>
      </c>
      <c r="K96" s="3" t="s">
        <v>29</v>
      </c>
      <c r="L96" s="3" t="s">
        <v>35</v>
      </c>
      <c r="M96" s="3" t="str">
        <f aca="false">CHOOSE(WEEKDAY(D96),"일","월","화","수","목","금","토")</f>
        <v>일</v>
      </c>
      <c r="N96" s="6" t="s">
        <v>120</v>
      </c>
      <c r="O96" s="3" t="s">
        <v>23</v>
      </c>
      <c r="P96" s="4" t="n">
        <v>46286</v>
      </c>
      <c r="Q96" s="3"/>
    </row>
    <row r="97" customFormat="false" ht="35.05" hidden="false" customHeight="false" outlineLevel="0" collapsed="false">
      <c r="A97" s="3" t="s">
        <v>50</v>
      </c>
      <c r="B97" s="3" t="s">
        <v>51</v>
      </c>
      <c r="C97" s="3" t="s">
        <v>52</v>
      </c>
      <c r="D97" s="4" t="n">
        <v>46292</v>
      </c>
      <c r="E97" s="5" t="n">
        <v>0.541666666666667</v>
      </c>
      <c r="F97" s="5" t="n">
        <v>0.5625</v>
      </c>
      <c r="G97" s="3" t="s">
        <v>20</v>
      </c>
      <c r="H97" s="3" t="s">
        <v>20</v>
      </c>
      <c r="I97" s="3" t="str">
        <f aca="false">IF(E97&gt;=TIME(18,0,0),"Y","")</f>
        <v/>
      </c>
      <c r="J97" s="3" t="str">
        <f aca="false">IF(AND(ISNUMBER(F97),F97&gt;TIME(21,0,0)),"Y","")</f>
        <v/>
      </c>
      <c r="K97" s="3" t="s">
        <v>51</v>
      </c>
      <c r="L97" s="3" t="s">
        <v>19</v>
      </c>
      <c r="M97" s="3" t="str">
        <f aca="false">CHOOSE(WEEKDAY(D97),"일","월","화","수","목","금","토")</f>
        <v>일</v>
      </c>
      <c r="N97" s="6" t="s">
        <v>120</v>
      </c>
      <c r="O97" s="3" t="s">
        <v>23</v>
      </c>
      <c r="P97" s="4" t="n">
        <v>46286</v>
      </c>
      <c r="Q97" s="3"/>
    </row>
    <row r="98" customFormat="false" ht="35.05" hidden="false" customHeight="false" outlineLevel="0" collapsed="false">
      <c r="A98" s="3" t="s">
        <v>127</v>
      </c>
      <c r="B98" s="3" t="s">
        <v>18</v>
      </c>
      <c r="C98" s="3" t="s">
        <v>28</v>
      </c>
      <c r="D98" s="4" t="n">
        <v>46292</v>
      </c>
      <c r="E98" s="5" t="n">
        <v>0.541666666666667</v>
      </c>
      <c r="F98" s="5" t="n">
        <v>0.5625</v>
      </c>
      <c r="G98" s="3" t="s">
        <v>20</v>
      </c>
      <c r="H98" s="3" t="s">
        <v>20</v>
      </c>
      <c r="I98" s="3" t="str">
        <f aca="false">IF(E98&gt;=TIME(18,0,0),"Y","")</f>
        <v/>
      </c>
      <c r="J98" s="3" t="str">
        <f aca="false">IF(AND(ISNUMBER(F98),F98&gt;TIME(21,0,0)),"Y","")</f>
        <v/>
      </c>
      <c r="K98" s="3" t="s">
        <v>29</v>
      </c>
      <c r="L98" s="3" t="s">
        <v>19</v>
      </c>
      <c r="M98" s="3" t="str">
        <f aca="false">CHOOSE(WEEKDAY(D98),"일","월","화","수","목","금","토")</f>
        <v>일</v>
      </c>
      <c r="N98" s="6" t="s">
        <v>120</v>
      </c>
      <c r="O98" s="3" t="s">
        <v>23</v>
      </c>
      <c r="P98" s="4" t="n">
        <v>46286</v>
      </c>
      <c r="Q98" s="3"/>
    </row>
    <row r="99" customFormat="false" ht="35.05" hidden="false" customHeight="false" outlineLevel="0" collapsed="false">
      <c r="A99" s="3" t="s">
        <v>128</v>
      </c>
      <c r="B99" s="3" t="s">
        <v>18</v>
      </c>
      <c r="C99" s="3" t="s">
        <v>57</v>
      </c>
      <c r="D99" s="4" t="n">
        <v>46292</v>
      </c>
      <c r="E99" s="5" t="n">
        <v>0.541666666666667</v>
      </c>
      <c r="F99" s="5" t="n">
        <v>0.5625</v>
      </c>
      <c r="G99" s="3" t="s">
        <v>20</v>
      </c>
      <c r="H99" s="3" t="s">
        <v>20</v>
      </c>
      <c r="I99" s="3" t="str">
        <f aca="false">IF(E99&gt;=TIME(18,0,0),"Y","")</f>
        <v/>
      </c>
      <c r="J99" s="3" t="str">
        <f aca="false">IF(AND(ISNUMBER(F99),F99&gt;TIME(21,0,0)),"Y","")</f>
        <v/>
      </c>
      <c r="K99" s="3" t="s">
        <v>48</v>
      </c>
      <c r="L99" s="3" t="s">
        <v>47</v>
      </c>
      <c r="M99" s="3" t="str">
        <f aca="false">CHOOSE(WEEKDAY(D99),"일","월","화","수","목","금","토")</f>
        <v>일</v>
      </c>
      <c r="N99" s="6" t="s">
        <v>120</v>
      </c>
      <c r="O99" s="3" t="s">
        <v>23</v>
      </c>
      <c r="P99" s="4" t="n">
        <v>46286</v>
      </c>
      <c r="Q99" s="3" t="s">
        <v>49</v>
      </c>
    </row>
    <row r="100" customFormat="false" ht="35.05" hidden="false" customHeight="false" outlineLevel="0" collapsed="false">
      <c r="A100" s="3" t="s">
        <v>17</v>
      </c>
      <c r="B100" s="3" t="s">
        <v>18</v>
      </c>
      <c r="C100" s="3" t="s">
        <v>19</v>
      </c>
      <c r="D100" s="4" t="n">
        <v>46292</v>
      </c>
      <c r="E100" s="5" t="n">
        <v>0.541666666666667</v>
      </c>
      <c r="F100" s="5" t="n">
        <v>0.583333333333333</v>
      </c>
      <c r="G100" s="3" t="s">
        <v>20</v>
      </c>
      <c r="H100" s="3" t="s">
        <v>20</v>
      </c>
      <c r="I100" s="3" t="str">
        <f aca="false">IF(E100&gt;=TIME(18,0,0),"Y","")</f>
        <v/>
      </c>
      <c r="J100" s="3" t="str">
        <f aca="false">IF(AND(ISNUMBER(F100),F100&gt;TIME(21,0,0)),"Y","")</f>
        <v/>
      </c>
      <c r="K100" s="3" t="s">
        <v>21</v>
      </c>
      <c r="L100" s="3" t="s">
        <v>19</v>
      </c>
      <c r="M100" s="3" t="str">
        <f aca="false">CHOOSE(WEEKDAY(D100),"일","월","화","수","목","금","토")</f>
        <v>일</v>
      </c>
      <c r="N100" s="6" t="s">
        <v>120</v>
      </c>
      <c r="O100" s="3" t="s">
        <v>23</v>
      </c>
      <c r="P100" s="4" t="n">
        <v>46286</v>
      </c>
      <c r="Q100" s="3"/>
    </row>
    <row r="101" customFormat="false" ht="46.25" hidden="false" customHeight="false" outlineLevel="0" collapsed="false">
      <c r="A101" s="3" t="s">
        <v>129</v>
      </c>
      <c r="B101" s="3" t="s">
        <v>18</v>
      </c>
      <c r="C101" s="3" t="s">
        <v>59</v>
      </c>
      <c r="D101" s="4" t="n">
        <v>46292</v>
      </c>
      <c r="E101" s="5" t="n">
        <v>0.541666666666667</v>
      </c>
      <c r="F101" s="5" t="n">
        <v>0.583333333333333</v>
      </c>
      <c r="G101" s="3" t="s">
        <v>60</v>
      </c>
      <c r="H101" s="3" t="s">
        <v>61</v>
      </c>
      <c r="I101" s="3" t="str">
        <f aca="false">IF(E101&gt;=TIME(18,0,0),"Y","")</f>
        <v/>
      </c>
      <c r="J101" s="3" t="str">
        <f aca="false">IF(AND(ISNUMBER(F101),F101&gt;TIME(21,0,0)),"Y","")</f>
        <v/>
      </c>
      <c r="K101" s="3" t="s">
        <v>62</v>
      </c>
      <c r="L101" s="3" t="s">
        <v>19</v>
      </c>
      <c r="M101" s="3" t="str">
        <f aca="false">CHOOSE(WEEKDAY(D101),"일","월","화","수","목","금","토")</f>
        <v>일</v>
      </c>
      <c r="N101" s="6" t="s">
        <v>120</v>
      </c>
      <c r="O101" s="3" t="s">
        <v>23</v>
      </c>
      <c r="P101" s="4" t="n">
        <v>46286</v>
      </c>
      <c r="Q101" s="3" t="s">
        <v>63</v>
      </c>
    </row>
    <row r="102" customFormat="false" ht="35.05" hidden="false" customHeight="false" outlineLevel="0" collapsed="false">
      <c r="A102" s="3" t="s">
        <v>91</v>
      </c>
      <c r="B102" s="3" t="s">
        <v>18</v>
      </c>
      <c r="C102" s="3" t="s">
        <v>87</v>
      </c>
      <c r="D102" s="4" t="n">
        <v>46292</v>
      </c>
      <c r="E102" s="5" t="n">
        <v>0.541666666666667</v>
      </c>
      <c r="F102" s="5" t="n">
        <v>0.583333333333333</v>
      </c>
      <c r="G102" s="3" t="s">
        <v>20</v>
      </c>
      <c r="H102" s="3" t="s">
        <v>20</v>
      </c>
      <c r="I102" s="3" t="str">
        <f aca="false">IF(E102&gt;=TIME(18,0,0),"Y","")</f>
        <v/>
      </c>
      <c r="J102" s="3" t="str">
        <f aca="false">IF(AND(ISNUMBER(F102),F102&gt;TIME(21,0,0)),"Y","")</f>
        <v/>
      </c>
      <c r="K102" s="3" t="s">
        <v>66</v>
      </c>
      <c r="L102" s="3" t="s">
        <v>26</v>
      </c>
      <c r="M102" s="3" t="str">
        <f aca="false">CHOOSE(WEEKDAY(D102),"일","월","화","수","목","금","토")</f>
        <v>일</v>
      </c>
      <c r="N102" s="6" t="s">
        <v>120</v>
      </c>
      <c r="O102" s="3" t="s">
        <v>23</v>
      </c>
      <c r="P102" s="4" t="n">
        <v>46286</v>
      </c>
      <c r="Q102" s="3"/>
    </row>
    <row r="103" customFormat="false" ht="35.05" hidden="false" customHeight="false" outlineLevel="0" collapsed="false">
      <c r="A103" s="3" t="s">
        <v>130</v>
      </c>
      <c r="B103" s="3" t="s">
        <v>18</v>
      </c>
      <c r="C103" s="3" t="s">
        <v>33</v>
      </c>
      <c r="D103" s="4" t="n">
        <v>46292</v>
      </c>
      <c r="E103" s="5" t="n">
        <v>0.5625</v>
      </c>
      <c r="F103" s="5" t="n">
        <v>0.583333333333333</v>
      </c>
      <c r="G103" s="3" t="s">
        <v>20</v>
      </c>
      <c r="H103" s="3" t="s">
        <v>20</v>
      </c>
      <c r="I103" s="3" t="str">
        <f aca="false">IF(E103&gt;=TIME(18,0,0),"Y","")</f>
        <v/>
      </c>
      <c r="J103" s="3" t="str">
        <f aca="false">IF(AND(ISNUMBER(F103),F103&gt;TIME(21,0,0)),"Y","")</f>
        <v/>
      </c>
      <c r="K103" s="3" t="s">
        <v>29</v>
      </c>
      <c r="L103" s="3" t="s">
        <v>35</v>
      </c>
      <c r="M103" s="3" t="str">
        <f aca="false">CHOOSE(WEEKDAY(D103),"일","월","화","수","목","금","토")</f>
        <v>일</v>
      </c>
      <c r="N103" s="6" t="s">
        <v>120</v>
      </c>
      <c r="O103" s="3" t="s">
        <v>23</v>
      </c>
      <c r="P103" s="4" t="n">
        <v>46286</v>
      </c>
      <c r="Q103" s="3"/>
    </row>
    <row r="104" customFormat="false" ht="35.05" hidden="false" customHeight="false" outlineLevel="0" collapsed="false">
      <c r="A104" s="3" t="s">
        <v>90</v>
      </c>
      <c r="B104" s="3" t="s">
        <v>32</v>
      </c>
      <c r="C104" s="3" t="s">
        <v>52</v>
      </c>
      <c r="D104" s="4" t="n">
        <v>46292</v>
      </c>
      <c r="E104" s="5" t="n">
        <v>0.583333333333333</v>
      </c>
      <c r="F104" s="5" t="n">
        <v>0.625</v>
      </c>
      <c r="G104" s="3" t="s">
        <v>20</v>
      </c>
      <c r="H104" s="3" t="s">
        <v>20</v>
      </c>
      <c r="I104" s="3" t="str">
        <f aca="false">IF(E104&gt;=TIME(18,0,0),"Y","")</f>
        <v/>
      </c>
      <c r="J104" s="3" t="str">
        <f aca="false">IF(AND(ISNUMBER(F104),F104&gt;TIME(21,0,0)),"Y","")</f>
        <v/>
      </c>
      <c r="K104" s="3" t="s">
        <v>34</v>
      </c>
      <c r="L104" s="3" t="s">
        <v>19</v>
      </c>
      <c r="M104" s="3" t="str">
        <f aca="false">CHOOSE(WEEKDAY(D104),"일","월","화","수","목","금","토")</f>
        <v>일</v>
      </c>
      <c r="N104" s="6" t="s">
        <v>120</v>
      </c>
      <c r="O104" s="3" t="s">
        <v>23</v>
      </c>
      <c r="P104" s="4" t="n">
        <v>46286</v>
      </c>
      <c r="Q104" s="3"/>
    </row>
    <row r="105" customFormat="false" ht="35.05" hidden="false" customHeight="false" outlineLevel="0" collapsed="false">
      <c r="A105" s="3" t="s">
        <v>131</v>
      </c>
      <c r="B105" s="3" t="s">
        <v>18</v>
      </c>
      <c r="C105" s="3" t="s">
        <v>28</v>
      </c>
      <c r="D105" s="4" t="n">
        <v>46292</v>
      </c>
      <c r="E105" s="5" t="n">
        <v>0.583333333333333</v>
      </c>
      <c r="F105" s="5" t="n">
        <v>0.625</v>
      </c>
      <c r="G105" s="3" t="s">
        <v>20</v>
      </c>
      <c r="H105" s="3" t="s">
        <v>20</v>
      </c>
      <c r="I105" s="3" t="str">
        <f aca="false">IF(E105&gt;=TIME(18,0,0),"Y","")</f>
        <v/>
      </c>
      <c r="J105" s="3" t="str">
        <f aca="false">IF(AND(ISNUMBER(F105),F105&gt;TIME(21,0,0)),"Y","")</f>
        <v/>
      </c>
      <c r="K105" s="3" t="s">
        <v>29</v>
      </c>
      <c r="L105" s="3" t="s">
        <v>19</v>
      </c>
      <c r="M105" s="3" t="str">
        <f aca="false">CHOOSE(WEEKDAY(D105),"일","월","화","수","목","금","토")</f>
        <v>일</v>
      </c>
      <c r="N105" s="6" t="s">
        <v>120</v>
      </c>
      <c r="O105" s="3" t="s">
        <v>23</v>
      </c>
      <c r="P105" s="4" t="n">
        <v>46286</v>
      </c>
      <c r="Q105" s="3"/>
    </row>
    <row r="106" customFormat="false" ht="35.05" hidden="false" customHeight="false" outlineLevel="0" collapsed="false">
      <c r="A106" s="3" t="s">
        <v>132</v>
      </c>
      <c r="B106" s="3" t="s">
        <v>18</v>
      </c>
      <c r="C106" s="3" t="s">
        <v>43</v>
      </c>
      <c r="D106" s="4" t="n">
        <v>46292</v>
      </c>
      <c r="E106" s="5" t="n">
        <v>0.583333333333333</v>
      </c>
      <c r="F106" s="5" t="n">
        <v>0.625</v>
      </c>
      <c r="G106" s="3" t="s">
        <v>20</v>
      </c>
      <c r="H106" s="3" t="s">
        <v>20</v>
      </c>
      <c r="I106" s="3" t="str">
        <f aca="false">IF(E106&gt;=TIME(18,0,0),"Y","")</f>
        <v/>
      </c>
      <c r="J106" s="3" t="str">
        <f aca="false">IF(AND(ISNUMBER(F106),F106&gt;TIME(21,0,0)),"Y","")</f>
        <v/>
      </c>
      <c r="K106" s="3" t="s">
        <v>75</v>
      </c>
      <c r="L106" s="3" t="s">
        <v>44</v>
      </c>
      <c r="M106" s="3" t="str">
        <f aca="false">CHOOSE(WEEKDAY(D106),"일","월","화","수","목","금","토")</f>
        <v>일</v>
      </c>
      <c r="N106" s="6" t="s">
        <v>120</v>
      </c>
      <c r="O106" s="3" t="s">
        <v>23</v>
      </c>
      <c r="P106" s="4" t="n">
        <v>46286</v>
      </c>
      <c r="Q106" s="3"/>
    </row>
    <row r="107" customFormat="false" ht="35.05" hidden="false" customHeight="false" outlineLevel="0" collapsed="false">
      <c r="A107" s="3" t="s">
        <v>56</v>
      </c>
      <c r="B107" s="3" t="s">
        <v>18</v>
      </c>
      <c r="C107" s="3" t="s">
        <v>57</v>
      </c>
      <c r="D107" s="4" t="n">
        <v>46292</v>
      </c>
      <c r="E107" s="5" t="n">
        <v>0.583333333333333</v>
      </c>
      <c r="F107" s="5" t="n">
        <v>0.625</v>
      </c>
      <c r="G107" s="3" t="s">
        <v>20</v>
      </c>
      <c r="H107" s="3" t="s">
        <v>20</v>
      </c>
      <c r="I107" s="3" t="str">
        <f aca="false">IF(E107&gt;=TIME(18,0,0),"Y","")</f>
        <v/>
      </c>
      <c r="J107" s="3" t="str">
        <f aca="false">IF(AND(ISNUMBER(F107),F107&gt;TIME(21,0,0)),"Y","")</f>
        <v/>
      </c>
      <c r="K107" s="3" t="s">
        <v>48</v>
      </c>
      <c r="L107" s="3" t="s">
        <v>47</v>
      </c>
      <c r="M107" s="3" t="str">
        <f aca="false">CHOOSE(WEEKDAY(D107),"일","월","화","수","목","금","토")</f>
        <v>일</v>
      </c>
      <c r="N107" s="6" t="s">
        <v>120</v>
      </c>
      <c r="O107" s="3" t="s">
        <v>23</v>
      </c>
      <c r="P107" s="4" t="n">
        <v>46286</v>
      </c>
      <c r="Q107" s="3" t="s">
        <v>49</v>
      </c>
    </row>
    <row r="108" customFormat="false" ht="35.05" hidden="false" customHeight="false" outlineLevel="0" collapsed="false">
      <c r="A108" s="3" t="s">
        <v>133</v>
      </c>
      <c r="B108" s="3" t="s">
        <v>18</v>
      </c>
      <c r="C108" s="3" t="s">
        <v>33</v>
      </c>
      <c r="D108" s="4" t="n">
        <v>46292</v>
      </c>
      <c r="E108" s="5" t="n">
        <v>0.583333333333333</v>
      </c>
      <c r="F108" s="5" t="n">
        <v>0.645833333333333</v>
      </c>
      <c r="G108" s="3" t="s">
        <v>20</v>
      </c>
      <c r="H108" s="3" t="s">
        <v>20</v>
      </c>
      <c r="I108" s="3" t="str">
        <f aca="false">IF(E108&gt;=TIME(18,0,0),"Y","")</f>
        <v/>
      </c>
      <c r="J108" s="3" t="str">
        <f aca="false">IF(AND(ISNUMBER(F108),F108&gt;TIME(21,0,0)),"Y","")</f>
        <v/>
      </c>
      <c r="K108" s="3" t="s">
        <v>29</v>
      </c>
      <c r="L108" s="3" t="s">
        <v>35</v>
      </c>
      <c r="M108" s="3" t="str">
        <f aca="false">CHOOSE(WEEKDAY(D108),"일","월","화","수","목","금","토")</f>
        <v>일</v>
      </c>
      <c r="N108" s="6" t="s">
        <v>120</v>
      </c>
      <c r="O108" s="3" t="s">
        <v>23</v>
      </c>
      <c r="P108" s="4" t="n">
        <v>46286</v>
      </c>
      <c r="Q108" s="3"/>
    </row>
    <row r="109" customFormat="false" ht="35.05" hidden="false" customHeight="false" outlineLevel="0" collapsed="false">
      <c r="A109" s="3" t="s">
        <v>134</v>
      </c>
      <c r="B109" s="3" t="s">
        <v>18</v>
      </c>
      <c r="C109" s="3" t="s">
        <v>52</v>
      </c>
      <c r="D109" s="4" t="n">
        <v>46292</v>
      </c>
      <c r="E109" s="5" t="n">
        <v>0.583333333333333</v>
      </c>
      <c r="F109" s="5" t="n">
        <v>0.666666666666667</v>
      </c>
      <c r="G109" s="3" t="s">
        <v>20</v>
      </c>
      <c r="H109" s="3" t="s">
        <v>20</v>
      </c>
      <c r="I109" s="3" t="str">
        <f aca="false">IF(E109&gt;=TIME(18,0,0),"Y","")</f>
        <v/>
      </c>
      <c r="J109" s="3" t="str">
        <f aca="false">IF(AND(ISNUMBER(F109),F109&gt;TIME(21,0,0)),"Y","")</f>
        <v/>
      </c>
      <c r="K109" s="3" t="s">
        <v>21</v>
      </c>
      <c r="L109" s="3" t="s">
        <v>19</v>
      </c>
      <c r="M109" s="3" t="str">
        <f aca="false">CHOOSE(WEEKDAY(D109),"일","월","화","수","목","금","토")</f>
        <v>일</v>
      </c>
      <c r="N109" s="6" t="s">
        <v>120</v>
      </c>
      <c r="O109" s="3" t="s">
        <v>23</v>
      </c>
      <c r="P109" s="4" t="n">
        <v>46286</v>
      </c>
      <c r="Q109" s="3"/>
    </row>
    <row r="110" customFormat="false" ht="46.25" hidden="false" customHeight="false" outlineLevel="0" collapsed="false">
      <c r="A110" s="3" t="s">
        <v>135</v>
      </c>
      <c r="B110" s="3" t="s">
        <v>18</v>
      </c>
      <c r="C110" s="3" t="s">
        <v>59</v>
      </c>
      <c r="D110" s="4" t="n">
        <v>46292</v>
      </c>
      <c r="E110" s="5" t="n">
        <v>0.604166666666667</v>
      </c>
      <c r="F110" s="5" t="n">
        <v>0.645833333333333</v>
      </c>
      <c r="G110" s="3" t="s">
        <v>60</v>
      </c>
      <c r="H110" s="3" t="s">
        <v>61</v>
      </c>
      <c r="I110" s="3" t="str">
        <f aca="false">IF(E110&gt;=TIME(18,0,0),"Y","")</f>
        <v/>
      </c>
      <c r="J110" s="3" t="str">
        <f aca="false">IF(AND(ISNUMBER(F110),F110&gt;TIME(21,0,0)),"Y","")</f>
        <v/>
      </c>
      <c r="K110" s="3" t="s">
        <v>75</v>
      </c>
      <c r="L110" s="3" t="s">
        <v>19</v>
      </c>
      <c r="M110" s="3" t="str">
        <f aca="false">CHOOSE(WEEKDAY(D110),"일","월","화","수","목","금","토")</f>
        <v>일</v>
      </c>
      <c r="N110" s="6" t="s">
        <v>120</v>
      </c>
      <c r="O110" s="3" t="s">
        <v>23</v>
      </c>
      <c r="P110" s="4" t="n">
        <v>46286</v>
      </c>
      <c r="Q110" s="3" t="s">
        <v>63</v>
      </c>
    </row>
    <row r="111" customFormat="false" ht="35.05" hidden="false" customHeight="false" outlineLevel="0" collapsed="false">
      <c r="A111" s="3" t="s">
        <v>136</v>
      </c>
      <c r="B111" s="3" t="s">
        <v>32</v>
      </c>
      <c r="C111" s="3" t="s">
        <v>28</v>
      </c>
      <c r="D111" s="4" t="n">
        <v>46292</v>
      </c>
      <c r="E111" s="5" t="n">
        <v>0.625</v>
      </c>
      <c r="F111" s="5" t="n">
        <v>0.645833333333333</v>
      </c>
      <c r="G111" s="3" t="s">
        <v>20</v>
      </c>
      <c r="H111" s="3" t="s">
        <v>20</v>
      </c>
      <c r="I111" s="3" t="str">
        <f aca="false">IF(E111&gt;=TIME(18,0,0),"Y","")</f>
        <v/>
      </c>
      <c r="J111" s="3" t="str">
        <f aca="false">IF(AND(ISNUMBER(F111),F111&gt;TIME(21,0,0)),"Y","")</f>
        <v/>
      </c>
      <c r="K111" s="3" t="s">
        <v>34</v>
      </c>
      <c r="L111" s="3" t="s">
        <v>19</v>
      </c>
      <c r="M111" s="3" t="str">
        <f aca="false">CHOOSE(WEEKDAY(D111),"일","월","화","수","목","금","토")</f>
        <v>일</v>
      </c>
      <c r="N111" s="6" t="s">
        <v>120</v>
      </c>
      <c r="O111" s="3" t="s">
        <v>23</v>
      </c>
      <c r="P111" s="4" t="n">
        <v>46286</v>
      </c>
      <c r="Q111" s="3"/>
    </row>
    <row r="112" customFormat="false" ht="35.05" hidden="false" customHeight="false" outlineLevel="0" collapsed="false">
      <c r="A112" s="3" t="s">
        <v>17</v>
      </c>
      <c r="B112" s="3" t="s">
        <v>18</v>
      </c>
      <c r="C112" s="3" t="s">
        <v>19</v>
      </c>
      <c r="D112" s="4" t="n">
        <v>46292</v>
      </c>
      <c r="E112" s="5" t="n">
        <v>0.625</v>
      </c>
      <c r="F112" s="5" t="n">
        <v>0.666666666666667</v>
      </c>
      <c r="G112" s="3" t="s">
        <v>20</v>
      </c>
      <c r="H112" s="3" t="s">
        <v>20</v>
      </c>
      <c r="I112" s="3" t="str">
        <f aca="false">IF(E112&gt;=TIME(18,0,0),"Y","")</f>
        <v/>
      </c>
      <c r="J112" s="3" t="str">
        <f aca="false">IF(AND(ISNUMBER(F112),F112&gt;TIME(21,0,0)),"Y","")</f>
        <v/>
      </c>
      <c r="K112" s="3" t="s">
        <v>21</v>
      </c>
      <c r="L112" s="3" t="s">
        <v>19</v>
      </c>
      <c r="M112" s="3" t="str">
        <f aca="false">CHOOSE(WEEKDAY(D112),"일","월","화","수","목","금","토")</f>
        <v>일</v>
      </c>
      <c r="N112" s="6" t="s">
        <v>120</v>
      </c>
      <c r="O112" s="3" t="s">
        <v>23</v>
      </c>
      <c r="P112" s="4" t="n">
        <v>46286</v>
      </c>
      <c r="Q112" s="3"/>
    </row>
    <row r="113" customFormat="false" ht="35.05" hidden="false" customHeight="false" outlineLevel="0" collapsed="false">
      <c r="A113" s="3" t="s">
        <v>81</v>
      </c>
      <c r="B113" s="3" t="s">
        <v>18</v>
      </c>
      <c r="C113" s="3" t="s">
        <v>54</v>
      </c>
      <c r="D113" s="4" t="n">
        <v>46292</v>
      </c>
      <c r="E113" s="5" t="n">
        <v>0.625</v>
      </c>
      <c r="F113" s="5" t="n">
        <v>0.666666666666667</v>
      </c>
      <c r="G113" s="3" t="s">
        <v>20</v>
      </c>
      <c r="H113" s="3" t="s">
        <v>20</v>
      </c>
      <c r="I113" s="3" t="str">
        <f aca="false">IF(E113&gt;=TIME(18,0,0),"Y","")</f>
        <v/>
      </c>
      <c r="J113" s="3" t="str">
        <f aca="false">IF(AND(ISNUMBER(F113),F113&gt;TIME(21,0,0)),"Y","")</f>
        <v/>
      </c>
      <c r="K113" s="3" t="s">
        <v>66</v>
      </c>
      <c r="L113" s="3" t="s">
        <v>26</v>
      </c>
      <c r="M113" s="3" t="str">
        <f aca="false">CHOOSE(WEEKDAY(D113),"일","월","화","수","목","금","토")</f>
        <v>일</v>
      </c>
      <c r="N113" s="6" t="s">
        <v>120</v>
      </c>
      <c r="O113" s="3" t="s">
        <v>23</v>
      </c>
      <c r="P113" s="4" t="n">
        <v>46286</v>
      </c>
      <c r="Q113" s="3"/>
    </row>
    <row r="114" customFormat="false" ht="35.05" hidden="false" customHeight="false" outlineLevel="0" collapsed="false">
      <c r="A114" s="3" t="s">
        <v>137</v>
      </c>
      <c r="B114" s="3" t="s">
        <v>32</v>
      </c>
      <c r="C114" s="3" t="s">
        <v>43</v>
      </c>
      <c r="D114" s="4" t="n">
        <v>46292</v>
      </c>
      <c r="E114" s="5" t="n">
        <v>0.625</v>
      </c>
      <c r="F114" s="5" t="n">
        <v>0.666666666666667</v>
      </c>
      <c r="G114" s="3" t="s">
        <v>20</v>
      </c>
      <c r="H114" s="3" t="s">
        <v>20</v>
      </c>
      <c r="I114" s="3" t="str">
        <f aca="false">IF(E114&gt;=TIME(18,0,0),"Y","")</f>
        <v/>
      </c>
      <c r="J114" s="3" t="str">
        <f aca="false">IF(AND(ISNUMBER(F114),F114&gt;TIME(21,0,0)),"Y","")</f>
        <v/>
      </c>
      <c r="K114" s="3" t="s">
        <v>34</v>
      </c>
      <c r="L114" s="3" t="s">
        <v>44</v>
      </c>
      <c r="M114" s="3" t="str">
        <f aca="false">CHOOSE(WEEKDAY(D114),"일","월","화","수","목","금","토")</f>
        <v>일</v>
      </c>
      <c r="N114" s="6" t="s">
        <v>120</v>
      </c>
      <c r="O114" s="3" t="s">
        <v>23</v>
      </c>
      <c r="P114" s="4" t="n">
        <v>46286</v>
      </c>
      <c r="Q114" s="3"/>
    </row>
    <row r="115" customFormat="false" ht="35.05" hidden="false" customHeight="false" outlineLevel="0" collapsed="false">
      <c r="A115" s="3" t="s">
        <v>138</v>
      </c>
      <c r="B115" s="3" t="s">
        <v>18</v>
      </c>
      <c r="C115" s="3" t="s">
        <v>57</v>
      </c>
      <c r="D115" s="4" t="n">
        <v>46292</v>
      </c>
      <c r="E115" s="5" t="n">
        <v>0.645833333333333</v>
      </c>
      <c r="F115" s="5" t="n">
        <v>0.6875</v>
      </c>
      <c r="G115" s="3" t="s">
        <v>20</v>
      </c>
      <c r="H115" s="3" t="s">
        <v>20</v>
      </c>
      <c r="I115" s="3" t="str">
        <f aca="false">IF(E115&gt;=TIME(18,0,0),"Y","")</f>
        <v/>
      </c>
      <c r="J115" s="3" t="str">
        <f aca="false">IF(AND(ISNUMBER(F115),F115&gt;TIME(21,0,0)),"Y","")</f>
        <v/>
      </c>
      <c r="K115" s="3" t="s">
        <v>48</v>
      </c>
      <c r="L115" s="3" t="s">
        <v>47</v>
      </c>
      <c r="M115" s="3" t="str">
        <f aca="false">CHOOSE(WEEKDAY(D115),"일","월","화","수","목","금","토")</f>
        <v>일</v>
      </c>
      <c r="N115" s="6" t="s">
        <v>120</v>
      </c>
      <c r="O115" s="3" t="s">
        <v>23</v>
      </c>
      <c r="P115" s="4" t="n">
        <v>46286</v>
      </c>
      <c r="Q115" s="3" t="s">
        <v>49</v>
      </c>
    </row>
    <row r="116" customFormat="false" ht="35.05" hidden="false" customHeight="false" outlineLevel="0" collapsed="false">
      <c r="A116" s="3" t="s">
        <v>139</v>
      </c>
      <c r="B116" s="3" t="s">
        <v>18</v>
      </c>
      <c r="C116" s="3" t="s">
        <v>33</v>
      </c>
      <c r="D116" s="4" t="n">
        <v>46292</v>
      </c>
      <c r="E116" s="5" t="n">
        <v>0.645833333333333</v>
      </c>
      <c r="F116" s="5" t="n">
        <v>0.708333333333333</v>
      </c>
      <c r="G116" s="3" t="s">
        <v>20</v>
      </c>
      <c r="H116" s="3" t="s">
        <v>20</v>
      </c>
      <c r="I116" s="3" t="str">
        <f aca="false">IF(E116&gt;=TIME(18,0,0),"Y","")</f>
        <v/>
      </c>
      <c r="J116" s="3" t="str">
        <f aca="false">IF(AND(ISNUMBER(F116),F116&gt;TIME(21,0,0)),"Y","")</f>
        <v/>
      </c>
      <c r="K116" s="3" t="s">
        <v>29</v>
      </c>
      <c r="L116" s="3" t="s">
        <v>35</v>
      </c>
      <c r="M116" s="3" t="str">
        <f aca="false">CHOOSE(WEEKDAY(D116),"일","월","화","수","목","금","토")</f>
        <v>일</v>
      </c>
      <c r="N116" s="6" t="s">
        <v>120</v>
      </c>
      <c r="O116" s="3" t="s">
        <v>23</v>
      </c>
      <c r="P116" s="4" t="n">
        <v>46286</v>
      </c>
      <c r="Q116" s="3"/>
    </row>
    <row r="117" customFormat="false" ht="35.05" hidden="false" customHeight="false" outlineLevel="0" collapsed="false">
      <c r="A117" s="3" t="s">
        <v>50</v>
      </c>
      <c r="B117" s="3" t="s">
        <v>51</v>
      </c>
      <c r="C117" s="3" t="s">
        <v>52</v>
      </c>
      <c r="D117" s="4" t="n">
        <v>46292</v>
      </c>
      <c r="E117" s="5" t="n">
        <v>0.666666666666667</v>
      </c>
      <c r="F117" s="5" t="n">
        <v>0.6875</v>
      </c>
      <c r="G117" s="3" t="s">
        <v>20</v>
      </c>
      <c r="H117" s="3" t="s">
        <v>20</v>
      </c>
      <c r="I117" s="3" t="str">
        <f aca="false">IF(E117&gt;=TIME(18,0,0),"Y","")</f>
        <v/>
      </c>
      <c r="J117" s="3" t="str">
        <f aca="false">IF(AND(ISNUMBER(F117),F117&gt;TIME(21,0,0)),"Y","")</f>
        <v/>
      </c>
      <c r="K117" s="3" t="s">
        <v>51</v>
      </c>
      <c r="L117" s="3" t="s">
        <v>19</v>
      </c>
      <c r="M117" s="3" t="str">
        <f aca="false">CHOOSE(WEEKDAY(D117),"일","월","화","수","목","금","토")</f>
        <v>일</v>
      </c>
      <c r="N117" s="6" t="s">
        <v>120</v>
      </c>
      <c r="O117" s="3" t="s">
        <v>23</v>
      </c>
      <c r="P117" s="4" t="n">
        <v>46286</v>
      </c>
      <c r="Q117" s="3"/>
    </row>
    <row r="118" customFormat="false" ht="46.25" hidden="false" customHeight="false" outlineLevel="0" collapsed="false">
      <c r="A118" s="3" t="s">
        <v>140</v>
      </c>
      <c r="B118" s="3" t="s">
        <v>18</v>
      </c>
      <c r="C118" s="3" t="s">
        <v>59</v>
      </c>
      <c r="D118" s="4" t="n">
        <v>46292</v>
      </c>
      <c r="E118" s="5" t="n">
        <v>0.666666666666667</v>
      </c>
      <c r="F118" s="5" t="n">
        <v>0.708333333333333</v>
      </c>
      <c r="G118" s="3" t="s">
        <v>60</v>
      </c>
      <c r="H118" s="3" t="s">
        <v>61</v>
      </c>
      <c r="I118" s="3" t="str">
        <f aca="false">IF(E118&gt;=TIME(18,0,0),"Y","")</f>
        <v/>
      </c>
      <c r="J118" s="3" t="str">
        <f aca="false">IF(AND(ISNUMBER(F118),F118&gt;TIME(21,0,0)),"Y","")</f>
        <v/>
      </c>
      <c r="K118" s="3" t="s">
        <v>110</v>
      </c>
      <c r="L118" s="3" t="s">
        <v>19</v>
      </c>
      <c r="M118" s="3" t="str">
        <f aca="false">CHOOSE(WEEKDAY(D118),"일","월","화","수","목","금","토")</f>
        <v>일</v>
      </c>
      <c r="N118" s="6" t="s">
        <v>120</v>
      </c>
      <c r="O118" s="3" t="s">
        <v>23</v>
      </c>
      <c r="P118" s="4" t="n">
        <v>46286</v>
      </c>
      <c r="Q118" s="3" t="s">
        <v>63</v>
      </c>
    </row>
    <row r="119" customFormat="false" ht="35.05" hidden="false" customHeight="false" outlineLevel="0" collapsed="false">
      <c r="A119" s="3" t="s">
        <v>83</v>
      </c>
      <c r="B119" s="3" t="s">
        <v>18</v>
      </c>
      <c r="C119" s="3" t="s">
        <v>43</v>
      </c>
      <c r="D119" s="4" t="n">
        <v>46292</v>
      </c>
      <c r="E119" s="5" t="n">
        <v>0.666666666666667</v>
      </c>
      <c r="F119" s="5" t="n">
        <v>0.708333333333333</v>
      </c>
      <c r="G119" s="3" t="s">
        <v>20</v>
      </c>
      <c r="H119" s="3" t="s">
        <v>20</v>
      </c>
      <c r="I119" s="3" t="str">
        <f aca="false">IF(E119&gt;=TIME(18,0,0),"Y","")</f>
        <v/>
      </c>
      <c r="J119" s="3" t="str">
        <f aca="false">IF(AND(ISNUMBER(F119),F119&gt;TIME(21,0,0)),"Y","")</f>
        <v/>
      </c>
      <c r="K119" s="3" t="s">
        <v>40</v>
      </c>
      <c r="L119" s="3" t="s">
        <v>44</v>
      </c>
      <c r="M119" s="3" t="str">
        <f aca="false">CHOOSE(WEEKDAY(D119),"일","월","화","수","목","금","토")</f>
        <v>일</v>
      </c>
      <c r="N119" s="6" t="s">
        <v>120</v>
      </c>
      <c r="O119" s="3" t="s">
        <v>23</v>
      </c>
      <c r="P119" s="4" t="n">
        <v>46286</v>
      </c>
      <c r="Q119" s="3"/>
    </row>
    <row r="120" customFormat="false" ht="35.05" hidden="false" customHeight="false" outlineLevel="0" collapsed="false">
      <c r="A120" s="3" t="s">
        <v>37</v>
      </c>
      <c r="B120" s="3" t="s">
        <v>18</v>
      </c>
      <c r="C120" s="3" t="s">
        <v>52</v>
      </c>
      <c r="D120" s="4" t="n">
        <v>46292</v>
      </c>
      <c r="E120" s="5" t="n">
        <v>0.6875</v>
      </c>
      <c r="F120" s="5" t="n">
        <v>0.708333333333333</v>
      </c>
      <c r="G120" s="3" t="s">
        <v>20</v>
      </c>
      <c r="H120" s="3" t="s">
        <v>20</v>
      </c>
      <c r="I120" s="3" t="str">
        <f aca="false">IF(E120&gt;=TIME(18,0,0),"Y","")</f>
        <v/>
      </c>
      <c r="J120" s="3" t="str">
        <f aca="false">IF(AND(ISNUMBER(F120),F120&gt;TIME(21,0,0)),"Y","")</f>
        <v/>
      </c>
      <c r="K120" s="3" t="s">
        <v>29</v>
      </c>
      <c r="L120" s="3" t="s">
        <v>19</v>
      </c>
      <c r="M120" s="3" t="str">
        <f aca="false">CHOOSE(WEEKDAY(D120),"일","월","화","수","목","금","토")</f>
        <v>일</v>
      </c>
      <c r="N120" s="6" t="s">
        <v>120</v>
      </c>
      <c r="O120" s="3" t="s">
        <v>23</v>
      </c>
      <c r="P120" s="4" t="n">
        <v>46286</v>
      </c>
      <c r="Q120" s="3"/>
    </row>
    <row r="121" customFormat="false" ht="35.05" hidden="false" customHeight="false" outlineLevel="0" collapsed="false">
      <c r="A121" s="3" t="s">
        <v>55</v>
      </c>
      <c r="B121" s="3" t="s">
        <v>51</v>
      </c>
      <c r="C121" s="3" t="s">
        <v>52</v>
      </c>
      <c r="D121" s="4" t="n">
        <v>46292</v>
      </c>
      <c r="E121" s="5" t="n">
        <v>0.708333333333333</v>
      </c>
      <c r="F121" s="5" t="n">
        <v>0.729166666666667</v>
      </c>
      <c r="G121" s="3" t="s">
        <v>20</v>
      </c>
      <c r="H121" s="3" t="s">
        <v>20</v>
      </c>
      <c r="I121" s="3" t="str">
        <f aca="false">IF(E121&gt;=TIME(18,0,0),"Y","")</f>
        <v/>
      </c>
      <c r="J121" s="3" t="str">
        <f aca="false">IF(AND(ISNUMBER(F121),F121&gt;TIME(21,0,0)),"Y","")</f>
        <v/>
      </c>
      <c r="K121" s="3" t="s">
        <v>51</v>
      </c>
      <c r="L121" s="3" t="s">
        <v>19</v>
      </c>
      <c r="M121" s="3" t="str">
        <f aca="false">CHOOSE(WEEKDAY(D121),"일","월","화","수","목","금","토")</f>
        <v>일</v>
      </c>
      <c r="N121" s="6" t="s">
        <v>120</v>
      </c>
      <c r="O121" s="3" t="s">
        <v>23</v>
      </c>
      <c r="P121" s="4" t="n">
        <v>46286</v>
      </c>
      <c r="Q121" s="3"/>
    </row>
    <row r="122" customFormat="false" ht="35.05" hidden="false" customHeight="false" outlineLevel="0" collapsed="false">
      <c r="A122" s="3" t="s">
        <v>141</v>
      </c>
      <c r="B122" s="3" t="s">
        <v>18</v>
      </c>
      <c r="C122" s="3" t="s">
        <v>33</v>
      </c>
      <c r="D122" s="4" t="n">
        <v>46292</v>
      </c>
      <c r="E122" s="5" t="n">
        <v>0.708333333333333</v>
      </c>
      <c r="F122" s="5" t="n">
        <v>0.729166666666667</v>
      </c>
      <c r="G122" s="3" t="s">
        <v>20</v>
      </c>
      <c r="H122" s="3" t="s">
        <v>20</v>
      </c>
      <c r="I122" s="3" t="str">
        <f aca="false">IF(E122&gt;=TIME(18,0,0),"Y","")</f>
        <v/>
      </c>
      <c r="J122" s="3" t="str">
        <f aca="false">IF(AND(ISNUMBER(F122),F122&gt;TIME(21,0,0)),"Y","")</f>
        <v/>
      </c>
      <c r="K122" s="3" t="s">
        <v>29</v>
      </c>
      <c r="L122" s="3" t="s">
        <v>35</v>
      </c>
      <c r="M122" s="3" t="str">
        <f aca="false">CHOOSE(WEEKDAY(D122),"일","월","화","수","목","금","토")</f>
        <v>일</v>
      </c>
      <c r="N122" s="6" t="s">
        <v>120</v>
      </c>
      <c r="O122" s="3" t="s">
        <v>23</v>
      </c>
      <c r="P122" s="4" t="n">
        <v>46286</v>
      </c>
      <c r="Q122" s="3"/>
    </row>
    <row r="123" customFormat="false" ht="35.05" hidden="false" customHeight="false" outlineLevel="0" collapsed="false">
      <c r="A123" s="7" t="s">
        <v>142</v>
      </c>
      <c r="B123" s="3" t="s">
        <v>32</v>
      </c>
      <c r="C123" s="3" t="s">
        <v>43</v>
      </c>
      <c r="D123" s="4" t="n">
        <v>46292</v>
      </c>
      <c r="E123" s="5" t="n">
        <v>0.708333333333333</v>
      </c>
      <c r="F123" s="5" t="n">
        <v>0.729166666666667</v>
      </c>
      <c r="G123" s="3" t="s">
        <v>20</v>
      </c>
      <c r="H123" s="3" t="s">
        <v>20</v>
      </c>
      <c r="I123" s="3" t="str">
        <f aca="false">IF(E123&gt;=TIME(18,0,0),"Y","")</f>
        <v/>
      </c>
      <c r="J123" s="3" t="str">
        <f aca="false">IF(AND(ISNUMBER(F123),F123&gt;TIME(21,0,0)),"Y","")</f>
        <v/>
      </c>
      <c r="K123" s="3" t="s">
        <v>34</v>
      </c>
      <c r="L123" s="3" t="s">
        <v>44</v>
      </c>
      <c r="M123" s="3" t="str">
        <f aca="false">CHOOSE(WEEKDAY(D123),"일","월","화","수","목","금","토")</f>
        <v>일</v>
      </c>
      <c r="N123" s="6" t="s">
        <v>120</v>
      </c>
      <c r="O123" s="3" t="s">
        <v>23</v>
      </c>
      <c r="P123" s="4" t="n">
        <v>46286</v>
      </c>
      <c r="Q123" s="3"/>
    </row>
    <row r="124" customFormat="false" ht="35.05" hidden="false" customHeight="false" outlineLevel="0" collapsed="false">
      <c r="A124" s="3" t="s">
        <v>17</v>
      </c>
      <c r="B124" s="3" t="s">
        <v>18</v>
      </c>
      <c r="C124" s="3" t="s">
        <v>19</v>
      </c>
      <c r="D124" s="4" t="n">
        <v>46292</v>
      </c>
      <c r="E124" s="5" t="n">
        <v>0.708333333333333</v>
      </c>
      <c r="F124" s="5" t="n">
        <v>0.75</v>
      </c>
      <c r="G124" s="3" t="s">
        <v>20</v>
      </c>
      <c r="H124" s="3" t="s">
        <v>20</v>
      </c>
      <c r="I124" s="3" t="str">
        <f aca="false">IF(E124&gt;=TIME(18,0,0),"Y","")</f>
        <v/>
      </c>
      <c r="J124" s="3" t="str">
        <f aca="false">IF(AND(ISNUMBER(F124),F124&gt;TIME(21,0,0)),"Y","")</f>
        <v/>
      </c>
      <c r="K124" s="3" t="s">
        <v>21</v>
      </c>
      <c r="L124" s="3" t="s">
        <v>19</v>
      </c>
      <c r="M124" s="3" t="str">
        <f aca="false">CHOOSE(WEEKDAY(D124),"일","월","화","수","목","금","토")</f>
        <v>일</v>
      </c>
      <c r="N124" s="6" t="s">
        <v>120</v>
      </c>
      <c r="O124" s="3" t="s">
        <v>23</v>
      </c>
      <c r="P124" s="4" t="n">
        <v>46286</v>
      </c>
      <c r="Q124" s="3"/>
    </row>
    <row r="125" customFormat="false" ht="35.05" hidden="false" customHeight="false" outlineLevel="0" collapsed="false">
      <c r="A125" s="3" t="s">
        <v>143</v>
      </c>
      <c r="B125" s="3" t="s">
        <v>18</v>
      </c>
      <c r="C125" s="3" t="s">
        <v>28</v>
      </c>
      <c r="D125" s="4" t="n">
        <v>46292</v>
      </c>
      <c r="E125" s="5" t="n">
        <v>0.708333333333333</v>
      </c>
      <c r="F125" s="5" t="n">
        <v>0.75</v>
      </c>
      <c r="G125" s="3" t="s">
        <v>20</v>
      </c>
      <c r="H125" s="3" t="s">
        <v>20</v>
      </c>
      <c r="I125" s="3" t="str">
        <f aca="false">IF(E125&gt;=TIME(18,0,0),"Y","")</f>
        <v/>
      </c>
      <c r="J125" s="3" t="str">
        <f aca="false">IF(AND(ISNUMBER(F125),F125&gt;TIME(21,0,0)),"Y","")</f>
        <v/>
      </c>
      <c r="K125" s="3" t="s">
        <v>40</v>
      </c>
      <c r="L125" s="3" t="s">
        <v>19</v>
      </c>
      <c r="M125" s="3" t="str">
        <f aca="false">CHOOSE(WEEKDAY(D125),"일","월","화","수","목","금","토")</f>
        <v>일</v>
      </c>
      <c r="N125" s="6" t="s">
        <v>120</v>
      </c>
      <c r="O125" s="3" t="s">
        <v>23</v>
      </c>
      <c r="P125" s="4" t="n">
        <v>46286</v>
      </c>
      <c r="Q125" s="3"/>
    </row>
    <row r="126" customFormat="false" ht="35.05" hidden="false" customHeight="false" outlineLevel="0" collapsed="false">
      <c r="A126" s="3" t="s">
        <v>98</v>
      </c>
      <c r="B126" s="3" t="s">
        <v>18</v>
      </c>
      <c r="C126" s="3" t="s">
        <v>33</v>
      </c>
      <c r="D126" s="4" t="n">
        <v>46292</v>
      </c>
      <c r="E126" s="5" t="n">
        <v>0.729166666666667</v>
      </c>
      <c r="F126" s="5" t="n">
        <v>0.75</v>
      </c>
      <c r="G126" s="3" t="s">
        <v>20</v>
      </c>
      <c r="H126" s="3" t="s">
        <v>20</v>
      </c>
      <c r="I126" s="3" t="str">
        <f aca="false">IF(E126&gt;=TIME(18,0,0),"Y","")</f>
        <v/>
      </c>
      <c r="J126" s="3" t="str">
        <f aca="false">IF(AND(ISNUMBER(F126),F126&gt;TIME(21,0,0)),"Y","")</f>
        <v/>
      </c>
      <c r="K126" s="3" t="s">
        <v>29</v>
      </c>
      <c r="L126" s="3" t="s">
        <v>35</v>
      </c>
      <c r="M126" s="3" t="str">
        <f aca="false">CHOOSE(WEEKDAY(D126),"일","월","화","수","목","금","토")</f>
        <v>일</v>
      </c>
      <c r="N126" s="6" t="s">
        <v>120</v>
      </c>
      <c r="O126" s="3" t="s">
        <v>23</v>
      </c>
      <c r="P126" s="4" t="n">
        <v>46286</v>
      </c>
      <c r="Q126" s="3"/>
    </row>
    <row r="127" customFormat="false" ht="46.25" hidden="false" customHeight="false" outlineLevel="0" collapsed="false">
      <c r="A127" s="3" t="s">
        <v>144</v>
      </c>
      <c r="B127" s="3" t="s">
        <v>18</v>
      </c>
      <c r="C127" s="3" t="s">
        <v>59</v>
      </c>
      <c r="D127" s="4" t="n">
        <v>46292</v>
      </c>
      <c r="E127" s="5" t="n">
        <v>0.729166666666667</v>
      </c>
      <c r="F127" s="5" t="n">
        <v>0.770833333333333</v>
      </c>
      <c r="G127" s="3" t="s">
        <v>60</v>
      </c>
      <c r="H127" s="3" t="s">
        <v>61</v>
      </c>
      <c r="I127" s="3" t="str">
        <f aca="false">IF(E127&gt;=TIME(18,0,0),"Y","")</f>
        <v/>
      </c>
      <c r="J127" s="3" t="str">
        <f aca="false">IF(AND(ISNUMBER(F127),F127&gt;TIME(21,0,0)),"Y","")</f>
        <v/>
      </c>
      <c r="K127" s="3" t="s">
        <v>62</v>
      </c>
      <c r="L127" s="3" t="s">
        <v>19</v>
      </c>
      <c r="M127" s="3" t="str">
        <f aca="false">CHOOSE(WEEKDAY(D127),"일","월","화","수","목","금","토")</f>
        <v>일</v>
      </c>
      <c r="N127" s="6" t="s">
        <v>120</v>
      </c>
      <c r="O127" s="3" t="s">
        <v>23</v>
      </c>
      <c r="P127" s="4" t="n">
        <v>46286</v>
      </c>
      <c r="Q127" s="3" t="s">
        <v>63</v>
      </c>
    </row>
    <row r="128" customFormat="false" ht="35.05" hidden="false" customHeight="false" outlineLevel="0" collapsed="false">
      <c r="A128" s="3" t="s">
        <v>145</v>
      </c>
      <c r="B128" s="3" t="s">
        <v>18</v>
      </c>
      <c r="C128" s="3" t="s">
        <v>28</v>
      </c>
      <c r="D128" s="4" t="n">
        <v>46292</v>
      </c>
      <c r="E128" s="5" t="n">
        <v>0.75</v>
      </c>
      <c r="F128" s="5" t="n">
        <v>0.770833333333333</v>
      </c>
      <c r="G128" s="3" t="s">
        <v>20</v>
      </c>
      <c r="H128" s="3" t="s">
        <v>20</v>
      </c>
      <c r="I128" s="3" t="str">
        <f aca="false">IF(E128&gt;=TIME(18,0,0),"Y","")</f>
        <v>Y</v>
      </c>
      <c r="J128" s="3" t="str">
        <f aca="false">IF(AND(ISNUMBER(F128),F128&gt;TIME(21,0,0)),"Y","")</f>
        <v/>
      </c>
      <c r="K128" s="3" t="s">
        <v>29</v>
      </c>
      <c r="L128" s="3" t="s">
        <v>19</v>
      </c>
      <c r="M128" s="3" t="str">
        <f aca="false">CHOOSE(WEEKDAY(D128),"일","월","화","수","목","금","토")</f>
        <v>일</v>
      </c>
      <c r="N128" s="6" t="s">
        <v>120</v>
      </c>
      <c r="O128" s="3" t="s">
        <v>23</v>
      </c>
      <c r="P128" s="4" t="n">
        <v>46286</v>
      </c>
      <c r="Q128" s="3"/>
    </row>
    <row r="129" customFormat="false" ht="35.05" hidden="false" customHeight="false" outlineLevel="0" collapsed="false">
      <c r="A129" s="3" t="s">
        <v>65</v>
      </c>
      <c r="B129" s="3" t="s">
        <v>18</v>
      </c>
      <c r="C129" s="3" t="s">
        <v>33</v>
      </c>
      <c r="D129" s="4" t="n">
        <v>46292</v>
      </c>
      <c r="E129" s="5" t="n">
        <v>0.75</v>
      </c>
      <c r="F129" s="5" t="n">
        <v>0.791666666666667</v>
      </c>
      <c r="G129" s="3" t="s">
        <v>20</v>
      </c>
      <c r="H129" s="3" t="s">
        <v>20</v>
      </c>
      <c r="I129" s="3" t="str">
        <f aca="false">IF(E129&gt;=TIME(18,0,0),"Y","")</f>
        <v>Y</v>
      </c>
      <c r="J129" s="3" t="str">
        <f aca="false">IF(AND(ISNUMBER(F129),F129&gt;TIME(21,0,0)),"Y","")</f>
        <v/>
      </c>
      <c r="K129" s="3" t="s">
        <v>66</v>
      </c>
      <c r="L129" s="3" t="s">
        <v>35</v>
      </c>
      <c r="M129" s="3" t="str">
        <f aca="false">CHOOSE(WEEKDAY(D129),"일","월","화","수","목","금","토")</f>
        <v>일</v>
      </c>
      <c r="N129" s="6" t="s">
        <v>120</v>
      </c>
      <c r="O129" s="3" t="s">
        <v>23</v>
      </c>
      <c r="P129" s="4" t="n">
        <v>46286</v>
      </c>
      <c r="Q129" s="3"/>
    </row>
    <row r="130" customFormat="false" ht="35.05" hidden="false" customHeight="false" outlineLevel="0" collapsed="false">
      <c r="A130" s="3" t="s">
        <v>65</v>
      </c>
      <c r="B130" s="3" t="s">
        <v>18</v>
      </c>
      <c r="C130" s="3" t="s">
        <v>43</v>
      </c>
      <c r="D130" s="4" t="n">
        <v>46292</v>
      </c>
      <c r="E130" s="5" t="n">
        <v>0.75</v>
      </c>
      <c r="F130" s="5" t="n">
        <v>0.791666666666667</v>
      </c>
      <c r="G130" s="3" t="s">
        <v>20</v>
      </c>
      <c r="H130" s="3" t="s">
        <v>20</v>
      </c>
      <c r="I130" s="3" t="str">
        <f aca="false">IF(E130&gt;=TIME(18,0,0),"Y","")</f>
        <v>Y</v>
      </c>
      <c r="J130" s="3" t="str">
        <f aca="false">IF(AND(ISNUMBER(F130),F130&gt;TIME(21,0,0)),"Y","")</f>
        <v/>
      </c>
      <c r="K130" s="3" t="s">
        <v>66</v>
      </c>
      <c r="L130" s="3" t="s">
        <v>44</v>
      </c>
      <c r="M130" s="3" t="str">
        <f aca="false">CHOOSE(WEEKDAY(D130),"일","월","화","수","목","금","토")</f>
        <v>일</v>
      </c>
      <c r="N130" s="6" t="s">
        <v>120</v>
      </c>
      <c r="O130" s="3" t="s">
        <v>23</v>
      </c>
      <c r="P130" s="4" t="n">
        <v>46286</v>
      </c>
      <c r="Q130" s="3"/>
    </row>
    <row r="131" customFormat="false" ht="35.05" hidden="false" customHeight="false" outlineLevel="0" collapsed="false">
      <c r="A131" s="3" t="s">
        <v>146</v>
      </c>
      <c r="B131" s="3" t="s">
        <v>18</v>
      </c>
      <c r="C131" s="3" t="s">
        <v>28</v>
      </c>
      <c r="D131" s="4" t="n">
        <v>46292</v>
      </c>
      <c r="E131" s="5" t="n">
        <v>0.770833333333333</v>
      </c>
      <c r="F131" s="5" t="n">
        <v>0.791666666666667</v>
      </c>
      <c r="G131" s="3" t="s">
        <v>20</v>
      </c>
      <c r="H131" s="3" t="s">
        <v>20</v>
      </c>
      <c r="I131" s="3" t="str">
        <f aca="false">IF(E131&gt;=TIME(18,0,0),"Y","")</f>
        <v>Y</v>
      </c>
      <c r="J131" s="3" t="str">
        <f aca="false">IF(AND(ISNUMBER(F131),F131&gt;TIME(21,0,0)),"Y","")</f>
        <v/>
      </c>
      <c r="K131" s="3" t="s">
        <v>29</v>
      </c>
      <c r="L131" s="3" t="s">
        <v>19</v>
      </c>
      <c r="M131" s="3" t="str">
        <f aca="false">CHOOSE(WEEKDAY(D131),"일","월","화","수","목","금","토")</f>
        <v>일</v>
      </c>
      <c r="N131" s="6" t="s">
        <v>120</v>
      </c>
      <c r="O131" s="3" t="s">
        <v>23</v>
      </c>
      <c r="P131" s="4" t="n">
        <v>46286</v>
      </c>
      <c r="Q131" s="3"/>
    </row>
    <row r="132" customFormat="false" ht="35.05" hidden="false" customHeight="false" outlineLevel="0" collapsed="false">
      <c r="A132" s="3" t="s">
        <v>147</v>
      </c>
      <c r="B132" s="3" t="s">
        <v>18</v>
      </c>
      <c r="C132" s="3" t="s">
        <v>28</v>
      </c>
      <c r="D132" s="4" t="n">
        <v>46292</v>
      </c>
      <c r="E132" s="5" t="n">
        <v>0.791666666666667</v>
      </c>
      <c r="F132" s="5" t="n">
        <v>0.8125</v>
      </c>
      <c r="G132" s="3" t="s">
        <v>20</v>
      </c>
      <c r="H132" s="3" t="s">
        <v>20</v>
      </c>
      <c r="I132" s="3" t="str">
        <f aca="false">IF(E132&gt;=TIME(18,0,0),"Y","")</f>
        <v>Y</v>
      </c>
      <c r="J132" s="3" t="str">
        <f aca="false">IF(AND(ISNUMBER(F132),F132&gt;TIME(21,0,0)),"Y","")</f>
        <v/>
      </c>
      <c r="K132" s="3" t="s">
        <v>29</v>
      </c>
      <c r="L132" s="3" t="s">
        <v>19</v>
      </c>
      <c r="M132" s="3" t="str">
        <f aca="false">CHOOSE(WEEKDAY(D132),"일","월","화","수","목","금","토")</f>
        <v>일</v>
      </c>
      <c r="N132" s="6" t="s">
        <v>120</v>
      </c>
      <c r="O132" s="3" t="s">
        <v>23</v>
      </c>
      <c r="P132" s="4" t="n">
        <v>46286</v>
      </c>
      <c r="Q132" s="3"/>
    </row>
    <row r="133" customFormat="false" ht="35.05" hidden="false" customHeight="false" outlineLevel="0" collapsed="false">
      <c r="A133" s="3" t="s">
        <v>104</v>
      </c>
      <c r="B133" s="3" t="s">
        <v>18</v>
      </c>
      <c r="C133" s="3" t="s">
        <v>33</v>
      </c>
      <c r="D133" s="4" t="n">
        <v>46292</v>
      </c>
      <c r="E133" s="5" t="n">
        <v>0.791666666666667</v>
      </c>
      <c r="F133" s="5" t="n">
        <v>0.8125</v>
      </c>
      <c r="G133" s="3" t="s">
        <v>20</v>
      </c>
      <c r="H133" s="3" t="s">
        <v>20</v>
      </c>
      <c r="I133" s="3" t="str">
        <f aca="false">IF(E133&gt;=TIME(18,0,0),"Y","")</f>
        <v>Y</v>
      </c>
      <c r="J133" s="3" t="str">
        <f aca="false">IF(AND(ISNUMBER(F133),F133&gt;TIME(21,0,0)),"Y","")</f>
        <v/>
      </c>
      <c r="K133" s="3" t="s">
        <v>105</v>
      </c>
      <c r="L133" s="3" t="s">
        <v>35</v>
      </c>
      <c r="M133" s="3" t="str">
        <f aca="false">CHOOSE(WEEKDAY(D133),"일","월","화","수","목","금","토")</f>
        <v>일</v>
      </c>
      <c r="N133" s="6" t="s">
        <v>120</v>
      </c>
      <c r="O133" s="3" t="s">
        <v>23</v>
      </c>
      <c r="P133" s="4" t="n">
        <v>46286</v>
      </c>
      <c r="Q133" s="3"/>
    </row>
    <row r="134" customFormat="false" ht="35.05" hidden="false" customHeight="false" outlineLevel="0" collapsed="false">
      <c r="A134" s="3" t="s">
        <v>106</v>
      </c>
      <c r="B134" s="3" t="s">
        <v>18</v>
      </c>
      <c r="C134" s="3" t="s">
        <v>52</v>
      </c>
      <c r="D134" s="4" t="n">
        <v>46292</v>
      </c>
      <c r="E134" s="5" t="n">
        <v>0.791666666666667</v>
      </c>
      <c r="F134" s="5" t="n">
        <v>0.833333333333333</v>
      </c>
      <c r="G134" s="3" t="s">
        <v>20</v>
      </c>
      <c r="H134" s="3" t="s">
        <v>20</v>
      </c>
      <c r="I134" s="3" t="str">
        <f aca="false">IF(E134&gt;=TIME(18,0,0),"Y","")</f>
        <v>Y</v>
      </c>
      <c r="J134" s="3" t="str">
        <f aca="false">IF(AND(ISNUMBER(F134),F134&gt;TIME(21,0,0)),"Y","")</f>
        <v/>
      </c>
      <c r="K134" s="3" t="s">
        <v>107</v>
      </c>
      <c r="L134" s="3" t="s">
        <v>19</v>
      </c>
      <c r="M134" s="3" t="str">
        <f aca="false">CHOOSE(WEEKDAY(D134),"일","월","화","수","목","금","토")</f>
        <v>일</v>
      </c>
      <c r="N134" s="6" t="s">
        <v>120</v>
      </c>
      <c r="O134" s="3" t="s">
        <v>23</v>
      </c>
      <c r="P134" s="4" t="n">
        <v>46286</v>
      </c>
      <c r="Q134" s="3"/>
    </row>
    <row r="135" customFormat="false" ht="46.25" hidden="false" customHeight="false" outlineLevel="0" collapsed="false">
      <c r="A135" s="3" t="s">
        <v>148</v>
      </c>
      <c r="B135" s="3" t="s">
        <v>18</v>
      </c>
      <c r="C135" s="3" t="s">
        <v>59</v>
      </c>
      <c r="D135" s="4" t="n">
        <v>46292</v>
      </c>
      <c r="E135" s="5" t="n">
        <v>0.791666666666667</v>
      </c>
      <c r="F135" s="5" t="n">
        <v>0.833333333333333</v>
      </c>
      <c r="G135" s="3" t="s">
        <v>60</v>
      </c>
      <c r="H135" s="3" t="s">
        <v>61</v>
      </c>
      <c r="I135" s="3" t="str">
        <f aca="false">IF(E135&gt;=TIME(18,0,0),"Y","")</f>
        <v>Y</v>
      </c>
      <c r="J135" s="3" t="str">
        <f aca="false">IF(AND(ISNUMBER(F135),F135&gt;TIME(21,0,0)),"Y","")</f>
        <v/>
      </c>
      <c r="K135" s="3" t="s">
        <v>75</v>
      </c>
      <c r="L135" s="3" t="s">
        <v>19</v>
      </c>
      <c r="M135" s="3" t="str">
        <f aca="false">CHOOSE(WEEKDAY(D135),"일","월","화","수","목","금","토")</f>
        <v>일</v>
      </c>
      <c r="N135" s="6" t="s">
        <v>120</v>
      </c>
      <c r="O135" s="3" t="s">
        <v>23</v>
      </c>
      <c r="P135" s="4" t="n">
        <v>46286</v>
      </c>
      <c r="Q135" s="3" t="s">
        <v>63</v>
      </c>
    </row>
    <row r="136" customFormat="false" ht="35.05" hidden="false" customHeight="false" outlineLevel="0" collapsed="false">
      <c r="A136" s="3" t="s">
        <v>149</v>
      </c>
      <c r="B136" s="3" t="s">
        <v>32</v>
      </c>
      <c r="C136" s="3" t="s">
        <v>43</v>
      </c>
      <c r="D136" s="4" t="n">
        <v>46292</v>
      </c>
      <c r="E136" s="5" t="n">
        <v>0.791666666666667</v>
      </c>
      <c r="F136" s="5" t="n">
        <v>0.833333333333333</v>
      </c>
      <c r="G136" s="3" t="s">
        <v>20</v>
      </c>
      <c r="H136" s="3" t="s">
        <v>20</v>
      </c>
      <c r="I136" s="3" t="str">
        <f aca="false">IF(E136&gt;=TIME(18,0,0),"Y","")</f>
        <v>Y</v>
      </c>
      <c r="J136" s="3" t="str">
        <f aca="false">IF(AND(ISNUMBER(F136),F136&gt;TIME(21,0,0)),"Y","")</f>
        <v/>
      </c>
      <c r="K136" s="3" t="s">
        <v>34</v>
      </c>
      <c r="L136" s="3" t="s">
        <v>44</v>
      </c>
      <c r="M136" s="3" t="str">
        <f aca="false">CHOOSE(WEEKDAY(D136),"일","월","화","수","목","금","토")</f>
        <v>일</v>
      </c>
      <c r="N136" s="6" t="s">
        <v>120</v>
      </c>
      <c r="O136" s="3" t="s">
        <v>23</v>
      </c>
      <c r="P136" s="4" t="n">
        <v>46286</v>
      </c>
      <c r="Q136" s="3"/>
    </row>
    <row r="137" customFormat="false" ht="35.05" hidden="false" customHeight="false" outlineLevel="0" collapsed="false">
      <c r="A137" s="3" t="s">
        <v>24</v>
      </c>
      <c r="B137" s="3" t="s">
        <v>18</v>
      </c>
      <c r="C137" s="3" t="s">
        <v>150</v>
      </c>
      <c r="D137" s="4" t="n">
        <v>46292</v>
      </c>
      <c r="E137" s="5" t="n">
        <v>0.791666666666667</v>
      </c>
      <c r="F137" s="5" t="n">
        <v>0.875</v>
      </c>
      <c r="G137" s="3" t="s">
        <v>20</v>
      </c>
      <c r="H137" s="3" t="s">
        <v>20</v>
      </c>
      <c r="I137" s="3" t="str">
        <f aca="false">IF(E137&gt;=TIME(18,0,0),"Y","")</f>
        <v>Y</v>
      </c>
      <c r="J137" s="3" t="str">
        <f aca="false">IF(AND(ISNUMBER(F137),F137&gt;TIME(21,0,0)),"Y","")</f>
        <v/>
      </c>
      <c r="K137" s="3" t="s">
        <v>21</v>
      </c>
      <c r="L137" s="3" t="s">
        <v>26</v>
      </c>
      <c r="M137" s="3" t="str">
        <f aca="false">CHOOSE(WEEKDAY(D137),"일","월","화","수","목","금","토")</f>
        <v>일</v>
      </c>
      <c r="N137" s="6" t="s">
        <v>120</v>
      </c>
      <c r="O137" s="3" t="s">
        <v>23</v>
      </c>
      <c r="P137" s="4" t="n">
        <v>46286</v>
      </c>
      <c r="Q137" s="3"/>
    </row>
    <row r="138" customFormat="false" ht="35.05" hidden="false" customHeight="false" outlineLevel="0" collapsed="false">
      <c r="A138" s="3" t="s">
        <v>116</v>
      </c>
      <c r="B138" s="3" t="s">
        <v>18</v>
      </c>
      <c r="C138" s="3" t="s">
        <v>28</v>
      </c>
      <c r="D138" s="4" t="n">
        <v>46292</v>
      </c>
      <c r="E138" s="5" t="n">
        <v>0.8125</v>
      </c>
      <c r="F138" s="5" t="n">
        <v>0.833333333333333</v>
      </c>
      <c r="G138" s="3" t="s">
        <v>20</v>
      </c>
      <c r="H138" s="3" t="s">
        <v>20</v>
      </c>
      <c r="I138" s="3" t="str">
        <f aca="false">IF(E138&gt;=TIME(18,0,0),"Y","")</f>
        <v>Y</v>
      </c>
      <c r="J138" s="3" t="str">
        <f aca="false">IF(AND(ISNUMBER(F138),F138&gt;TIME(21,0,0)),"Y","")</f>
        <v/>
      </c>
      <c r="K138" s="3" t="s">
        <v>29</v>
      </c>
      <c r="L138" s="3" t="s">
        <v>19</v>
      </c>
      <c r="M138" s="3" t="str">
        <f aca="false">CHOOSE(WEEKDAY(D138),"일","월","화","수","목","금","토")</f>
        <v>일</v>
      </c>
      <c r="N138" s="6" t="s">
        <v>120</v>
      </c>
      <c r="O138" s="3" t="s">
        <v>23</v>
      </c>
      <c r="P138" s="4" t="n">
        <v>46286</v>
      </c>
      <c r="Q138" s="3"/>
    </row>
    <row r="139" customFormat="false" ht="35.05" hidden="false" customHeight="false" outlineLevel="0" collapsed="false">
      <c r="A139" s="3" t="s">
        <v>151</v>
      </c>
      <c r="B139" s="3" t="s">
        <v>18</v>
      </c>
      <c r="C139" s="3" t="s">
        <v>33</v>
      </c>
      <c r="D139" s="4" t="n">
        <v>46292</v>
      </c>
      <c r="E139" s="5" t="n">
        <v>0.8125</v>
      </c>
      <c r="F139" s="5" t="n">
        <v>0.854166666666667</v>
      </c>
      <c r="G139" s="3" t="s">
        <v>20</v>
      </c>
      <c r="H139" s="3" t="s">
        <v>20</v>
      </c>
      <c r="I139" s="3" t="str">
        <f aca="false">IF(E139&gt;=TIME(18,0,0),"Y","")</f>
        <v>Y</v>
      </c>
      <c r="J139" s="3" t="str">
        <f aca="false">IF(AND(ISNUMBER(F139),F139&gt;TIME(21,0,0)),"Y","")</f>
        <v/>
      </c>
      <c r="K139" s="3" t="s">
        <v>29</v>
      </c>
      <c r="L139" s="3" t="s">
        <v>35</v>
      </c>
      <c r="M139" s="3" t="str">
        <f aca="false">CHOOSE(WEEKDAY(D139),"일","월","화","수","목","금","토")</f>
        <v>일</v>
      </c>
      <c r="N139" s="6" t="s">
        <v>120</v>
      </c>
      <c r="O139" s="3" t="s">
        <v>23</v>
      </c>
      <c r="P139" s="4" t="n">
        <v>46286</v>
      </c>
      <c r="Q139" s="3"/>
    </row>
    <row r="140" customFormat="false" ht="35.05" hidden="false" customHeight="false" outlineLevel="0" collapsed="false">
      <c r="A140" s="3" t="s">
        <v>152</v>
      </c>
      <c r="B140" s="3" t="s">
        <v>18</v>
      </c>
      <c r="C140" s="3" t="s">
        <v>28</v>
      </c>
      <c r="D140" s="4" t="n">
        <v>46292</v>
      </c>
      <c r="E140" s="5" t="n">
        <v>0.833333333333333</v>
      </c>
      <c r="F140" s="5" t="n">
        <v>0.875</v>
      </c>
      <c r="G140" s="3" t="s">
        <v>20</v>
      </c>
      <c r="H140" s="3" t="s">
        <v>20</v>
      </c>
      <c r="I140" s="3" t="str">
        <f aca="false">IF(E140&gt;=TIME(18,0,0),"Y","")</f>
        <v>Y</v>
      </c>
      <c r="J140" s="3" t="str">
        <f aca="false">IF(AND(ISNUMBER(F140),F140&gt;TIME(21,0,0)),"Y","")</f>
        <v/>
      </c>
      <c r="K140" s="3" t="s">
        <v>29</v>
      </c>
      <c r="L140" s="3" t="s">
        <v>19</v>
      </c>
      <c r="M140" s="3" t="str">
        <f aca="false">CHOOSE(WEEKDAY(D140),"일","월","화","수","목","금","토")</f>
        <v>일</v>
      </c>
      <c r="N140" s="6" t="s">
        <v>120</v>
      </c>
      <c r="O140" s="3" t="s">
        <v>23</v>
      </c>
      <c r="P140" s="4" t="n">
        <v>46286</v>
      </c>
      <c r="Q140" s="3"/>
    </row>
    <row r="141" customFormat="false" ht="46.25" hidden="false" customHeight="false" outlineLevel="0" collapsed="false">
      <c r="A141" s="3" t="s">
        <v>153</v>
      </c>
      <c r="B141" s="3" t="s">
        <v>18</v>
      </c>
      <c r="C141" s="3" t="s">
        <v>59</v>
      </c>
      <c r="D141" s="4" t="n">
        <v>46292</v>
      </c>
      <c r="E141" s="5" t="n">
        <v>0.854166666666667</v>
      </c>
      <c r="F141" s="5" t="n">
        <v>0.895833333333333</v>
      </c>
      <c r="G141" s="3" t="s">
        <v>60</v>
      </c>
      <c r="H141" s="3" t="s">
        <v>61</v>
      </c>
      <c r="I141" s="3" t="str">
        <f aca="false">IF(E141&gt;=TIME(18,0,0),"Y","")</f>
        <v>Y</v>
      </c>
      <c r="J141" s="3" t="str">
        <f aca="false">IF(AND(ISNUMBER(F141),F141&gt;TIME(21,0,0)),"Y","")</f>
        <v>Y</v>
      </c>
      <c r="K141" s="3" t="s">
        <v>75</v>
      </c>
      <c r="L141" s="3" t="s">
        <v>19</v>
      </c>
      <c r="M141" s="3" t="str">
        <f aca="false">CHOOSE(WEEKDAY(D141),"일","월","화","수","목","금","토")</f>
        <v>일</v>
      </c>
      <c r="N141" s="6" t="s">
        <v>120</v>
      </c>
      <c r="O141" s="3" t="s">
        <v>23</v>
      </c>
      <c r="P141" s="4" t="n">
        <v>46286</v>
      </c>
      <c r="Q141" s="3" t="s">
        <v>63</v>
      </c>
    </row>
    <row r="142" customFormat="false" ht="35.05" hidden="false" customHeight="false" outlineLevel="0" collapsed="false">
      <c r="A142" s="3" t="s">
        <v>154</v>
      </c>
      <c r="B142" s="3" t="s">
        <v>18</v>
      </c>
      <c r="C142" s="3" t="s">
        <v>33</v>
      </c>
      <c r="D142" s="4" t="n">
        <v>46292</v>
      </c>
      <c r="E142" s="5" t="n">
        <v>0.854166666666667</v>
      </c>
      <c r="F142" s="5" t="n">
        <v>0.916666666666667</v>
      </c>
      <c r="G142" s="3" t="s">
        <v>20</v>
      </c>
      <c r="H142" s="3" t="s">
        <v>20</v>
      </c>
      <c r="I142" s="3" t="str">
        <f aca="false">IF(E142&gt;=TIME(18,0,0),"Y","")</f>
        <v>Y</v>
      </c>
      <c r="J142" s="3" t="str">
        <f aca="false">IF(AND(ISNUMBER(F142),F142&gt;TIME(21,0,0)),"Y","")</f>
        <v>Y</v>
      </c>
      <c r="K142" s="3" t="s">
        <v>29</v>
      </c>
      <c r="L142" s="3" t="s">
        <v>35</v>
      </c>
      <c r="M142" s="3" t="str">
        <f aca="false">CHOOSE(WEEKDAY(D142),"일","월","화","수","목","금","토")</f>
        <v>일</v>
      </c>
      <c r="N142" s="6" t="s">
        <v>120</v>
      </c>
      <c r="O142" s="3" t="s">
        <v>23</v>
      </c>
      <c r="P142" s="4" t="n">
        <v>46286</v>
      </c>
      <c r="Q142" s="3"/>
    </row>
    <row r="143" customFormat="false" ht="46.25" hidden="false" customHeight="false" outlineLevel="0" collapsed="false">
      <c r="A143" s="3" t="s">
        <v>155</v>
      </c>
      <c r="B143" s="3" t="s">
        <v>85</v>
      </c>
      <c r="C143" s="3" t="s">
        <v>59</v>
      </c>
      <c r="D143" s="4" t="n">
        <v>46293</v>
      </c>
      <c r="E143" s="5" t="n">
        <v>0.416666666666667</v>
      </c>
      <c r="F143" s="5" t="n">
        <v>0.5</v>
      </c>
      <c r="G143" s="3" t="s">
        <v>60</v>
      </c>
      <c r="H143" s="3" t="s">
        <v>61</v>
      </c>
      <c r="I143" s="3" t="str">
        <f aca="false">IF(E143&gt;=TIME(18,0,0),"Y","")</f>
        <v/>
      </c>
      <c r="J143" s="3" t="str">
        <f aca="false">IF(AND(ISNUMBER(F143),F143&gt;TIME(21,0,0)),"Y","")</f>
        <v/>
      </c>
      <c r="K143" s="3" t="s">
        <v>86</v>
      </c>
      <c r="L143" s="3" t="s">
        <v>19</v>
      </c>
      <c r="M143" s="3" t="str">
        <f aca="false">CHOOSE(WEEKDAY(D143),"일","월","화","수","목","금","토")</f>
        <v>월</v>
      </c>
      <c r="N143" s="6" t="s">
        <v>156</v>
      </c>
      <c r="O143" s="3" t="s">
        <v>23</v>
      </c>
      <c r="P143" s="4" t="n">
        <v>46286</v>
      </c>
      <c r="Q143" s="3" t="s">
        <v>63</v>
      </c>
    </row>
    <row r="144" customFormat="false" ht="35.05" hidden="false" customHeight="false" outlineLevel="0" collapsed="false">
      <c r="A144" s="3" t="s">
        <v>157</v>
      </c>
      <c r="B144" s="3" t="s">
        <v>18</v>
      </c>
      <c r="C144" s="3" t="s">
        <v>33</v>
      </c>
      <c r="D144" s="4" t="n">
        <v>46293</v>
      </c>
      <c r="E144" s="5" t="n">
        <v>0.458333333333333</v>
      </c>
      <c r="F144" s="5" t="n">
        <v>0.5</v>
      </c>
      <c r="G144" s="3" t="s">
        <v>20</v>
      </c>
      <c r="H144" s="3" t="s">
        <v>20</v>
      </c>
      <c r="I144" s="3" t="str">
        <f aca="false">IF(E144&gt;=TIME(18,0,0),"Y","")</f>
        <v/>
      </c>
      <c r="J144" s="3" t="str">
        <f aca="false">IF(AND(ISNUMBER(F144),F144&gt;TIME(21,0,0)),"Y","")</f>
        <v/>
      </c>
      <c r="K144" s="3" t="s">
        <v>75</v>
      </c>
      <c r="L144" s="3" t="s">
        <v>35</v>
      </c>
      <c r="M144" s="3" t="str">
        <f aca="false">CHOOSE(WEEKDAY(D144),"일","월","화","수","목","금","토")</f>
        <v>월</v>
      </c>
      <c r="N144" s="6" t="s">
        <v>156</v>
      </c>
      <c r="O144" s="3" t="s">
        <v>23</v>
      </c>
      <c r="P144" s="4" t="n">
        <v>46286</v>
      </c>
      <c r="Q144" s="3"/>
    </row>
    <row r="145" customFormat="false" ht="35.05" hidden="false" customHeight="false" outlineLevel="0" collapsed="false">
      <c r="A145" s="3" t="s">
        <v>42</v>
      </c>
      <c r="B145" s="3" t="s">
        <v>32</v>
      </c>
      <c r="C145" s="3" t="s">
        <v>43</v>
      </c>
      <c r="D145" s="4" t="n">
        <v>46293</v>
      </c>
      <c r="E145" s="5" t="n">
        <v>0.458333333333333</v>
      </c>
      <c r="F145" s="5" t="n">
        <v>0.5</v>
      </c>
      <c r="G145" s="3" t="s">
        <v>20</v>
      </c>
      <c r="H145" s="3" t="s">
        <v>20</v>
      </c>
      <c r="I145" s="3" t="str">
        <f aca="false">IF(E145&gt;=TIME(18,0,0),"Y","")</f>
        <v/>
      </c>
      <c r="J145" s="3" t="str">
        <f aca="false">IF(AND(ISNUMBER(F145),F145&gt;TIME(21,0,0)),"Y","")</f>
        <v/>
      </c>
      <c r="K145" s="3" t="s">
        <v>34</v>
      </c>
      <c r="L145" s="3" t="s">
        <v>44</v>
      </c>
      <c r="M145" s="3" t="str">
        <f aca="false">CHOOSE(WEEKDAY(D145),"일","월","화","수","목","금","토")</f>
        <v>월</v>
      </c>
      <c r="N145" s="6" t="s">
        <v>156</v>
      </c>
      <c r="O145" s="3" t="s">
        <v>23</v>
      </c>
      <c r="P145" s="4" t="n">
        <v>46286</v>
      </c>
      <c r="Q145" s="3"/>
    </row>
    <row r="146" customFormat="false" ht="35.05" hidden="false" customHeight="false" outlineLevel="0" collapsed="false">
      <c r="A146" s="3" t="s">
        <v>50</v>
      </c>
      <c r="B146" s="3" t="s">
        <v>51</v>
      </c>
      <c r="C146" s="3" t="s">
        <v>52</v>
      </c>
      <c r="D146" s="4" t="n">
        <v>46293</v>
      </c>
      <c r="E146" s="5" t="n">
        <v>0.479166666666667</v>
      </c>
      <c r="F146" s="5" t="n">
        <v>0.5</v>
      </c>
      <c r="G146" s="3" t="s">
        <v>20</v>
      </c>
      <c r="H146" s="3" t="s">
        <v>20</v>
      </c>
      <c r="I146" s="3" t="str">
        <f aca="false">IF(E146&gt;=TIME(18,0,0),"Y","")</f>
        <v/>
      </c>
      <c r="J146" s="3" t="str">
        <f aca="false">IF(AND(ISNUMBER(F146),F146&gt;TIME(21,0,0)),"Y","")</f>
        <v/>
      </c>
      <c r="K146" s="3" t="s">
        <v>51</v>
      </c>
      <c r="L146" s="3" t="s">
        <v>19</v>
      </c>
      <c r="M146" s="3" t="str">
        <f aca="false">CHOOSE(WEEKDAY(D146),"일","월","화","수","목","금","토")</f>
        <v>월</v>
      </c>
      <c r="N146" s="6" t="s">
        <v>156</v>
      </c>
      <c r="O146" s="3" t="s">
        <v>23</v>
      </c>
      <c r="P146" s="4" t="n">
        <v>46286</v>
      </c>
      <c r="Q146" s="3"/>
    </row>
    <row r="147" customFormat="false" ht="35.05" hidden="false" customHeight="false" outlineLevel="0" collapsed="false">
      <c r="A147" s="3" t="s">
        <v>55</v>
      </c>
      <c r="B147" s="3" t="s">
        <v>51</v>
      </c>
      <c r="C147" s="3" t="s">
        <v>52</v>
      </c>
      <c r="D147" s="4" t="n">
        <v>46293</v>
      </c>
      <c r="E147" s="5" t="n">
        <v>0.541666666666667</v>
      </c>
      <c r="F147" s="5" t="n">
        <v>0.5625</v>
      </c>
      <c r="G147" s="3" t="s">
        <v>20</v>
      </c>
      <c r="H147" s="3" t="s">
        <v>20</v>
      </c>
      <c r="I147" s="3" t="str">
        <f aca="false">IF(E147&gt;=TIME(18,0,0),"Y","")</f>
        <v/>
      </c>
      <c r="J147" s="3" t="str">
        <f aca="false">IF(AND(ISNUMBER(F147),F147&gt;TIME(21,0,0)),"Y","")</f>
        <v/>
      </c>
      <c r="K147" s="3" t="s">
        <v>51</v>
      </c>
      <c r="L147" s="3" t="s">
        <v>19</v>
      </c>
      <c r="M147" s="3" t="str">
        <f aca="false">CHOOSE(WEEKDAY(D147),"일","월","화","수","목","금","토")</f>
        <v>월</v>
      </c>
      <c r="N147" s="6" t="s">
        <v>156</v>
      </c>
      <c r="O147" s="3" t="s">
        <v>23</v>
      </c>
      <c r="P147" s="4" t="n">
        <v>46286</v>
      </c>
      <c r="Q147" s="3"/>
    </row>
    <row r="148" customFormat="false" ht="35.05" hidden="false" customHeight="false" outlineLevel="0" collapsed="false">
      <c r="A148" s="3" t="s">
        <v>158</v>
      </c>
      <c r="B148" s="3" t="s">
        <v>18</v>
      </c>
      <c r="C148" s="3" t="s">
        <v>28</v>
      </c>
      <c r="D148" s="4" t="n">
        <v>46293</v>
      </c>
      <c r="E148" s="5" t="n">
        <v>0.541666666666667</v>
      </c>
      <c r="F148" s="5" t="n">
        <v>0.5625</v>
      </c>
      <c r="G148" s="3" t="s">
        <v>20</v>
      </c>
      <c r="H148" s="3" t="s">
        <v>20</v>
      </c>
      <c r="I148" s="3" t="str">
        <f aca="false">IF(E148&gt;=TIME(18,0,0),"Y","")</f>
        <v/>
      </c>
      <c r="J148" s="3" t="str">
        <f aca="false">IF(AND(ISNUMBER(F148),F148&gt;TIME(21,0,0)),"Y","")</f>
        <v/>
      </c>
      <c r="K148" s="3" t="s">
        <v>66</v>
      </c>
      <c r="L148" s="3" t="s">
        <v>19</v>
      </c>
      <c r="M148" s="3" t="str">
        <f aca="false">CHOOSE(WEEKDAY(D148),"일","월","화","수","목","금","토")</f>
        <v>월</v>
      </c>
      <c r="N148" s="6" t="s">
        <v>156</v>
      </c>
      <c r="O148" s="3" t="s">
        <v>23</v>
      </c>
      <c r="P148" s="4" t="n">
        <v>46286</v>
      </c>
      <c r="Q148" s="3"/>
    </row>
    <row r="149" customFormat="false" ht="35.05" hidden="false" customHeight="false" outlineLevel="0" collapsed="false">
      <c r="A149" s="3" t="s">
        <v>159</v>
      </c>
      <c r="B149" s="3" t="s">
        <v>18</v>
      </c>
      <c r="C149" s="3" t="s">
        <v>33</v>
      </c>
      <c r="D149" s="4" t="n">
        <v>46293</v>
      </c>
      <c r="E149" s="5" t="n">
        <v>0.541666666666667</v>
      </c>
      <c r="F149" s="5" t="n">
        <v>0.583333333333333</v>
      </c>
      <c r="G149" s="3" t="s">
        <v>20</v>
      </c>
      <c r="H149" s="3" t="s">
        <v>20</v>
      </c>
      <c r="I149" s="3" t="str">
        <f aca="false">IF(E149&gt;=TIME(18,0,0),"Y","")</f>
        <v/>
      </c>
      <c r="J149" s="3" t="str">
        <f aca="false">IF(AND(ISNUMBER(F149),F149&gt;TIME(21,0,0)),"Y","")</f>
        <v/>
      </c>
      <c r="K149" s="3" t="s">
        <v>29</v>
      </c>
      <c r="L149" s="3" t="s">
        <v>35</v>
      </c>
      <c r="M149" s="3" t="str">
        <f aca="false">CHOOSE(WEEKDAY(D149),"일","월","화","수","목","금","토")</f>
        <v>월</v>
      </c>
      <c r="N149" s="6" t="s">
        <v>156</v>
      </c>
      <c r="O149" s="3" t="s">
        <v>23</v>
      </c>
      <c r="P149" s="4" t="n">
        <v>46286</v>
      </c>
      <c r="Q149" s="3"/>
    </row>
    <row r="150" customFormat="false" ht="35.05" hidden="false" customHeight="false" outlineLevel="0" collapsed="false">
      <c r="A150" s="3" t="s">
        <v>81</v>
      </c>
      <c r="B150" s="3" t="s">
        <v>18</v>
      </c>
      <c r="C150" s="3" t="s">
        <v>54</v>
      </c>
      <c r="D150" s="4" t="n">
        <v>46293</v>
      </c>
      <c r="E150" s="5" t="n">
        <v>0.541666666666667</v>
      </c>
      <c r="F150" s="5" t="n">
        <v>0.583333333333333</v>
      </c>
      <c r="G150" s="3" t="s">
        <v>20</v>
      </c>
      <c r="H150" s="3" t="s">
        <v>20</v>
      </c>
      <c r="I150" s="3" t="str">
        <f aca="false">IF(E150&gt;=TIME(18,0,0),"Y","")</f>
        <v/>
      </c>
      <c r="J150" s="3" t="str">
        <f aca="false">IF(AND(ISNUMBER(F150),F150&gt;TIME(21,0,0)),"Y","")</f>
        <v/>
      </c>
      <c r="K150" s="3" t="s">
        <v>66</v>
      </c>
      <c r="L150" s="3" t="s">
        <v>26</v>
      </c>
      <c r="M150" s="3" t="str">
        <f aca="false">CHOOSE(WEEKDAY(D150),"일","월","화","수","목","금","토")</f>
        <v>월</v>
      </c>
      <c r="N150" s="6" t="s">
        <v>156</v>
      </c>
      <c r="O150" s="3" t="s">
        <v>23</v>
      </c>
      <c r="P150" s="4" t="n">
        <v>46286</v>
      </c>
      <c r="Q150" s="3"/>
    </row>
    <row r="151" customFormat="false" ht="46.25" hidden="false" customHeight="false" outlineLevel="0" collapsed="false">
      <c r="A151" s="3" t="s">
        <v>160</v>
      </c>
      <c r="B151" s="3" t="s">
        <v>18</v>
      </c>
      <c r="C151" s="3" t="s">
        <v>59</v>
      </c>
      <c r="D151" s="4" t="n">
        <v>46293</v>
      </c>
      <c r="E151" s="5" t="n">
        <v>0.5625</v>
      </c>
      <c r="F151" s="5" t="n">
        <v>0.604166666666667</v>
      </c>
      <c r="G151" s="3" t="s">
        <v>60</v>
      </c>
      <c r="H151" s="3" t="s">
        <v>61</v>
      </c>
      <c r="I151" s="3" t="str">
        <f aca="false">IF(E151&gt;=TIME(18,0,0),"Y","")</f>
        <v/>
      </c>
      <c r="J151" s="3" t="str">
        <f aca="false">IF(AND(ISNUMBER(F151),F151&gt;TIME(21,0,0)),"Y","")</f>
        <v/>
      </c>
      <c r="K151" s="3" t="s">
        <v>75</v>
      </c>
      <c r="L151" s="3" t="s">
        <v>19</v>
      </c>
      <c r="M151" s="3" t="str">
        <f aca="false">CHOOSE(WEEKDAY(D151),"일","월","화","수","목","금","토")</f>
        <v>월</v>
      </c>
      <c r="N151" s="6" t="s">
        <v>156</v>
      </c>
      <c r="O151" s="3" t="s">
        <v>23</v>
      </c>
      <c r="P151" s="4" t="n">
        <v>46286</v>
      </c>
      <c r="Q151" s="3" t="s">
        <v>63</v>
      </c>
    </row>
    <row r="152" customFormat="false" ht="35.05" hidden="false" customHeight="false" outlineLevel="0" collapsed="false">
      <c r="A152" s="3" t="s">
        <v>121</v>
      </c>
      <c r="B152" s="3" t="s">
        <v>18</v>
      </c>
      <c r="C152" s="3" t="s">
        <v>33</v>
      </c>
      <c r="D152" s="4" t="n">
        <v>46293</v>
      </c>
      <c r="E152" s="5" t="n">
        <v>0.583333333333333</v>
      </c>
      <c r="F152" s="5" t="n">
        <v>0.604166666666667</v>
      </c>
      <c r="G152" s="3" t="s">
        <v>20</v>
      </c>
      <c r="H152" s="3" t="s">
        <v>20</v>
      </c>
      <c r="I152" s="3" t="str">
        <f aca="false">IF(E152&gt;=TIME(18,0,0),"Y","")</f>
        <v/>
      </c>
      <c r="J152" s="3" t="str">
        <f aca="false">IF(AND(ISNUMBER(F152),F152&gt;TIME(21,0,0)),"Y","")</f>
        <v/>
      </c>
      <c r="K152" s="3" t="s">
        <v>21</v>
      </c>
      <c r="L152" s="3" t="s">
        <v>35</v>
      </c>
      <c r="M152" s="3" t="str">
        <f aca="false">CHOOSE(WEEKDAY(D152),"일","월","화","수","목","금","토")</f>
        <v>월</v>
      </c>
      <c r="N152" s="6" t="s">
        <v>156</v>
      </c>
      <c r="O152" s="3" t="s">
        <v>23</v>
      </c>
      <c r="P152" s="4" t="n">
        <v>46286</v>
      </c>
      <c r="Q152" s="3"/>
    </row>
    <row r="153" customFormat="false" ht="35.05" hidden="false" customHeight="false" outlineLevel="0" collapsed="false">
      <c r="A153" s="3" t="s">
        <v>161</v>
      </c>
      <c r="B153" s="3" t="s">
        <v>18</v>
      </c>
      <c r="C153" s="3" t="s">
        <v>43</v>
      </c>
      <c r="D153" s="4" t="n">
        <v>46293</v>
      </c>
      <c r="E153" s="5" t="n">
        <v>0.583333333333333</v>
      </c>
      <c r="F153" s="5" t="n">
        <v>0.604166666666667</v>
      </c>
      <c r="G153" s="3" t="s">
        <v>20</v>
      </c>
      <c r="H153" s="3" t="s">
        <v>20</v>
      </c>
      <c r="I153" s="3" t="str">
        <f aca="false">IF(E153&gt;=TIME(18,0,0),"Y","")</f>
        <v/>
      </c>
      <c r="J153" s="3" t="str">
        <f aca="false">IF(AND(ISNUMBER(F153),F153&gt;TIME(21,0,0)),"Y","")</f>
        <v/>
      </c>
      <c r="K153" s="3" t="s">
        <v>75</v>
      </c>
      <c r="L153" s="3" t="s">
        <v>44</v>
      </c>
      <c r="M153" s="3" t="str">
        <f aca="false">CHOOSE(WEEKDAY(D153),"일","월","화","수","목","금","토")</f>
        <v>월</v>
      </c>
      <c r="N153" s="6" t="s">
        <v>156</v>
      </c>
      <c r="O153" s="3" t="s">
        <v>23</v>
      </c>
      <c r="P153" s="4" t="n">
        <v>46286</v>
      </c>
      <c r="Q153" s="3"/>
    </row>
    <row r="154" customFormat="false" ht="35.05" hidden="false" customHeight="false" outlineLevel="0" collapsed="false">
      <c r="A154" s="3" t="s">
        <v>56</v>
      </c>
      <c r="B154" s="3" t="s">
        <v>18</v>
      </c>
      <c r="C154" s="3" t="s">
        <v>57</v>
      </c>
      <c r="D154" s="4" t="n">
        <v>46293</v>
      </c>
      <c r="E154" s="5" t="n">
        <v>0.583333333333333</v>
      </c>
      <c r="F154" s="5" t="n">
        <v>0.625</v>
      </c>
      <c r="G154" s="3" t="s">
        <v>20</v>
      </c>
      <c r="H154" s="3" t="s">
        <v>20</v>
      </c>
      <c r="I154" s="3" t="str">
        <f aca="false">IF(E154&gt;=TIME(18,0,0),"Y","")</f>
        <v/>
      </c>
      <c r="J154" s="3" t="str">
        <f aca="false">IF(AND(ISNUMBER(F154),F154&gt;TIME(21,0,0)),"Y","")</f>
        <v/>
      </c>
      <c r="K154" s="3" t="s">
        <v>48</v>
      </c>
      <c r="L154" s="3" t="s">
        <v>47</v>
      </c>
      <c r="M154" s="3" t="str">
        <f aca="false">CHOOSE(WEEKDAY(D154),"일","월","화","수","목","금","토")</f>
        <v>월</v>
      </c>
      <c r="N154" s="6" t="s">
        <v>156</v>
      </c>
      <c r="O154" s="3" t="s">
        <v>23</v>
      </c>
      <c r="P154" s="4" t="n">
        <v>46286</v>
      </c>
      <c r="Q154" s="3" t="s">
        <v>49</v>
      </c>
    </row>
    <row r="155" customFormat="false" ht="35.05" hidden="false" customHeight="false" outlineLevel="0" collapsed="false">
      <c r="A155" s="3" t="s">
        <v>162</v>
      </c>
      <c r="B155" s="3" t="s">
        <v>32</v>
      </c>
      <c r="C155" s="3" t="s">
        <v>43</v>
      </c>
      <c r="D155" s="4" t="n">
        <v>46293</v>
      </c>
      <c r="E155" s="5" t="n">
        <v>0.604166666666667</v>
      </c>
      <c r="F155" s="5" t="n">
        <v>0.645833333333333</v>
      </c>
      <c r="G155" s="3" t="s">
        <v>20</v>
      </c>
      <c r="H155" s="3" t="s">
        <v>20</v>
      </c>
      <c r="I155" s="3" t="str">
        <f aca="false">IF(E155&gt;=TIME(18,0,0),"Y","")</f>
        <v/>
      </c>
      <c r="J155" s="3" t="str">
        <f aca="false">IF(AND(ISNUMBER(F155),F155&gt;TIME(21,0,0)),"Y","")</f>
        <v/>
      </c>
      <c r="K155" s="3" t="s">
        <v>34</v>
      </c>
      <c r="L155" s="3" t="s">
        <v>44</v>
      </c>
      <c r="M155" s="3" t="str">
        <f aca="false">CHOOSE(WEEKDAY(D155),"일","월","화","수","목","금","토")</f>
        <v>월</v>
      </c>
      <c r="N155" s="6" t="s">
        <v>156</v>
      </c>
      <c r="O155" s="3" t="s">
        <v>23</v>
      </c>
      <c r="P155" s="4" t="n">
        <v>46286</v>
      </c>
      <c r="Q155" s="3"/>
    </row>
    <row r="156" customFormat="false" ht="35.05" hidden="false" customHeight="false" outlineLevel="0" collapsed="false">
      <c r="A156" s="3" t="s">
        <v>163</v>
      </c>
      <c r="B156" s="3" t="s">
        <v>18</v>
      </c>
      <c r="C156" s="3" t="s">
        <v>33</v>
      </c>
      <c r="D156" s="4" t="n">
        <v>46293</v>
      </c>
      <c r="E156" s="5" t="n">
        <v>0.604166666666667</v>
      </c>
      <c r="F156" s="5" t="n">
        <v>0.666666666666667</v>
      </c>
      <c r="G156" s="3" t="s">
        <v>20</v>
      </c>
      <c r="H156" s="3" t="s">
        <v>20</v>
      </c>
      <c r="I156" s="3" t="str">
        <f aca="false">IF(E156&gt;=TIME(18,0,0),"Y","")</f>
        <v/>
      </c>
      <c r="J156" s="3" t="str">
        <f aca="false">IF(AND(ISNUMBER(F156),F156&gt;TIME(21,0,0)),"Y","")</f>
        <v/>
      </c>
      <c r="K156" s="3" t="s">
        <v>29</v>
      </c>
      <c r="L156" s="3" t="s">
        <v>35</v>
      </c>
      <c r="M156" s="3" t="str">
        <f aca="false">CHOOSE(WEEKDAY(D156),"일","월","화","수","목","금","토")</f>
        <v>월</v>
      </c>
      <c r="N156" s="6" t="s">
        <v>156</v>
      </c>
      <c r="O156" s="3" t="s">
        <v>23</v>
      </c>
      <c r="P156" s="4" t="n">
        <v>46286</v>
      </c>
      <c r="Q156" s="3"/>
    </row>
    <row r="157" customFormat="false" ht="35.05" hidden="false" customHeight="false" outlineLevel="0" collapsed="false">
      <c r="A157" s="3" t="s">
        <v>91</v>
      </c>
      <c r="B157" s="3" t="s">
        <v>18</v>
      </c>
      <c r="C157" s="3" t="s">
        <v>87</v>
      </c>
      <c r="D157" s="4" t="n">
        <v>46293</v>
      </c>
      <c r="E157" s="5" t="n">
        <v>0.625</v>
      </c>
      <c r="F157" s="5" t="n">
        <v>0.666666666666667</v>
      </c>
      <c r="G157" s="3" t="s">
        <v>20</v>
      </c>
      <c r="H157" s="3" t="s">
        <v>20</v>
      </c>
      <c r="I157" s="3" t="str">
        <f aca="false">IF(E157&gt;=TIME(18,0,0),"Y","")</f>
        <v/>
      </c>
      <c r="J157" s="3" t="str">
        <f aca="false">IF(AND(ISNUMBER(F157),F157&gt;TIME(21,0,0)),"Y","")</f>
        <v/>
      </c>
      <c r="K157" s="3" t="s">
        <v>66</v>
      </c>
      <c r="L157" s="3" t="s">
        <v>26</v>
      </c>
      <c r="M157" s="3" t="str">
        <f aca="false">CHOOSE(WEEKDAY(D157),"일","월","화","수","목","금","토")</f>
        <v>월</v>
      </c>
      <c r="N157" s="6" t="s">
        <v>156</v>
      </c>
      <c r="O157" s="3" t="s">
        <v>23</v>
      </c>
      <c r="P157" s="4" t="n">
        <v>46286</v>
      </c>
      <c r="Q157" s="3"/>
    </row>
    <row r="158" customFormat="false" ht="35.05" hidden="false" customHeight="false" outlineLevel="0" collapsed="false">
      <c r="A158" s="3" t="s">
        <v>164</v>
      </c>
      <c r="B158" s="3" t="s">
        <v>18</v>
      </c>
      <c r="C158" s="3" t="s">
        <v>28</v>
      </c>
      <c r="D158" s="4" t="n">
        <v>46293</v>
      </c>
      <c r="E158" s="5" t="n">
        <v>0.625</v>
      </c>
      <c r="F158" s="5" t="n">
        <v>0.75</v>
      </c>
      <c r="G158" s="3" t="s">
        <v>20</v>
      </c>
      <c r="H158" s="3" t="s">
        <v>20</v>
      </c>
      <c r="I158" s="3" t="str">
        <f aca="false">IF(E158&gt;=TIME(18,0,0),"Y","")</f>
        <v/>
      </c>
      <c r="J158" s="3" t="str">
        <f aca="false">IF(AND(ISNUMBER(F158),F158&gt;TIME(21,0,0)),"Y","")</f>
        <v/>
      </c>
      <c r="K158" s="3" t="s">
        <v>40</v>
      </c>
      <c r="L158" s="3" t="s">
        <v>19</v>
      </c>
      <c r="M158" s="3" t="str">
        <f aca="false">CHOOSE(WEEKDAY(D158),"일","월","화","수","목","금","토")</f>
        <v>월</v>
      </c>
      <c r="N158" s="6" t="s">
        <v>156</v>
      </c>
      <c r="O158" s="3" t="s">
        <v>23</v>
      </c>
      <c r="P158" s="4" t="n">
        <v>46286</v>
      </c>
      <c r="Q158" s="3"/>
    </row>
    <row r="159" customFormat="false" ht="46.25" hidden="false" customHeight="false" outlineLevel="0" collapsed="false">
      <c r="A159" s="3" t="s">
        <v>165</v>
      </c>
      <c r="B159" s="3" t="s">
        <v>18</v>
      </c>
      <c r="C159" s="3" t="s">
        <v>59</v>
      </c>
      <c r="D159" s="4" t="n">
        <v>46293</v>
      </c>
      <c r="E159" s="5" t="n">
        <v>0.645833333333333</v>
      </c>
      <c r="F159" s="5" t="n">
        <v>0.6875</v>
      </c>
      <c r="G159" s="3" t="s">
        <v>60</v>
      </c>
      <c r="H159" s="3" t="s">
        <v>61</v>
      </c>
      <c r="I159" s="3" t="str">
        <f aca="false">IF(E159&gt;=TIME(18,0,0),"Y","")</f>
        <v/>
      </c>
      <c r="J159" s="3" t="str">
        <f aca="false">IF(AND(ISNUMBER(F159),F159&gt;TIME(21,0,0)),"Y","")</f>
        <v/>
      </c>
      <c r="K159" s="3" t="s">
        <v>62</v>
      </c>
      <c r="L159" s="3" t="s">
        <v>19</v>
      </c>
      <c r="M159" s="3" t="str">
        <f aca="false">CHOOSE(WEEKDAY(D159),"일","월","화","수","목","금","토")</f>
        <v>월</v>
      </c>
      <c r="N159" s="6" t="s">
        <v>156</v>
      </c>
      <c r="O159" s="3" t="s">
        <v>23</v>
      </c>
      <c r="P159" s="4" t="n">
        <v>46286</v>
      </c>
      <c r="Q159" s="3" t="s">
        <v>63</v>
      </c>
    </row>
    <row r="160" customFormat="false" ht="35.05" hidden="false" customHeight="false" outlineLevel="0" collapsed="false">
      <c r="A160" s="3" t="s">
        <v>50</v>
      </c>
      <c r="B160" s="3" t="s">
        <v>51</v>
      </c>
      <c r="C160" s="3" t="s">
        <v>52</v>
      </c>
      <c r="D160" s="4" t="n">
        <v>46293</v>
      </c>
      <c r="E160" s="5" t="n">
        <v>0.666666666666667</v>
      </c>
      <c r="F160" s="5" t="n">
        <v>0.6875</v>
      </c>
      <c r="G160" s="3" t="s">
        <v>20</v>
      </c>
      <c r="H160" s="3" t="s">
        <v>20</v>
      </c>
      <c r="I160" s="3" t="str">
        <f aca="false">IF(E160&gt;=TIME(18,0,0),"Y","")</f>
        <v/>
      </c>
      <c r="J160" s="3" t="str">
        <f aca="false">IF(AND(ISNUMBER(F160),F160&gt;TIME(21,0,0)),"Y","")</f>
        <v/>
      </c>
      <c r="K160" s="3" t="s">
        <v>51</v>
      </c>
      <c r="L160" s="3" t="s">
        <v>19</v>
      </c>
      <c r="M160" s="3" t="str">
        <f aca="false">CHOOSE(WEEKDAY(D160),"일","월","화","수","목","금","토")</f>
        <v>월</v>
      </c>
      <c r="N160" s="6" t="s">
        <v>156</v>
      </c>
      <c r="O160" s="3" t="s">
        <v>23</v>
      </c>
      <c r="P160" s="4" t="n">
        <v>46286</v>
      </c>
      <c r="Q160" s="3"/>
    </row>
    <row r="161" customFormat="false" ht="35.05" hidden="false" customHeight="false" outlineLevel="0" collapsed="false">
      <c r="A161" s="3" t="s">
        <v>166</v>
      </c>
      <c r="B161" s="3" t="s">
        <v>18</v>
      </c>
      <c r="C161" s="3" t="s">
        <v>43</v>
      </c>
      <c r="D161" s="4" t="n">
        <v>46293</v>
      </c>
      <c r="E161" s="5" t="n">
        <v>0.666666666666667</v>
      </c>
      <c r="F161" s="5" t="n">
        <v>0.729166666666667</v>
      </c>
      <c r="G161" s="3" t="s">
        <v>20</v>
      </c>
      <c r="H161" s="3" t="s">
        <v>20</v>
      </c>
      <c r="I161" s="3" t="str">
        <f aca="false">IF(E161&gt;=TIME(18,0,0),"Y","")</f>
        <v/>
      </c>
      <c r="J161" s="3" t="str">
        <f aca="false">IF(AND(ISNUMBER(F161),F161&gt;TIME(21,0,0)),"Y","")</f>
        <v/>
      </c>
      <c r="K161" s="3" t="s">
        <v>29</v>
      </c>
      <c r="L161" s="3" t="s">
        <v>44</v>
      </c>
      <c r="M161" s="3" t="str">
        <f aca="false">CHOOSE(WEEKDAY(D161),"일","월","화","수","목","금","토")</f>
        <v>월</v>
      </c>
      <c r="N161" s="6" t="s">
        <v>156</v>
      </c>
      <c r="O161" s="3" t="s">
        <v>23</v>
      </c>
      <c r="P161" s="4" t="n">
        <v>46286</v>
      </c>
      <c r="Q161" s="3"/>
    </row>
    <row r="162" customFormat="false" ht="46.25" hidden="false" customHeight="false" outlineLevel="0" collapsed="false">
      <c r="A162" s="3" t="s">
        <v>56</v>
      </c>
      <c r="B162" s="3" t="s">
        <v>18</v>
      </c>
      <c r="C162" s="3" t="s">
        <v>59</v>
      </c>
      <c r="D162" s="4" t="n">
        <v>46293</v>
      </c>
      <c r="E162" s="5" t="n">
        <v>0.708333333333333</v>
      </c>
      <c r="F162" s="5" t="n">
        <v>0.75</v>
      </c>
      <c r="G162" s="3" t="s">
        <v>60</v>
      </c>
      <c r="H162" s="3" t="s">
        <v>61</v>
      </c>
      <c r="I162" s="3" t="str">
        <f aca="false">IF(E162&gt;=TIME(18,0,0),"Y","")</f>
        <v/>
      </c>
      <c r="J162" s="3" t="str">
        <f aca="false">IF(AND(ISNUMBER(F162),F162&gt;TIME(21,0,0)),"Y","")</f>
        <v/>
      </c>
      <c r="K162" s="3" t="s">
        <v>62</v>
      </c>
      <c r="L162" s="3" t="s">
        <v>19</v>
      </c>
      <c r="M162" s="3" t="str">
        <f aca="false">CHOOSE(WEEKDAY(D162),"일","월","화","수","목","금","토")</f>
        <v>월</v>
      </c>
      <c r="N162" s="6" t="s">
        <v>156</v>
      </c>
      <c r="O162" s="3" t="s">
        <v>23</v>
      </c>
      <c r="P162" s="4" t="n">
        <v>46286</v>
      </c>
      <c r="Q162" s="3" t="s">
        <v>63</v>
      </c>
    </row>
    <row r="163" customFormat="false" ht="35.05" hidden="false" customHeight="false" outlineLevel="0" collapsed="false">
      <c r="A163" s="3" t="s">
        <v>167</v>
      </c>
      <c r="B163" s="3" t="s">
        <v>18</v>
      </c>
      <c r="C163" s="3" t="s">
        <v>33</v>
      </c>
      <c r="D163" s="4" t="n">
        <v>46293</v>
      </c>
      <c r="E163" s="5" t="n">
        <v>0.708333333333333</v>
      </c>
      <c r="F163" s="5" t="n">
        <v>0.770833333333333</v>
      </c>
      <c r="G163" s="3" t="s">
        <v>20</v>
      </c>
      <c r="H163" s="3" t="s">
        <v>20</v>
      </c>
      <c r="I163" s="3" t="str">
        <f aca="false">IF(E163&gt;=TIME(18,0,0),"Y","")</f>
        <v/>
      </c>
      <c r="J163" s="3" t="str">
        <f aca="false">IF(AND(ISNUMBER(F163),F163&gt;TIME(21,0,0)),"Y","")</f>
        <v/>
      </c>
      <c r="K163" s="3" t="s">
        <v>29</v>
      </c>
      <c r="L163" s="3" t="s">
        <v>35</v>
      </c>
      <c r="M163" s="3" t="str">
        <f aca="false">CHOOSE(WEEKDAY(D163),"일","월","화","수","목","금","토")</f>
        <v>월</v>
      </c>
      <c r="N163" s="6" t="s">
        <v>156</v>
      </c>
      <c r="O163" s="3" t="s">
        <v>23</v>
      </c>
      <c r="P163" s="4" t="n">
        <v>46286</v>
      </c>
      <c r="Q163" s="3"/>
    </row>
    <row r="164" customFormat="false" ht="35.05" hidden="false" customHeight="false" outlineLevel="0" collapsed="false">
      <c r="A164" s="3" t="s">
        <v>162</v>
      </c>
      <c r="B164" s="3" t="s">
        <v>32</v>
      </c>
      <c r="C164" s="3" t="s">
        <v>43</v>
      </c>
      <c r="D164" s="4" t="n">
        <v>46293</v>
      </c>
      <c r="E164" s="5" t="n">
        <v>0.729166666666667</v>
      </c>
      <c r="F164" s="5" t="n">
        <v>0.770833333333333</v>
      </c>
      <c r="G164" s="3" t="s">
        <v>20</v>
      </c>
      <c r="H164" s="3" t="s">
        <v>20</v>
      </c>
      <c r="I164" s="3" t="str">
        <f aca="false">IF(E164&gt;=TIME(18,0,0),"Y","")</f>
        <v/>
      </c>
      <c r="J164" s="3" t="str">
        <f aca="false">IF(AND(ISNUMBER(F164),F164&gt;TIME(21,0,0)),"Y","")</f>
        <v/>
      </c>
      <c r="K164" s="3" t="s">
        <v>34</v>
      </c>
      <c r="L164" s="3" t="s">
        <v>44</v>
      </c>
      <c r="M164" s="3" t="str">
        <f aca="false">CHOOSE(WEEKDAY(D164),"일","월","화","수","목","금","토")</f>
        <v>월</v>
      </c>
      <c r="N164" s="6" t="s">
        <v>156</v>
      </c>
      <c r="O164" s="3" t="s">
        <v>23</v>
      </c>
      <c r="P164" s="4" t="n">
        <v>46286</v>
      </c>
      <c r="Q164" s="3"/>
    </row>
    <row r="165" customFormat="false" ht="35.05" hidden="false" customHeight="false" outlineLevel="0" collapsed="false">
      <c r="A165" s="3" t="s">
        <v>168</v>
      </c>
      <c r="B165" s="3" t="s">
        <v>18</v>
      </c>
      <c r="C165" s="3" t="s">
        <v>28</v>
      </c>
      <c r="D165" s="4" t="n">
        <v>46293</v>
      </c>
      <c r="E165" s="5" t="n">
        <v>0.75</v>
      </c>
      <c r="F165" s="5" t="n">
        <v>0.791666666666667</v>
      </c>
      <c r="G165" s="3" t="s">
        <v>20</v>
      </c>
      <c r="H165" s="3" t="s">
        <v>20</v>
      </c>
      <c r="I165" s="3" t="str">
        <f aca="false">IF(E165&gt;=TIME(18,0,0),"Y","")</f>
        <v>Y</v>
      </c>
      <c r="J165" s="3" t="str">
        <f aca="false">IF(AND(ISNUMBER(F165),F165&gt;TIME(21,0,0)),"Y","")</f>
        <v/>
      </c>
      <c r="K165" s="3" t="s">
        <v>29</v>
      </c>
      <c r="L165" s="3" t="s">
        <v>19</v>
      </c>
      <c r="M165" s="3" t="str">
        <f aca="false">CHOOSE(WEEKDAY(D165),"일","월","화","수","목","금","토")</f>
        <v>월</v>
      </c>
      <c r="N165" s="6" t="s">
        <v>156</v>
      </c>
      <c r="O165" s="3" t="s">
        <v>23</v>
      </c>
      <c r="P165" s="4" t="n">
        <v>46286</v>
      </c>
      <c r="Q165" s="3"/>
    </row>
    <row r="166" customFormat="false" ht="46.25" hidden="false" customHeight="false" outlineLevel="0" collapsed="false">
      <c r="A166" s="3" t="s">
        <v>169</v>
      </c>
      <c r="B166" s="3" t="s">
        <v>18</v>
      </c>
      <c r="C166" s="3" t="s">
        <v>59</v>
      </c>
      <c r="D166" s="4" t="n">
        <v>46293</v>
      </c>
      <c r="E166" s="5" t="n">
        <v>0.770833333333333</v>
      </c>
      <c r="F166" s="5" t="n">
        <v>0.8125</v>
      </c>
      <c r="G166" s="3" t="s">
        <v>60</v>
      </c>
      <c r="H166" s="3" t="s">
        <v>61</v>
      </c>
      <c r="I166" s="3" t="str">
        <f aca="false">IF(E166&gt;=TIME(18,0,0),"Y","")</f>
        <v>Y</v>
      </c>
      <c r="J166" s="3" t="str">
        <f aca="false">IF(AND(ISNUMBER(F166),F166&gt;TIME(21,0,0)),"Y","")</f>
        <v/>
      </c>
      <c r="K166" s="3" t="s">
        <v>62</v>
      </c>
      <c r="L166" s="3" t="s">
        <v>19</v>
      </c>
      <c r="M166" s="3" t="str">
        <f aca="false">CHOOSE(WEEKDAY(D166),"일","월","화","수","목","금","토")</f>
        <v>월</v>
      </c>
      <c r="N166" s="6" t="s">
        <v>156</v>
      </c>
      <c r="O166" s="3" t="s">
        <v>23</v>
      </c>
      <c r="P166" s="4" t="n">
        <v>46286</v>
      </c>
      <c r="Q166" s="3" t="s">
        <v>63</v>
      </c>
    </row>
    <row r="167" customFormat="false" ht="35.05" hidden="false" customHeight="false" outlineLevel="0" collapsed="false">
      <c r="A167" s="3" t="s">
        <v>170</v>
      </c>
      <c r="B167" s="3" t="s">
        <v>18</v>
      </c>
      <c r="C167" s="3" t="s">
        <v>33</v>
      </c>
      <c r="D167" s="4" t="n">
        <v>46293</v>
      </c>
      <c r="E167" s="5" t="n">
        <v>0.770833333333333</v>
      </c>
      <c r="F167" s="5" t="n">
        <v>0.833333333333333</v>
      </c>
      <c r="G167" s="3" t="s">
        <v>20</v>
      </c>
      <c r="H167" s="3" t="s">
        <v>20</v>
      </c>
      <c r="I167" s="3" t="str">
        <f aca="false">IF(E167&gt;=TIME(18,0,0),"Y","")</f>
        <v>Y</v>
      </c>
      <c r="J167" s="3" t="str">
        <f aca="false">IF(AND(ISNUMBER(F167),F167&gt;TIME(21,0,0)),"Y","")</f>
        <v/>
      </c>
      <c r="K167" s="3" t="s">
        <v>29</v>
      </c>
      <c r="L167" s="3" t="s">
        <v>35</v>
      </c>
      <c r="M167" s="3" t="str">
        <f aca="false">CHOOSE(WEEKDAY(D167),"일","월","화","수","목","금","토")</f>
        <v>월</v>
      </c>
      <c r="N167" s="6" t="s">
        <v>156</v>
      </c>
      <c r="O167" s="3" t="s">
        <v>23</v>
      </c>
      <c r="P167" s="4" t="n">
        <v>46286</v>
      </c>
      <c r="Q167" s="3"/>
    </row>
    <row r="168" customFormat="false" ht="35.05" hidden="false" customHeight="false" outlineLevel="0" collapsed="false">
      <c r="A168" s="3" t="s">
        <v>171</v>
      </c>
      <c r="B168" s="3" t="s">
        <v>18</v>
      </c>
      <c r="C168" s="3" t="s">
        <v>28</v>
      </c>
      <c r="D168" s="4" t="n">
        <v>46293</v>
      </c>
      <c r="E168" s="5" t="n">
        <v>0.791666666666667</v>
      </c>
      <c r="F168" s="5" t="n">
        <v>0.833333333333333</v>
      </c>
      <c r="G168" s="3" t="s">
        <v>20</v>
      </c>
      <c r="H168" s="3" t="s">
        <v>20</v>
      </c>
      <c r="I168" s="3" t="str">
        <f aca="false">IF(E168&gt;=TIME(18,0,0),"Y","")</f>
        <v>Y</v>
      </c>
      <c r="J168" s="3" t="str">
        <f aca="false">IF(AND(ISNUMBER(F168),F168&gt;TIME(21,0,0)),"Y","")</f>
        <v/>
      </c>
      <c r="K168" s="3" t="s">
        <v>29</v>
      </c>
      <c r="L168" s="3" t="s">
        <v>19</v>
      </c>
      <c r="M168" s="3" t="str">
        <f aca="false">CHOOSE(WEEKDAY(D168),"일","월","화","수","목","금","토")</f>
        <v>월</v>
      </c>
      <c r="N168" s="6" t="s">
        <v>156</v>
      </c>
      <c r="O168" s="3" t="s">
        <v>23</v>
      </c>
      <c r="P168" s="4" t="n">
        <v>46286</v>
      </c>
      <c r="Q168" s="3"/>
    </row>
    <row r="169" customFormat="false" ht="35.05" hidden="false" customHeight="false" outlineLevel="0" collapsed="false">
      <c r="A169" s="3" t="s">
        <v>83</v>
      </c>
      <c r="B169" s="3" t="s">
        <v>18</v>
      </c>
      <c r="C169" s="3" t="s">
        <v>43</v>
      </c>
      <c r="D169" s="4" t="n">
        <v>46293</v>
      </c>
      <c r="E169" s="5" t="n">
        <v>0.791666666666667</v>
      </c>
      <c r="F169" s="5" t="n">
        <v>0.833333333333333</v>
      </c>
      <c r="G169" s="3" t="s">
        <v>20</v>
      </c>
      <c r="H169" s="3" t="s">
        <v>20</v>
      </c>
      <c r="I169" s="3" t="str">
        <f aca="false">IF(E169&gt;=TIME(18,0,0),"Y","")</f>
        <v>Y</v>
      </c>
      <c r="J169" s="3" t="str">
        <f aca="false">IF(AND(ISNUMBER(F169),F169&gt;TIME(21,0,0)),"Y","")</f>
        <v/>
      </c>
      <c r="K169" s="3" t="s">
        <v>40</v>
      </c>
      <c r="L169" s="3" t="s">
        <v>44</v>
      </c>
      <c r="M169" s="3" t="str">
        <f aca="false">CHOOSE(WEEKDAY(D169),"일","월","화","수","목","금","토")</f>
        <v>월</v>
      </c>
      <c r="N169" s="6" t="s">
        <v>156</v>
      </c>
      <c r="O169" s="3" t="s">
        <v>23</v>
      </c>
      <c r="P169" s="4" t="n">
        <v>46286</v>
      </c>
      <c r="Q169" s="3"/>
    </row>
    <row r="170" customFormat="false" ht="35.05" hidden="false" customHeight="false" outlineLevel="0" collapsed="false">
      <c r="A170" s="3" t="s">
        <v>172</v>
      </c>
      <c r="B170" s="3" t="s">
        <v>18</v>
      </c>
      <c r="C170" s="3" t="s">
        <v>28</v>
      </c>
      <c r="D170" s="4" t="n">
        <v>46293</v>
      </c>
      <c r="E170" s="5" t="n">
        <v>0.833333333333333</v>
      </c>
      <c r="F170" s="5" t="n">
        <v>0.875</v>
      </c>
      <c r="G170" s="3" t="s">
        <v>20</v>
      </c>
      <c r="H170" s="3" t="s">
        <v>20</v>
      </c>
      <c r="I170" s="3" t="str">
        <f aca="false">IF(E170&gt;=TIME(18,0,0),"Y","")</f>
        <v>Y</v>
      </c>
      <c r="J170" s="3" t="str">
        <f aca="false">IF(AND(ISNUMBER(F170),F170&gt;TIME(21,0,0)),"Y","")</f>
        <v/>
      </c>
      <c r="K170" s="3" t="s">
        <v>29</v>
      </c>
      <c r="L170" s="3" t="s">
        <v>19</v>
      </c>
      <c r="M170" s="3" t="str">
        <f aca="false">CHOOSE(WEEKDAY(D170),"일","월","화","수","목","금","토")</f>
        <v>월</v>
      </c>
      <c r="N170" s="6" t="s">
        <v>156</v>
      </c>
      <c r="O170" s="3" t="s">
        <v>23</v>
      </c>
      <c r="P170" s="4" t="n">
        <v>46286</v>
      </c>
      <c r="Q170" s="3"/>
    </row>
    <row r="171" customFormat="false" ht="46.25" hidden="false" customHeight="false" outlineLevel="0" collapsed="false">
      <c r="A171" s="3" t="s">
        <v>173</v>
      </c>
      <c r="B171" s="3" t="s">
        <v>32</v>
      </c>
      <c r="C171" s="3" t="s">
        <v>59</v>
      </c>
      <c r="D171" s="4" t="n">
        <v>46293</v>
      </c>
      <c r="E171" s="5" t="n">
        <v>0.833333333333333</v>
      </c>
      <c r="F171" s="5" t="n">
        <v>0.875</v>
      </c>
      <c r="G171" s="3" t="s">
        <v>60</v>
      </c>
      <c r="H171" s="3" t="s">
        <v>61</v>
      </c>
      <c r="I171" s="3" t="str">
        <f aca="false">IF(E171&gt;=TIME(18,0,0),"Y","")</f>
        <v>Y</v>
      </c>
      <c r="J171" s="3" t="str">
        <f aca="false">IF(AND(ISNUMBER(F171),F171&gt;TIME(21,0,0)),"Y","")</f>
        <v/>
      </c>
      <c r="K171" s="3" t="s">
        <v>34</v>
      </c>
      <c r="L171" s="3" t="s">
        <v>19</v>
      </c>
      <c r="M171" s="3" t="str">
        <f aca="false">CHOOSE(WEEKDAY(D171),"일","월","화","수","목","금","토")</f>
        <v>월</v>
      </c>
      <c r="N171" s="6" t="s">
        <v>156</v>
      </c>
      <c r="O171" s="3" t="s">
        <v>23</v>
      </c>
      <c r="P171" s="4" t="n">
        <v>46286</v>
      </c>
      <c r="Q171" s="3" t="s">
        <v>63</v>
      </c>
    </row>
    <row r="172" customFormat="false" ht="35.05" hidden="false" customHeight="false" outlineLevel="0" collapsed="false">
      <c r="A172" s="3" t="s">
        <v>174</v>
      </c>
      <c r="B172" s="3" t="s">
        <v>18</v>
      </c>
      <c r="C172" s="3" t="s">
        <v>33</v>
      </c>
      <c r="D172" s="4" t="n">
        <v>46293</v>
      </c>
      <c r="E172" s="5" t="n">
        <v>0.833333333333333</v>
      </c>
      <c r="F172" s="5" t="n">
        <v>0.875</v>
      </c>
      <c r="G172" s="3" t="s">
        <v>20</v>
      </c>
      <c r="H172" s="3" t="s">
        <v>20</v>
      </c>
      <c r="I172" s="3" t="str">
        <f aca="false">IF(E172&gt;=TIME(18,0,0),"Y","")</f>
        <v>Y</v>
      </c>
      <c r="J172" s="3" t="str">
        <f aca="false">IF(AND(ISNUMBER(F172),F172&gt;TIME(21,0,0)),"Y","")</f>
        <v/>
      </c>
      <c r="K172" s="3" t="s">
        <v>29</v>
      </c>
      <c r="L172" s="3" t="s">
        <v>35</v>
      </c>
      <c r="M172" s="3" t="str">
        <f aca="false">CHOOSE(WEEKDAY(D172),"일","월","화","수","목","금","토")</f>
        <v>월</v>
      </c>
      <c r="N172" s="6" t="s">
        <v>156</v>
      </c>
      <c r="O172" s="3" t="s">
        <v>23</v>
      </c>
      <c r="P172" s="4" t="n">
        <v>46286</v>
      </c>
      <c r="Q172" s="3"/>
    </row>
    <row r="173" customFormat="false" ht="46.25" hidden="false" customHeight="false" outlineLevel="0" collapsed="false">
      <c r="A173" s="3" t="s">
        <v>175</v>
      </c>
      <c r="B173" s="3" t="s">
        <v>18</v>
      </c>
      <c r="C173" s="3" t="s">
        <v>59</v>
      </c>
      <c r="D173" s="4" t="n">
        <v>46294</v>
      </c>
      <c r="E173" s="5" t="n">
        <v>0.416666666666667</v>
      </c>
      <c r="F173" s="5" t="n">
        <v>0.458333333333333</v>
      </c>
      <c r="G173" s="3" t="s">
        <v>60</v>
      </c>
      <c r="H173" s="3" t="s">
        <v>61</v>
      </c>
      <c r="I173" s="3" t="str">
        <f aca="false">IF(E173&gt;=TIME(18,0,0),"Y","")</f>
        <v/>
      </c>
      <c r="J173" s="3" t="str">
        <f aca="false">IF(AND(ISNUMBER(F173),F173&gt;TIME(21,0,0)),"Y","")</f>
        <v/>
      </c>
      <c r="K173" s="3" t="s">
        <v>75</v>
      </c>
      <c r="L173" s="3" t="s">
        <v>19</v>
      </c>
      <c r="M173" s="3" t="str">
        <f aca="false">CHOOSE(WEEKDAY(D173),"일","월","화","수","목","금","토")</f>
        <v>화</v>
      </c>
      <c r="N173" s="6" t="s">
        <v>176</v>
      </c>
      <c r="O173" s="3" t="s">
        <v>23</v>
      </c>
      <c r="P173" s="4" t="n">
        <v>46286</v>
      </c>
      <c r="Q173" s="3" t="s">
        <v>63</v>
      </c>
    </row>
    <row r="174" customFormat="false" ht="35.05" hidden="false" customHeight="false" outlineLevel="0" collapsed="false">
      <c r="A174" s="3" t="s">
        <v>55</v>
      </c>
      <c r="B174" s="3" t="s">
        <v>51</v>
      </c>
      <c r="C174" s="3" t="s">
        <v>52</v>
      </c>
      <c r="D174" s="4" t="n">
        <v>46294</v>
      </c>
      <c r="E174" s="5" t="n">
        <v>0.458333333333333</v>
      </c>
      <c r="F174" s="5" t="n">
        <v>0.479166666666667</v>
      </c>
      <c r="G174" s="3" t="s">
        <v>20</v>
      </c>
      <c r="H174" s="3" t="s">
        <v>20</v>
      </c>
      <c r="I174" s="3" t="str">
        <f aca="false">IF(E174&gt;=TIME(18,0,0),"Y","")</f>
        <v/>
      </c>
      <c r="J174" s="3" t="str">
        <f aca="false">IF(AND(ISNUMBER(F174),F174&gt;TIME(21,0,0)),"Y","")</f>
        <v/>
      </c>
      <c r="K174" s="3" t="s">
        <v>51</v>
      </c>
      <c r="L174" s="3" t="s">
        <v>19</v>
      </c>
      <c r="M174" s="3" t="str">
        <f aca="false">CHOOSE(WEEKDAY(D174),"일","월","화","수","목","금","토")</f>
        <v>화</v>
      </c>
      <c r="N174" s="6" t="s">
        <v>176</v>
      </c>
      <c r="O174" s="3" t="s">
        <v>23</v>
      </c>
      <c r="P174" s="4" t="n">
        <v>46286</v>
      </c>
      <c r="Q174" s="3"/>
    </row>
    <row r="175" customFormat="false" ht="35.05" hidden="false" customHeight="false" outlineLevel="0" collapsed="false">
      <c r="A175" s="3" t="s">
        <v>177</v>
      </c>
      <c r="B175" s="3" t="s">
        <v>18</v>
      </c>
      <c r="C175" s="3" t="s">
        <v>33</v>
      </c>
      <c r="D175" s="4" t="n">
        <v>46294</v>
      </c>
      <c r="E175" s="5" t="n">
        <v>0.458333333333333</v>
      </c>
      <c r="F175" s="5" t="n">
        <v>0.5</v>
      </c>
      <c r="G175" s="3" t="s">
        <v>20</v>
      </c>
      <c r="H175" s="3" t="s">
        <v>20</v>
      </c>
      <c r="I175" s="3" t="str">
        <f aca="false">IF(E175&gt;=TIME(18,0,0),"Y","")</f>
        <v/>
      </c>
      <c r="J175" s="3" t="str">
        <f aca="false">IF(AND(ISNUMBER(F175),F175&gt;TIME(21,0,0)),"Y","")</f>
        <v/>
      </c>
      <c r="K175" s="3" t="s">
        <v>75</v>
      </c>
      <c r="L175" s="3" t="s">
        <v>35</v>
      </c>
      <c r="M175" s="3" t="str">
        <f aca="false">CHOOSE(WEEKDAY(D175),"일","월","화","수","목","금","토")</f>
        <v>화</v>
      </c>
      <c r="N175" s="6" t="s">
        <v>176</v>
      </c>
      <c r="O175" s="3" t="s">
        <v>23</v>
      </c>
      <c r="P175" s="4" t="n">
        <v>46286</v>
      </c>
      <c r="Q175" s="3"/>
    </row>
    <row r="176" customFormat="false" ht="35.05" hidden="false" customHeight="false" outlineLevel="0" collapsed="false">
      <c r="A176" s="3" t="s">
        <v>42</v>
      </c>
      <c r="B176" s="3" t="s">
        <v>32</v>
      </c>
      <c r="C176" s="3" t="s">
        <v>43</v>
      </c>
      <c r="D176" s="4" t="n">
        <v>46294</v>
      </c>
      <c r="E176" s="5" t="n">
        <v>0.458333333333333</v>
      </c>
      <c r="F176" s="5" t="n">
        <v>0.5</v>
      </c>
      <c r="G176" s="3" t="s">
        <v>20</v>
      </c>
      <c r="H176" s="3" t="s">
        <v>20</v>
      </c>
      <c r="I176" s="3" t="str">
        <f aca="false">IF(E176&gt;=TIME(18,0,0),"Y","")</f>
        <v/>
      </c>
      <c r="J176" s="3" t="str">
        <f aca="false">IF(AND(ISNUMBER(F176),F176&gt;TIME(21,0,0)),"Y","")</f>
        <v/>
      </c>
      <c r="K176" s="3" t="s">
        <v>34</v>
      </c>
      <c r="L176" s="3" t="s">
        <v>44</v>
      </c>
      <c r="M176" s="3" t="str">
        <f aca="false">CHOOSE(WEEKDAY(D176),"일","월","화","수","목","금","토")</f>
        <v>화</v>
      </c>
      <c r="N176" s="6" t="s">
        <v>176</v>
      </c>
      <c r="O176" s="3" t="s">
        <v>23</v>
      </c>
      <c r="P176" s="4" t="n">
        <v>46286</v>
      </c>
      <c r="Q176" s="3"/>
    </row>
    <row r="177" customFormat="false" ht="35.05" hidden="false" customHeight="false" outlineLevel="0" collapsed="false">
      <c r="A177" s="3" t="s">
        <v>50</v>
      </c>
      <c r="B177" s="3" t="s">
        <v>51</v>
      </c>
      <c r="C177" s="3" t="s">
        <v>52</v>
      </c>
      <c r="D177" s="4" t="n">
        <v>46294</v>
      </c>
      <c r="E177" s="5" t="n">
        <v>0.479166666666667</v>
      </c>
      <c r="F177" s="5" t="n">
        <v>0.5</v>
      </c>
      <c r="G177" s="3" t="s">
        <v>20</v>
      </c>
      <c r="H177" s="3" t="s">
        <v>20</v>
      </c>
      <c r="I177" s="3" t="str">
        <f aca="false">IF(E177&gt;=TIME(18,0,0),"Y","")</f>
        <v/>
      </c>
      <c r="J177" s="3" t="str">
        <f aca="false">IF(AND(ISNUMBER(F177),F177&gt;TIME(21,0,0)),"Y","")</f>
        <v/>
      </c>
      <c r="K177" s="3" t="s">
        <v>51</v>
      </c>
      <c r="L177" s="3" t="s">
        <v>19</v>
      </c>
      <c r="M177" s="3" t="str">
        <f aca="false">CHOOSE(WEEKDAY(D177),"일","월","화","수","목","금","토")</f>
        <v>화</v>
      </c>
      <c r="N177" s="6" t="s">
        <v>176</v>
      </c>
      <c r="O177" s="3" t="s">
        <v>23</v>
      </c>
      <c r="P177" s="4" t="n">
        <v>46286</v>
      </c>
      <c r="Q177" s="3"/>
    </row>
    <row r="178" customFormat="false" ht="46.25" hidden="false" customHeight="false" outlineLevel="0" collapsed="false">
      <c r="A178" s="3" t="s">
        <v>178</v>
      </c>
      <c r="B178" s="3" t="s">
        <v>18</v>
      </c>
      <c r="C178" s="3" t="s">
        <v>59</v>
      </c>
      <c r="D178" s="4" t="n">
        <v>46294</v>
      </c>
      <c r="E178" s="5" t="n">
        <v>0.479166666666667</v>
      </c>
      <c r="F178" s="5" t="n">
        <v>0.520833333333333</v>
      </c>
      <c r="G178" s="3" t="s">
        <v>60</v>
      </c>
      <c r="H178" s="3" t="s">
        <v>61</v>
      </c>
      <c r="I178" s="3" t="str">
        <f aca="false">IF(E178&gt;=TIME(18,0,0),"Y","")</f>
        <v/>
      </c>
      <c r="J178" s="3" t="str">
        <f aca="false">IF(AND(ISNUMBER(F178),F178&gt;TIME(21,0,0)),"Y","")</f>
        <v/>
      </c>
      <c r="K178" s="3" t="s">
        <v>75</v>
      </c>
      <c r="L178" s="3" t="s">
        <v>19</v>
      </c>
      <c r="M178" s="3" t="str">
        <f aca="false">CHOOSE(WEEKDAY(D178),"일","월","화","수","목","금","토")</f>
        <v>화</v>
      </c>
      <c r="N178" s="6" t="s">
        <v>176</v>
      </c>
      <c r="O178" s="3" t="s">
        <v>23</v>
      </c>
      <c r="P178" s="4" t="n">
        <v>46286</v>
      </c>
      <c r="Q178" s="3" t="s">
        <v>63</v>
      </c>
    </row>
    <row r="179" customFormat="false" ht="35.05" hidden="false" customHeight="false" outlineLevel="0" collapsed="false">
      <c r="A179" s="7" t="s">
        <v>179</v>
      </c>
      <c r="B179" s="3" t="s">
        <v>18</v>
      </c>
      <c r="C179" s="3" t="s">
        <v>33</v>
      </c>
      <c r="D179" s="4" t="n">
        <v>46294</v>
      </c>
      <c r="E179" s="5" t="n">
        <v>0.5</v>
      </c>
      <c r="F179" s="5" t="n">
        <v>0.541666666666667</v>
      </c>
      <c r="G179" s="3" t="s">
        <v>20</v>
      </c>
      <c r="H179" s="3" t="s">
        <v>20</v>
      </c>
      <c r="I179" s="3" t="str">
        <f aca="false">IF(E179&gt;=TIME(18,0,0),"Y","")</f>
        <v/>
      </c>
      <c r="J179" s="3" t="str">
        <f aca="false">IF(AND(ISNUMBER(F179),F179&gt;TIME(21,0,0)),"Y","")</f>
        <v/>
      </c>
      <c r="K179" s="3" t="s">
        <v>29</v>
      </c>
      <c r="L179" s="3" t="s">
        <v>35</v>
      </c>
      <c r="M179" s="3" t="str">
        <f aca="false">CHOOSE(WEEKDAY(D179),"일","월","화","수","목","금","토")</f>
        <v>화</v>
      </c>
      <c r="N179" s="6" t="s">
        <v>176</v>
      </c>
      <c r="O179" s="3" t="s">
        <v>23</v>
      </c>
      <c r="P179" s="4" t="n">
        <v>46286</v>
      </c>
      <c r="Q179" s="3"/>
    </row>
    <row r="180" customFormat="false" ht="35.05" hidden="false" customHeight="false" outlineLevel="0" collapsed="false">
      <c r="A180" s="3" t="s">
        <v>180</v>
      </c>
      <c r="B180" s="3" t="s">
        <v>32</v>
      </c>
      <c r="C180" s="3" t="s">
        <v>28</v>
      </c>
      <c r="D180" s="4" t="n">
        <v>46294</v>
      </c>
      <c r="E180" s="5" t="n">
        <v>0.541666666666667</v>
      </c>
      <c r="F180" s="5" t="n">
        <v>0.583333333333333</v>
      </c>
      <c r="G180" s="3" t="s">
        <v>20</v>
      </c>
      <c r="H180" s="3" t="s">
        <v>20</v>
      </c>
      <c r="I180" s="3" t="str">
        <f aca="false">IF(E180&gt;=TIME(18,0,0),"Y","")</f>
        <v/>
      </c>
      <c r="J180" s="3" t="str">
        <f aca="false">IF(AND(ISNUMBER(F180),F180&gt;TIME(21,0,0)),"Y","")</f>
        <v/>
      </c>
      <c r="K180" s="3" t="s">
        <v>34</v>
      </c>
      <c r="L180" s="3" t="s">
        <v>19</v>
      </c>
      <c r="M180" s="3" t="str">
        <f aca="false">CHOOSE(WEEKDAY(D180),"일","월","화","수","목","금","토")</f>
        <v>화</v>
      </c>
      <c r="N180" s="6" t="s">
        <v>176</v>
      </c>
      <c r="O180" s="3" t="s">
        <v>23</v>
      </c>
      <c r="P180" s="4" t="n">
        <v>46286</v>
      </c>
      <c r="Q180" s="3"/>
    </row>
    <row r="181" customFormat="false" ht="35.05" hidden="false" customHeight="false" outlineLevel="0" collapsed="false">
      <c r="A181" s="3" t="s">
        <v>181</v>
      </c>
      <c r="B181" s="3" t="s">
        <v>18</v>
      </c>
      <c r="C181" s="3" t="s">
        <v>33</v>
      </c>
      <c r="D181" s="4" t="n">
        <v>46294</v>
      </c>
      <c r="E181" s="5" t="n">
        <v>0.541666666666667</v>
      </c>
      <c r="F181" s="5" t="n">
        <v>0.583333333333333</v>
      </c>
      <c r="G181" s="3" t="s">
        <v>20</v>
      </c>
      <c r="H181" s="3" t="s">
        <v>20</v>
      </c>
      <c r="I181" s="3" t="str">
        <f aca="false">IF(E181&gt;=TIME(18,0,0),"Y","")</f>
        <v/>
      </c>
      <c r="J181" s="3" t="str">
        <f aca="false">IF(AND(ISNUMBER(F181),F181&gt;TIME(21,0,0)),"Y","")</f>
        <v/>
      </c>
      <c r="K181" s="3" t="s">
        <v>29</v>
      </c>
      <c r="L181" s="3" t="s">
        <v>35</v>
      </c>
      <c r="M181" s="3" t="str">
        <f aca="false">CHOOSE(WEEKDAY(D181),"일","월","화","수","목","금","토")</f>
        <v>화</v>
      </c>
      <c r="N181" s="6" t="s">
        <v>176</v>
      </c>
      <c r="O181" s="3" t="s">
        <v>23</v>
      </c>
      <c r="P181" s="4" t="n">
        <v>46286</v>
      </c>
      <c r="Q181" s="3"/>
    </row>
    <row r="182" customFormat="false" ht="35.05" hidden="false" customHeight="false" outlineLevel="0" collapsed="false">
      <c r="A182" s="3" t="s">
        <v>91</v>
      </c>
      <c r="B182" s="3" t="s">
        <v>18</v>
      </c>
      <c r="C182" s="3" t="s">
        <v>87</v>
      </c>
      <c r="D182" s="4" t="n">
        <v>46294</v>
      </c>
      <c r="E182" s="5" t="n">
        <v>0.541666666666667</v>
      </c>
      <c r="F182" s="5" t="n">
        <v>0.583333333333333</v>
      </c>
      <c r="G182" s="3" t="s">
        <v>20</v>
      </c>
      <c r="H182" s="3" t="s">
        <v>20</v>
      </c>
      <c r="I182" s="3" t="str">
        <f aca="false">IF(E182&gt;=TIME(18,0,0),"Y","")</f>
        <v/>
      </c>
      <c r="J182" s="3" t="str">
        <f aca="false">IF(AND(ISNUMBER(F182),F182&gt;TIME(21,0,0)),"Y","")</f>
        <v/>
      </c>
      <c r="K182" s="3" t="s">
        <v>66</v>
      </c>
      <c r="L182" s="3" t="s">
        <v>26</v>
      </c>
      <c r="M182" s="3" t="str">
        <f aca="false">CHOOSE(WEEKDAY(D182),"일","월","화","수","목","금","토")</f>
        <v>화</v>
      </c>
      <c r="N182" s="6" t="s">
        <v>176</v>
      </c>
      <c r="O182" s="3" t="s">
        <v>23</v>
      </c>
      <c r="P182" s="4" t="n">
        <v>46286</v>
      </c>
      <c r="Q182" s="3"/>
    </row>
    <row r="183" customFormat="false" ht="46.25" hidden="false" customHeight="false" outlineLevel="0" collapsed="false">
      <c r="A183" s="3" t="s">
        <v>182</v>
      </c>
      <c r="B183" s="3" t="s">
        <v>18</v>
      </c>
      <c r="C183" s="3" t="s">
        <v>59</v>
      </c>
      <c r="D183" s="4" t="n">
        <v>46294</v>
      </c>
      <c r="E183" s="5" t="n">
        <v>0.5625</v>
      </c>
      <c r="F183" s="5" t="n">
        <v>0.604166666666667</v>
      </c>
      <c r="G183" s="3" t="s">
        <v>60</v>
      </c>
      <c r="H183" s="3" t="s">
        <v>61</v>
      </c>
      <c r="I183" s="3" t="str">
        <f aca="false">IF(E183&gt;=TIME(18,0,0),"Y","")</f>
        <v/>
      </c>
      <c r="J183" s="3" t="str">
        <f aca="false">IF(AND(ISNUMBER(F183),F183&gt;TIME(21,0,0)),"Y","")</f>
        <v/>
      </c>
      <c r="K183" s="3" t="s">
        <v>75</v>
      </c>
      <c r="L183" s="3" t="s">
        <v>19</v>
      </c>
      <c r="M183" s="3" t="str">
        <f aca="false">CHOOSE(WEEKDAY(D183),"일","월","화","수","목","금","토")</f>
        <v>화</v>
      </c>
      <c r="N183" s="6" t="s">
        <v>176</v>
      </c>
      <c r="O183" s="3" t="s">
        <v>23</v>
      </c>
      <c r="P183" s="4" t="n">
        <v>46286</v>
      </c>
      <c r="Q183" s="3" t="s">
        <v>63</v>
      </c>
    </row>
    <row r="184" customFormat="false" ht="35.05" hidden="false" customHeight="false" outlineLevel="0" collapsed="false">
      <c r="A184" s="3" t="s">
        <v>183</v>
      </c>
      <c r="B184" s="3" t="s">
        <v>18</v>
      </c>
      <c r="C184" s="3" t="s">
        <v>28</v>
      </c>
      <c r="D184" s="4" t="n">
        <v>46294</v>
      </c>
      <c r="E184" s="5" t="n">
        <v>0.583333333333333</v>
      </c>
      <c r="F184" s="5" t="n">
        <v>0.604166666666667</v>
      </c>
      <c r="G184" s="3" t="s">
        <v>20</v>
      </c>
      <c r="H184" s="3" t="s">
        <v>20</v>
      </c>
      <c r="I184" s="3" t="str">
        <f aca="false">IF(E184&gt;=TIME(18,0,0),"Y","")</f>
        <v/>
      </c>
      <c r="J184" s="3" t="str">
        <f aca="false">IF(AND(ISNUMBER(F184),F184&gt;TIME(21,0,0)),"Y","")</f>
        <v/>
      </c>
      <c r="K184" s="3" t="s">
        <v>29</v>
      </c>
      <c r="L184" s="3" t="s">
        <v>19</v>
      </c>
      <c r="M184" s="3" t="str">
        <f aca="false">CHOOSE(WEEKDAY(D184),"일","월","화","수","목","금","토")</f>
        <v>화</v>
      </c>
      <c r="N184" s="6" t="s">
        <v>176</v>
      </c>
      <c r="O184" s="3" t="s">
        <v>23</v>
      </c>
      <c r="P184" s="4" t="n">
        <v>46286</v>
      </c>
      <c r="Q184" s="3"/>
    </row>
    <row r="185" customFormat="false" ht="35.05" hidden="false" customHeight="false" outlineLevel="0" collapsed="false">
      <c r="A185" s="3" t="s">
        <v>121</v>
      </c>
      <c r="B185" s="3" t="s">
        <v>18</v>
      </c>
      <c r="C185" s="3" t="s">
        <v>33</v>
      </c>
      <c r="D185" s="4" t="n">
        <v>46294</v>
      </c>
      <c r="E185" s="5" t="n">
        <v>0.583333333333333</v>
      </c>
      <c r="F185" s="5" t="n">
        <v>0.625</v>
      </c>
      <c r="G185" s="3" t="s">
        <v>20</v>
      </c>
      <c r="H185" s="3" t="s">
        <v>20</v>
      </c>
      <c r="I185" s="3" t="str">
        <f aca="false">IF(E185&gt;=TIME(18,0,0),"Y","")</f>
        <v/>
      </c>
      <c r="J185" s="3" t="str">
        <f aca="false">IF(AND(ISNUMBER(F185),F185&gt;TIME(21,0,0)),"Y","")</f>
        <v/>
      </c>
      <c r="K185" s="3" t="s">
        <v>21</v>
      </c>
      <c r="L185" s="3" t="s">
        <v>35</v>
      </c>
      <c r="M185" s="3" t="str">
        <f aca="false">CHOOSE(WEEKDAY(D185),"일","월","화","수","목","금","토")</f>
        <v>화</v>
      </c>
      <c r="N185" s="6" t="s">
        <v>176</v>
      </c>
      <c r="O185" s="3" t="s">
        <v>23</v>
      </c>
      <c r="P185" s="4" t="n">
        <v>46286</v>
      </c>
      <c r="Q185" s="3"/>
    </row>
    <row r="186" customFormat="false" ht="35.05" hidden="false" customHeight="false" outlineLevel="0" collapsed="false">
      <c r="A186" s="3" t="s">
        <v>56</v>
      </c>
      <c r="B186" s="3" t="s">
        <v>18</v>
      </c>
      <c r="C186" s="3" t="s">
        <v>57</v>
      </c>
      <c r="D186" s="4" t="n">
        <v>46294</v>
      </c>
      <c r="E186" s="5" t="n">
        <v>0.583333333333333</v>
      </c>
      <c r="F186" s="5" t="n">
        <v>0.625</v>
      </c>
      <c r="G186" s="3" t="s">
        <v>20</v>
      </c>
      <c r="H186" s="3" t="s">
        <v>20</v>
      </c>
      <c r="I186" s="3" t="str">
        <f aca="false">IF(E186&gt;=TIME(18,0,0),"Y","")</f>
        <v/>
      </c>
      <c r="J186" s="3" t="str">
        <f aca="false">IF(AND(ISNUMBER(F186),F186&gt;TIME(21,0,0)),"Y","")</f>
        <v/>
      </c>
      <c r="K186" s="3" t="s">
        <v>48</v>
      </c>
      <c r="L186" s="3" t="s">
        <v>47</v>
      </c>
      <c r="M186" s="3" t="str">
        <f aca="false">CHOOSE(WEEKDAY(D186),"일","월","화","수","목","금","토")</f>
        <v>화</v>
      </c>
      <c r="N186" s="6" t="s">
        <v>176</v>
      </c>
      <c r="O186" s="3" t="s">
        <v>23</v>
      </c>
      <c r="P186" s="4" t="n">
        <v>46286</v>
      </c>
      <c r="Q186" s="3" t="s">
        <v>49</v>
      </c>
    </row>
    <row r="187" customFormat="false" ht="35.05" hidden="false" customHeight="false" outlineLevel="0" collapsed="false">
      <c r="A187" s="3" t="s">
        <v>184</v>
      </c>
      <c r="B187" s="3" t="s">
        <v>32</v>
      </c>
      <c r="C187" s="3" t="s">
        <v>43</v>
      </c>
      <c r="D187" s="4" t="n">
        <v>46294</v>
      </c>
      <c r="E187" s="5" t="n">
        <v>0.583333333333333</v>
      </c>
      <c r="F187" s="5" t="n">
        <v>0.666666666666667</v>
      </c>
      <c r="G187" s="3" t="s">
        <v>20</v>
      </c>
      <c r="H187" s="3" t="s">
        <v>20</v>
      </c>
      <c r="I187" s="3" t="str">
        <f aca="false">IF(E187&gt;=TIME(18,0,0),"Y","")</f>
        <v/>
      </c>
      <c r="J187" s="3" t="str">
        <f aca="false">IF(AND(ISNUMBER(F187),F187&gt;TIME(21,0,0)),"Y","")</f>
        <v/>
      </c>
      <c r="K187" s="3" t="s">
        <v>34</v>
      </c>
      <c r="L187" s="3" t="s">
        <v>44</v>
      </c>
      <c r="M187" s="3" t="str">
        <f aca="false">CHOOSE(WEEKDAY(D187),"일","월","화","수","목","금","토")</f>
        <v>화</v>
      </c>
      <c r="N187" s="6" t="s">
        <v>176</v>
      </c>
      <c r="O187" s="3" t="s">
        <v>23</v>
      </c>
      <c r="P187" s="4" t="n">
        <v>46286</v>
      </c>
      <c r="Q187" s="3"/>
    </row>
    <row r="188" customFormat="false" ht="35.05" hidden="false" customHeight="false" outlineLevel="0" collapsed="false">
      <c r="A188" s="3" t="s">
        <v>185</v>
      </c>
      <c r="B188" s="3" t="s">
        <v>18</v>
      </c>
      <c r="C188" s="3" t="s">
        <v>28</v>
      </c>
      <c r="D188" s="4" t="n">
        <v>46294</v>
      </c>
      <c r="E188" s="5" t="n">
        <v>0.625</v>
      </c>
      <c r="F188" s="5" t="n">
        <v>0.666666666666667</v>
      </c>
      <c r="G188" s="3" t="s">
        <v>20</v>
      </c>
      <c r="H188" s="3" t="s">
        <v>20</v>
      </c>
      <c r="I188" s="3" t="str">
        <f aca="false">IF(E188&gt;=TIME(18,0,0),"Y","")</f>
        <v/>
      </c>
      <c r="J188" s="3" t="str">
        <f aca="false">IF(AND(ISNUMBER(F188),F188&gt;TIME(21,0,0)),"Y","")</f>
        <v/>
      </c>
      <c r="K188" s="3" t="s">
        <v>29</v>
      </c>
      <c r="L188" s="3" t="s">
        <v>19</v>
      </c>
      <c r="M188" s="3" t="str">
        <f aca="false">CHOOSE(WEEKDAY(D188),"일","월","화","수","목","금","토")</f>
        <v>화</v>
      </c>
      <c r="N188" s="6" t="s">
        <v>176</v>
      </c>
      <c r="O188" s="3" t="s">
        <v>23</v>
      </c>
      <c r="P188" s="4" t="n">
        <v>46286</v>
      </c>
      <c r="Q188" s="3"/>
    </row>
    <row r="189" customFormat="false" ht="46.25" hidden="false" customHeight="false" outlineLevel="0" collapsed="false">
      <c r="A189" s="3" t="s">
        <v>186</v>
      </c>
      <c r="B189" s="3" t="s">
        <v>18</v>
      </c>
      <c r="C189" s="3" t="s">
        <v>59</v>
      </c>
      <c r="D189" s="4" t="n">
        <v>46294</v>
      </c>
      <c r="E189" s="5" t="n">
        <v>0.625</v>
      </c>
      <c r="F189" s="5" t="n">
        <v>0.666666666666667</v>
      </c>
      <c r="G189" s="3" t="s">
        <v>60</v>
      </c>
      <c r="H189" s="3" t="s">
        <v>61</v>
      </c>
      <c r="I189" s="3" t="str">
        <f aca="false">IF(E189&gt;=TIME(18,0,0),"Y","")</f>
        <v/>
      </c>
      <c r="J189" s="3" t="str">
        <f aca="false">IF(AND(ISNUMBER(F189),F189&gt;TIME(21,0,0)),"Y","")</f>
        <v/>
      </c>
      <c r="K189" s="3" t="s">
        <v>62</v>
      </c>
      <c r="L189" s="3" t="s">
        <v>19</v>
      </c>
      <c r="M189" s="3" t="str">
        <f aca="false">CHOOSE(WEEKDAY(D189),"일","월","화","수","목","금","토")</f>
        <v>화</v>
      </c>
      <c r="N189" s="6" t="s">
        <v>176</v>
      </c>
      <c r="O189" s="3" t="s">
        <v>23</v>
      </c>
      <c r="P189" s="4" t="n">
        <v>46286</v>
      </c>
      <c r="Q189" s="3" t="s">
        <v>63</v>
      </c>
    </row>
    <row r="190" customFormat="false" ht="35.05" hidden="false" customHeight="false" outlineLevel="0" collapsed="false">
      <c r="A190" s="3" t="s">
        <v>187</v>
      </c>
      <c r="B190" s="3" t="s">
        <v>18</v>
      </c>
      <c r="C190" s="3" t="s">
        <v>33</v>
      </c>
      <c r="D190" s="4" t="n">
        <v>46294</v>
      </c>
      <c r="E190" s="5" t="n">
        <v>0.625</v>
      </c>
      <c r="F190" s="5" t="n">
        <v>0.666666666666667</v>
      </c>
      <c r="G190" s="3" t="s">
        <v>20</v>
      </c>
      <c r="H190" s="3" t="s">
        <v>20</v>
      </c>
      <c r="I190" s="3" t="str">
        <f aca="false">IF(E190&gt;=TIME(18,0,0),"Y","")</f>
        <v/>
      </c>
      <c r="J190" s="3" t="str">
        <f aca="false">IF(AND(ISNUMBER(F190),F190&gt;TIME(21,0,0)),"Y","")</f>
        <v/>
      </c>
      <c r="K190" s="3" t="s">
        <v>75</v>
      </c>
      <c r="L190" s="3" t="s">
        <v>35</v>
      </c>
      <c r="M190" s="3" t="str">
        <f aca="false">CHOOSE(WEEKDAY(D190),"일","월","화","수","목","금","토")</f>
        <v>화</v>
      </c>
      <c r="N190" s="6" t="s">
        <v>176</v>
      </c>
      <c r="O190" s="3" t="s">
        <v>23</v>
      </c>
      <c r="P190" s="4" t="n">
        <v>46286</v>
      </c>
      <c r="Q190" s="3"/>
    </row>
    <row r="191" customFormat="false" ht="35.05" hidden="false" customHeight="false" outlineLevel="0" collapsed="false">
      <c r="A191" s="3" t="s">
        <v>81</v>
      </c>
      <c r="B191" s="3" t="s">
        <v>18</v>
      </c>
      <c r="C191" s="3" t="s">
        <v>54</v>
      </c>
      <c r="D191" s="4" t="n">
        <v>46294</v>
      </c>
      <c r="E191" s="5" t="n">
        <v>0.625</v>
      </c>
      <c r="F191" s="5" t="n">
        <v>0.666666666666667</v>
      </c>
      <c r="G191" s="3" t="s">
        <v>20</v>
      </c>
      <c r="H191" s="3" t="s">
        <v>20</v>
      </c>
      <c r="I191" s="3" t="str">
        <f aca="false">IF(E191&gt;=TIME(18,0,0),"Y","")</f>
        <v/>
      </c>
      <c r="J191" s="3" t="str">
        <f aca="false">IF(AND(ISNUMBER(F191),F191&gt;TIME(21,0,0)),"Y","")</f>
        <v/>
      </c>
      <c r="K191" s="3" t="s">
        <v>66</v>
      </c>
      <c r="L191" s="3" t="s">
        <v>26</v>
      </c>
      <c r="M191" s="3" t="str">
        <f aca="false">CHOOSE(WEEKDAY(D191),"일","월","화","수","목","금","토")</f>
        <v>화</v>
      </c>
      <c r="N191" s="6" t="s">
        <v>176</v>
      </c>
      <c r="O191" s="3" t="s">
        <v>23</v>
      </c>
      <c r="P191" s="4" t="n">
        <v>46286</v>
      </c>
      <c r="Q191" s="3"/>
    </row>
    <row r="192" customFormat="false" ht="35.05" hidden="false" customHeight="false" outlineLevel="0" collapsed="false">
      <c r="A192" s="3" t="s">
        <v>50</v>
      </c>
      <c r="B192" s="3" t="s">
        <v>51</v>
      </c>
      <c r="C192" s="3" t="s">
        <v>52</v>
      </c>
      <c r="D192" s="4" t="n">
        <v>46294</v>
      </c>
      <c r="E192" s="5" t="n">
        <v>0.666666666666667</v>
      </c>
      <c r="F192" s="5" t="n">
        <v>0.6875</v>
      </c>
      <c r="G192" s="3" t="s">
        <v>20</v>
      </c>
      <c r="H192" s="3" t="s">
        <v>20</v>
      </c>
      <c r="I192" s="3" t="str">
        <f aca="false">IF(E192&gt;=TIME(18,0,0),"Y","")</f>
        <v/>
      </c>
      <c r="J192" s="3" t="str">
        <f aca="false">IF(AND(ISNUMBER(F192),F192&gt;TIME(21,0,0)),"Y","")</f>
        <v/>
      </c>
      <c r="K192" s="3" t="s">
        <v>51</v>
      </c>
      <c r="L192" s="3" t="s">
        <v>19</v>
      </c>
      <c r="M192" s="3" t="str">
        <f aca="false">CHOOSE(WEEKDAY(D192),"일","월","화","수","목","금","토")</f>
        <v>화</v>
      </c>
      <c r="N192" s="6" t="s">
        <v>176</v>
      </c>
      <c r="O192" s="3" t="s">
        <v>23</v>
      </c>
      <c r="P192" s="4" t="n">
        <v>46286</v>
      </c>
      <c r="Q192" s="3"/>
    </row>
    <row r="193" customFormat="false" ht="35.05" hidden="false" customHeight="false" outlineLevel="0" collapsed="false">
      <c r="A193" s="3" t="s">
        <v>188</v>
      </c>
      <c r="B193" s="3" t="s">
        <v>18</v>
      </c>
      <c r="C193" s="3" t="s">
        <v>28</v>
      </c>
      <c r="D193" s="4" t="n">
        <v>46294</v>
      </c>
      <c r="E193" s="5" t="n">
        <v>0.666666666666667</v>
      </c>
      <c r="F193" s="5" t="n">
        <v>0.6875</v>
      </c>
      <c r="G193" s="3" t="s">
        <v>20</v>
      </c>
      <c r="H193" s="3" t="s">
        <v>20</v>
      </c>
      <c r="I193" s="3" t="str">
        <f aca="false">IF(E193&gt;=TIME(18,0,0),"Y","")</f>
        <v/>
      </c>
      <c r="J193" s="3" t="str">
        <f aca="false">IF(AND(ISNUMBER(F193),F193&gt;TIME(21,0,0)),"Y","")</f>
        <v/>
      </c>
      <c r="K193" s="3" t="s">
        <v>29</v>
      </c>
      <c r="L193" s="3" t="s">
        <v>19</v>
      </c>
      <c r="M193" s="3" t="str">
        <f aca="false">CHOOSE(WEEKDAY(D193),"일","월","화","수","목","금","토")</f>
        <v>화</v>
      </c>
      <c r="N193" s="6" t="s">
        <v>176</v>
      </c>
      <c r="O193" s="3" t="s">
        <v>23</v>
      </c>
      <c r="P193" s="4" t="n">
        <v>46286</v>
      </c>
      <c r="Q193" s="3"/>
    </row>
    <row r="194" customFormat="false" ht="35.05" hidden="false" customHeight="false" outlineLevel="0" collapsed="false">
      <c r="A194" s="3" t="s">
        <v>189</v>
      </c>
      <c r="B194" s="3" t="s">
        <v>18</v>
      </c>
      <c r="C194" s="3" t="s">
        <v>33</v>
      </c>
      <c r="D194" s="4" t="n">
        <v>46294</v>
      </c>
      <c r="E194" s="5" t="n">
        <v>0.666666666666667</v>
      </c>
      <c r="F194" s="5" t="n">
        <v>0.708333333333333</v>
      </c>
      <c r="G194" s="3" t="s">
        <v>20</v>
      </c>
      <c r="H194" s="3" t="s">
        <v>20</v>
      </c>
      <c r="I194" s="3" t="str">
        <f aca="false">IF(E194&gt;=TIME(18,0,0),"Y","")</f>
        <v/>
      </c>
      <c r="J194" s="3" t="str">
        <f aca="false">IF(AND(ISNUMBER(F194),F194&gt;TIME(21,0,0)),"Y","")</f>
        <v/>
      </c>
      <c r="K194" s="3" t="s">
        <v>29</v>
      </c>
      <c r="L194" s="3" t="s">
        <v>35</v>
      </c>
      <c r="M194" s="3" t="str">
        <f aca="false">CHOOSE(WEEKDAY(D194),"일","월","화","수","목","금","토")</f>
        <v>화</v>
      </c>
      <c r="N194" s="6" t="s">
        <v>176</v>
      </c>
      <c r="O194" s="3" t="s">
        <v>23</v>
      </c>
      <c r="P194" s="4" t="n">
        <v>46286</v>
      </c>
      <c r="Q194" s="3"/>
    </row>
    <row r="195" customFormat="false" ht="46.25" hidden="false" customHeight="false" outlineLevel="0" collapsed="false">
      <c r="A195" s="3" t="s">
        <v>190</v>
      </c>
      <c r="B195" s="3" t="s">
        <v>18</v>
      </c>
      <c r="C195" s="3" t="s">
        <v>59</v>
      </c>
      <c r="D195" s="4" t="n">
        <v>46294</v>
      </c>
      <c r="E195" s="5" t="n">
        <v>0.6875</v>
      </c>
      <c r="F195" s="5" t="n">
        <v>0.729166666666667</v>
      </c>
      <c r="G195" s="3" t="s">
        <v>60</v>
      </c>
      <c r="H195" s="3" t="s">
        <v>61</v>
      </c>
      <c r="I195" s="3" t="str">
        <f aca="false">IF(E195&gt;=TIME(18,0,0),"Y","")</f>
        <v/>
      </c>
      <c r="J195" s="3" t="str">
        <f aca="false">IF(AND(ISNUMBER(F195),F195&gt;TIME(21,0,0)),"Y","")</f>
        <v/>
      </c>
      <c r="K195" s="3" t="s">
        <v>75</v>
      </c>
      <c r="L195" s="3" t="s">
        <v>19</v>
      </c>
      <c r="M195" s="3" t="str">
        <f aca="false">CHOOSE(WEEKDAY(D195),"일","월","화","수","목","금","토")</f>
        <v>화</v>
      </c>
      <c r="N195" s="6" t="s">
        <v>176</v>
      </c>
      <c r="O195" s="3" t="s">
        <v>23</v>
      </c>
      <c r="P195" s="4" t="n">
        <v>46286</v>
      </c>
      <c r="Q195" s="3" t="s">
        <v>63</v>
      </c>
    </row>
    <row r="196" customFormat="false" ht="35.05" hidden="false" customHeight="false" outlineLevel="0" collapsed="false">
      <c r="A196" s="3" t="s">
        <v>191</v>
      </c>
      <c r="B196" s="3" t="s">
        <v>18</v>
      </c>
      <c r="C196" s="3" t="s">
        <v>43</v>
      </c>
      <c r="D196" s="4" t="n">
        <v>46294</v>
      </c>
      <c r="E196" s="5" t="n">
        <v>0.708333333333333</v>
      </c>
      <c r="F196" s="5" t="n">
        <v>0.729166666666667</v>
      </c>
      <c r="G196" s="3" t="s">
        <v>20</v>
      </c>
      <c r="H196" s="3" t="s">
        <v>20</v>
      </c>
      <c r="I196" s="3" t="str">
        <f aca="false">IF(E196&gt;=TIME(18,0,0),"Y","")</f>
        <v/>
      </c>
      <c r="J196" s="3" t="str">
        <f aca="false">IF(AND(ISNUMBER(F196),F196&gt;TIME(21,0,0)),"Y","")</f>
        <v/>
      </c>
      <c r="K196" s="3" t="s">
        <v>75</v>
      </c>
      <c r="L196" s="3" t="s">
        <v>44</v>
      </c>
      <c r="M196" s="3" t="str">
        <f aca="false">CHOOSE(WEEKDAY(D196),"일","월","화","수","목","금","토")</f>
        <v>화</v>
      </c>
      <c r="N196" s="6" t="s">
        <v>176</v>
      </c>
      <c r="O196" s="3" t="s">
        <v>23</v>
      </c>
      <c r="P196" s="4" t="n">
        <v>46286</v>
      </c>
      <c r="Q196" s="3"/>
    </row>
    <row r="197" customFormat="false" ht="35.05" hidden="false" customHeight="false" outlineLevel="0" collapsed="false">
      <c r="A197" s="3" t="s">
        <v>192</v>
      </c>
      <c r="B197" s="3" t="s">
        <v>18</v>
      </c>
      <c r="C197" s="3" t="s">
        <v>33</v>
      </c>
      <c r="D197" s="4" t="n">
        <v>46294</v>
      </c>
      <c r="E197" s="5" t="n">
        <v>0.708333333333333</v>
      </c>
      <c r="F197" s="5" t="n">
        <v>0.75</v>
      </c>
      <c r="G197" s="3" t="s">
        <v>20</v>
      </c>
      <c r="H197" s="3" t="s">
        <v>20</v>
      </c>
      <c r="I197" s="3" t="str">
        <f aca="false">IF(E197&gt;=TIME(18,0,0),"Y","")</f>
        <v/>
      </c>
      <c r="J197" s="3" t="str">
        <f aca="false">IF(AND(ISNUMBER(F197),F197&gt;TIME(21,0,0)),"Y","")</f>
        <v/>
      </c>
      <c r="K197" s="3" t="s">
        <v>29</v>
      </c>
      <c r="L197" s="3" t="s">
        <v>35</v>
      </c>
      <c r="M197" s="3" t="str">
        <f aca="false">CHOOSE(WEEKDAY(D197),"일","월","화","수","목","금","토")</f>
        <v>화</v>
      </c>
      <c r="N197" s="6" t="s">
        <v>176</v>
      </c>
      <c r="O197" s="3" t="s">
        <v>23</v>
      </c>
      <c r="P197" s="4" t="n">
        <v>46286</v>
      </c>
      <c r="Q197" s="3"/>
    </row>
    <row r="198" customFormat="false" ht="35.05" hidden="false" customHeight="false" outlineLevel="0" collapsed="false">
      <c r="A198" s="3" t="s">
        <v>193</v>
      </c>
      <c r="B198" s="3" t="s">
        <v>18</v>
      </c>
      <c r="C198" s="3" t="s">
        <v>28</v>
      </c>
      <c r="D198" s="4" t="n">
        <v>46294</v>
      </c>
      <c r="E198" s="5" t="n">
        <v>0.708333333333333</v>
      </c>
      <c r="F198" s="5" t="n">
        <v>0.770833333333333</v>
      </c>
      <c r="G198" s="3" t="s">
        <v>20</v>
      </c>
      <c r="H198" s="3" t="s">
        <v>20</v>
      </c>
      <c r="I198" s="3" t="str">
        <f aca="false">IF(E198&gt;=TIME(18,0,0),"Y","")</f>
        <v/>
      </c>
      <c r="J198" s="3" t="str">
        <f aca="false">IF(AND(ISNUMBER(F198),F198&gt;TIME(21,0,0)),"Y","")</f>
        <v/>
      </c>
      <c r="K198" s="3" t="s">
        <v>29</v>
      </c>
      <c r="L198" s="3" t="s">
        <v>19</v>
      </c>
      <c r="M198" s="3" t="str">
        <f aca="false">CHOOSE(WEEKDAY(D198),"일","월","화","수","목","금","토")</f>
        <v>화</v>
      </c>
      <c r="N198" s="6" t="s">
        <v>176</v>
      </c>
      <c r="O198" s="3" t="s">
        <v>23</v>
      </c>
      <c r="P198" s="4" t="n">
        <v>46286</v>
      </c>
      <c r="Q198" s="3"/>
    </row>
    <row r="199" customFormat="false" ht="35.05" hidden="false" customHeight="false" outlineLevel="0" collapsed="false">
      <c r="A199" s="3" t="s">
        <v>194</v>
      </c>
      <c r="B199" s="3" t="s">
        <v>18</v>
      </c>
      <c r="C199" s="3" t="s">
        <v>43</v>
      </c>
      <c r="D199" s="4" t="n">
        <v>46294</v>
      </c>
      <c r="E199" s="5" t="n">
        <v>0.75</v>
      </c>
      <c r="F199" s="5" t="n">
        <v>0.770833333333333</v>
      </c>
      <c r="G199" s="3" t="s">
        <v>20</v>
      </c>
      <c r="H199" s="3" t="s">
        <v>20</v>
      </c>
      <c r="I199" s="3" t="str">
        <f aca="false">IF(E199&gt;=TIME(18,0,0),"Y","")</f>
        <v>Y</v>
      </c>
      <c r="J199" s="3" t="str">
        <f aca="false">IF(AND(ISNUMBER(F199),F199&gt;TIME(21,0,0)),"Y","")</f>
        <v/>
      </c>
      <c r="K199" s="3" t="s">
        <v>75</v>
      </c>
      <c r="L199" s="3" t="s">
        <v>44</v>
      </c>
      <c r="M199" s="3" t="str">
        <f aca="false">CHOOSE(WEEKDAY(D199),"일","월","화","수","목","금","토")</f>
        <v>화</v>
      </c>
      <c r="N199" s="6" t="s">
        <v>176</v>
      </c>
      <c r="O199" s="3" t="s">
        <v>23</v>
      </c>
      <c r="P199" s="4" t="n">
        <v>46286</v>
      </c>
      <c r="Q199" s="3"/>
    </row>
    <row r="200" customFormat="false" ht="35.05" hidden="false" customHeight="false" outlineLevel="0" collapsed="false">
      <c r="A200" s="3" t="s">
        <v>158</v>
      </c>
      <c r="B200" s="3" t="s">
        <v>18</v>
      </c>
      <c r="C200" s="3" t="s">
        <v>28</v>
      </c>
      <c r="D200" s="4" t="n">
        <v>46294</v>
      </c>
      <c r="E200" s="5" t="n">
        <v>0.770833333333333</v>
      </c>
      <c r="F200" s="5" t="n">
        <v>0.791666666666667</v>
      </c>
      <c r="G200" s="3" t="s">
        <v>20</v>
      </c>
      <c r="H200" s="3" t="s">
        <v>20</v>
      </c>
      <c r="I200" s="3" t="str">
        <f aca="false">IF(E200&gt;=TIME(18,0,0),"Y","")</f>
        <v>Y</v>
      </c>
      <c r="J200" s="3" t="str">
        <f aca="false">IF(AND(ISNUMBER(F200),F200&gt;TIME(21,0,0)),"Y","")</f>
        <v/>
      </c>
      <c r="K200" s="3" t="s">
        <v>66</v>
      </c>
      <c r="L200" s="3" t="s">
        <v>19</v>
      </c>
      <c r="M200" s="3" t="str">
        <f aca="false">CHOOSE(WEEKDAY(D200),"일","월","화","수","목","금","토")</f>
        <v>화</v>
      </c>
      <c r="N200" s="6" t="s">
        <v>176</v>
      </c>
      <c r="O200" s="3" t="s">
        <v>23</v>
      </c>
      <c r="P200" s="4" t="n">
        <v>46286</v>
      </c>
      <c r="Q200" s="3"/>
    </row>
    <row r="201" customFormat="false" ht="46.25" hidden="false" customHeight="false" outlineLevel="0" collapsed="false">
      <c r="A201" s="3" t="s">
        <v>56</v>
      </c>
      <c r="B201" s="3" t="s">
        <v>18</v>
      </c>
      <c r="C201" s="3" t="s">
        <v>59</v>
      </c>
      <c r="D201" s="4" t="n">
        <v>46294</v>
      </c>
      <c r="E201" s="5" t="n">
        <v>0.770833333333333</v>
      </c>
      <c r="F201" s="5" t="n">
        <v>0.8125</v>
      </c>
      <c r="G201" s="3" t="s">
        <v>60</v>
      </c>
      <c r="H201" s="3" t="s">
        <v>61</v>
      </c>
      <c r="I201" s="3" t="str">
        <f aca="false">IF(E201&gt;=TIME(18,0,0),"Y","")</f>
        <v>Y</v>
      </c>
      <c r="J201" s="3" t="str">
        <f aca="false">IF(AND(ISNUMBER(F201),F201&gt;TIME(21,0,0)),"Y","")</f>
        <v/>
      </c>
      <c r="K201" s="3" t="s">
        <v>62</v>
      </c>
      <c r="L201" s="3" t="s">
        <v>19</v>
      </c>
      <c r="M201" s="3" t="str">
        <f aca="false">CHOOSE(WEEKDAY(D201),"일","월","화","수","목","금","토")</f>
        <v>화</v>
      </c>
      <c r="N201" s="6" t="s">
        <v>176</v>
      </c>
      <c r="O201" s="3" t="s">
        <v>23</v>
      </c>
      <c r="P201" s="4" t="n">
        <v>46286</v>
      </c>
      <c r="Q201" s="3" t="s">
        <v>63</v>
      </c>
    </row>
    <row r="202" customFormat="false" ht="35.05" hidden="false" customHeight="false" outlineLevel="0" collapsed="false">
      <c r="A202" s="3" t="s">
        <v>195</v>
      </c>
      <c r="B202" s="3" t="s">
        <v>18</v>
      </c>
      <c r="C202" s="3" t="s">
        <v>33</v>
      </c>
      <c r="D202" s="4" t="n">
        <v>46294</v>
      </c>
      <c r="E202" s="5" t="n">
        <v>0.770833333333333</v>
      </c>
      <c r="F202" s="5" t="n">
        <v>0.8125</v>
      </c>
      <c r="G202" s="3" t="s">
        <v>20</v>
      </c>
      <c r="H202" s="3" t="s">
        <v>20</v>
      </c>
      <c r="I202" s="3" t="str">
        <f aca="false">IF(E202&gt;=TIME(18,0,0),"Y","")</f>
        <v>Y</v>
      </c>
      <c r="J202" s="3" t="str">
        <f aca="false">IF(AND(ISNUMBER(F202),F202&gt;TIME(21,0,0)),"Y","")</f>
        <v/>
      </c>
      <c r="K202" s="3" t="s">
        <v>29</v>
      </c>
      <c r="L202" s="3" t="s">
        <v>35</v>
      </c>
      <c r="M202" s="3" t="str">
        <f aca="false">CHOOSE(WEEKDAY(D202),"일","월","화","수","목","금","토")</f>
        <v>화</v>
      </c>
      <c r="N202" s="6" t="s">
        <v>176</v>
      </c>
      <c r="O202" s="3" t="s">
        <v>23</v>
      </c>
      <c r="P202" s="4" t="n">
        <v>46286</v>
      </c>
      <c r="Q202" s="3"/>
    </row>
    <row r="203" customFormat="false" ht="35.05" hidden="false" customHeight="false" outlineLevel="0" collapsed="false">
      <c r="A203" s="3" t="s">
        <v>196</v>
      </c>
      <c r="B203" s="3" t="s">
        <v>18</v>
      </c>
      <c r="C203" s="3" t="s">
        <v>28</v>
      </c>
      <c r="D203" s="4" t="n">
        <v>46294</v>
      </c>
      <c r="E203" s="5" t="n">
        <v>0.791666666666667</v>
      </c>
      <c r="F203" s="5" t="n">
        <v>0.833333333333333</v>
      </c>
      <c r="G203" s="3" t="s">
        <v>20</v>
      </c>
      <c r="H203" s="3" t="s">
        <v>20</v>
      </c>
      <c r="I203" s="3" t="str">
        <f aca="false">IF(E203&gt;=TIME(18,0,0),"Y","")</f>
        <v>Y</v>
      </c>
      <c r="J203" s="3" t="str">
        <f aca="false">IF(AND(ISNUMBER(F203),F203&gt;TIME(21,0,0)),"Y","")</f>
        <v/>
      </c>
      <c r="K203" s="3" t="s">
        <v>40</v>
      </c>
      <c r="L203" s="3" t="s">
        <v>19</v>
      </c>
      <c r="M203" s="3" t="str">
        <f aca="false">CHOOSE(WEEKDAY(D203),"일","월","화","수","목","금","토")</f>
        <v>화</v>
      </c>
      <c r="N203" s="6" t="s">
        <v>176</v>
      </c>
      <c r="O203" s="3" t="s">
        <v>23</v>
      </c>
      <c r="P203" s="4" t="n">
        <v>46286</v>
      </c>
      <c r="Q203" s="3"/>
    </row>
    <row r="204" customFormat="false" ht="35.05" hidden="false" customHeight="false" outlineLevel="0" collapsed="false">
      <c r="A204" s="3" t="s">
        <v>197</v>
      </c>
      <c r="B204" s="3" t="s">
        <v>18</v>
      </c>
      <c r="C204" s="3" t="s">
        <v>33</v>
      </c>
      <c r="D204" s="4" t="n">
        <v>46294</v>
      </c>
      <c r="E204" s="5" t="n">
        <v>0.8125</v>
      </c>
      <c r="F204" s="5" t="n">
        <v>0.833333333333333</v>
      </c>
      <c r="G204" s="3" t="s">
        <v>20</v>
      </c>
      <c r="H204" s="3" t="s">
        <v>20</v>
      </c>
      <c r="I204" s="3" t="str">
        <f aca="false">IF(E204&gt;=TIME(18,0,0),"Y","")</f>
        <v>Y</v>
      </c>
      <c r="J204" s="3" t="str">
        <f aca="false">IF(AND(ISNUMBER(F204),F204&gt;TIME(21,0,0)),"Y","")</f>
        <v/>
      </c>
      <c r="K204" s="3" t="s">
        <v>29</v>
      </c>
      <c r="L204" s="3" t="s">
        <v>35</v>
      </c>
      <c r="M204" s="3" t="str">
        <f aca="false">CHOOSE(WEEKDAY(D204),"일","월","화","수","목","금","토")</f>
        <v>화</v>
      </c>
      <c r="N204" s="6" t="s">
        <v>176</v>
      </c>
      <c r="O204" s="3" t="s">
        <v>23</v>
      </c>
      <c r="P204" s="4" t="n">
        <v>46286</v>
      </c>
      <c r="Q204" s="3"/>
    </row>
    <row r="205" customFormat="false" ht="35.05" hidden="false" customHeight="false" outlineLevel="0" collapsed="false">
      <c r="A205" s="3" t="s">
        <v>143</v>
      </c>
      <c r="B205" s="3" t="s">
        <v>18</v>
      </c>
      <c r="C205" s="3" t="s">
        <v>28</v>
      </c>
      <c r="D205" s="4" t="n">
        <v>46294</v>
      </c>
      <c r="E205" s="5" t="n">
        <v>0.833333333333333</v>
      </c>
      <c r="F205" s="5" t="n">
        <v>0.875</v>
      </c>
      <c r="G205" s="3" t="s">
        <v>20</v>
      </c>
      <c r="H205" s="3" t="s">
        <v>20</v>
      </c>
      <c r="I205" s="3" t="str">
        <f aca="false">IF(E205&gt;=TIME(18,0,0),"Y","")</f>
        <v>Y</v>
      </c>
      <c r="J205" s="3" t="str">
        <f aca="false">IF(AND(ISNUMBER(F205),F205&gt;TIME(21,0,0)),"Y","")</f>
        <v/>
      </c>
      <c r="K205" s="3" t="s">
        <v>40</v>
      </c>
      <c r="L205" s="3" t="s">
        <v>19</v>
      </c>
      <c r="M205" s="3" t="str">
        <f aca="false">CHOOSE(WEEKDAY(D205),"일","월","화","수","목","금","토")</f>
        <v>화</v>
      </c>
      <c r="N205" s="6" t="s">
        <v>176</v>
      </c>
      <c r="O205" s="3" t="s">
        <v>23</v>
      </c>
      <c r="P205" s="4" t="n">
        <v>46286</v>
      </c>
      <c r="Q205" s="3"/>
    </row>
    <row r="206" customFormat="false" ht="46.25" hidden="false" customHeight="false" outlineLevel="0" collapsed="false">
      <c r="A206" s="3" t="s">
        <v>198</v>
      </c>
      <c r="B206" s="3" t="s">
        <v>18</v>
      </c>
      <c r="C206" s="3" t="s">
        <v>59</v>
      </c>
      <c r="D206" s="4" t="n">
        <v>46294</v>
      </c>
      <c r="E206" s="5" t="n">
        <v>0.833333333333333</v>
      </c>
      <c r="F206" s="5" t="n">
        <v>0.875</v>
      </c>
      <c r="G206" s="3" t="s">
        <v>60</v>
      </c>
      <c r="H206" s="3" t="s">
        <v>61</v>
      </c>
      <c r="I206" s="3" t="str">
        <f aca="false">IF(E206&gt;=TIME(18,0,0),"Y","")</f>
        <v>Y</v>
      </c>
      <c r="J206" s="3" t="str">
        <f aca="false">IF(AND(ISNUMBER(F206),F206&gt;TIME(21,0,0)),"Y","")</f>
        <v/>
      </c>
      <c r="K206" s="3" t="s">
        <v>75</v>
      </c>
      <c r="L206" s="3" t="s">
        <v>19</v>
      </c>
      <c r="M206" s="3" t="str">
        <f aca="false">CHOOSE(WEEKDAY(D206),"일","월","화","수","목","금","토")</f>
        <v>화</v>
      </c>
      <c r="N206" s="6" t="s">
        <v>176</v>
      </c>
      <c r="O206" s="3" t="s">
        <v>23</v>
      </c>
      <c r="P206" s="4" t="n">
        <v>46286</v>
      </c>
      <c r="Q206" s="3" t="s">
        <v>63</v>
      </c>
    </row>
    <row r="207" customFormat="false" ht="35.05" hidden="false" customHeight="false" outlineLevel="0" collapsed="false">
      <c r="A207" s="3" t="s">
        <v>199</v>
      </c>
      <c r="B207" s="3" t="s">
        <v>18</v>
      </c>
      <c r="C207" s="3" t="s">
        <v>33</v>
      </c>
      <c r="D207" s="4" t="n">
        <v>46294</v>
      </c>
      <c r="E207" s="5" t="n">
        <v>0.833333333333333</v>
      </c>
      <c r="F207" s="5" t="n">
        <v>0.875</v>
      </c>
      <c r="G207" s="3" t="s">
        <v>20</v>
      </c>
      <c r="H207" s="3" t="s">
        <v>20</v>
      </c>
      <c r="I207" s="3" t="str">
        <f aca="false">IF(E207&gt;=TIME(18,0,0),"Y","")</f>
        <v>Y</v>
      </c>
      <c r="J207" s="3" t="str">
        <f aca="false">IF(AND(ISNUMBER(F207),F207&gt;TIME(21,0,0)),"Y","")</f>
        <v/>
      </c>
      <c r="K207" s="3" t="s">
        <v>29</v>
      </c>
      <c r="L207" s="3" t="s">
        <v>35</v>
      </c>
      <c r="M207" s="3" t="str">
        <f aca="false">CHOOSE(WEEKDAY(D207),"일","월","화","수","목","금","토")</f>
        <v>화</v>
      </c>
      <c r="N207" s="6" t="s">
        <v>176</v>
      </c>
      <c r="O207" s="3" t="s">
        <v>23</v>
      </c>
      <c r="P207" s="4" t="n">
        <v>46286</v>
      </c>
      <c r="Q207" s="3"/>
    </row>
    <row r="208" customFormat="false" ht="35.05" hidden="false" customHeight="false" outlineLevel="0" collapsed="false">
      <c r="A208" s="3" t="s">
        <v>200</v>
      </c>
      <c r="B208" s="3" t="s">
        <v>18</v>
      </c>
      <c r="C208" s="3" t="s">
        <v>33</v>
      </c>
      <c r="D208" s="4" t="n">
        <v>46294</v>
      </c>
      <c r="E208" s="5" t="n">
        <v>0.875</v>
      </c>
      <c r="F208" s="5" t="n">
        <v>0.916666666666667</v>
      </c>
      <c r="G208" s="3" t="s">
        <v>20</v>
      </c>
      <c r="H208" s="3" t="s">
        <v>20</v>
      </c>
      <c r="I208" s="3" t="str">
        <f aca="false">IF(E208&gt;=TIME(18,0,0),"Y","")</f>
        <v>Y</v>
      </c>
      <c r="J208" s="3" t="str">
        <f aca="false">IF(AND(ISNUMBER(F208),F208&gt;TIME(21,0,0)),"Y","")</f>
        <v>Y</v>
      </c>
      <c r="K208" s="3" t="s">
        <v>29</v>
      </c>
      <c r="L208" s="3" t="s">
        <v>35</v>
      </c>
      <c r="M208" s="3" t="str">
        <f aca="false">CHOOSE(WEEKDAY(D208),"일","월","화","수","목","금","토")</f>
        <v>화</v>
      </c>
      <c r="N208" s="6" t="s">
        <v>176</v>
      </c>
      <c r="O208" s="3" t="s">
        <v>23</v>
      </c>
      <c r="P208" s="4" t="n">
        <v>46286</v>
      </c>
      <c r="Q208" s="3"/>
    </row>
    <row r="209" customFormat="false" ht="46.25" hidden="false" customHeight="false" outlineLevel="0" collapsed="false">
      <c r="A209" s="3" t="s">
        <v>201</v>
      </c>
      <c r="B209" s="3" t="s">
        <v>18</v>
      </c>
      <c r="C209" s="3" t="s">
        <v>59</v>
      </c>
      <c r="D209" s="4" t="n">
        <v>46295</v>
      </c>
      <c r="E209" s="5" t="n">
        <v>0.458333333333333</v>
      </c>
      <c r="F209" s="5" t="n">
        <v>0.479166666666667</v>
      </c>
      <c r="G209" s="3" t="s">
        <v>60</v>
      </c>
      <c r="H209" s="3" t="s">
        <v>61</v>
      </c>
      <c r="I209" s="3" t="str">
        <f aca="false">IF(E209&gt;=TIME(18,0,0),"Y","")</f>
        <v/>
      </c>
      <c r="J209" s="3" t="str">
        <f aca="false">IF(AND(ISNUMBER(F209),F209&gt;TIME(21,0,0)),"Y","")</f>
        <v/>
      </c>
      <c r="K209" s="3" t="s">
        <v>110</v>
      </c>
      <c r="L209" s="3" t="s">
        <v>19</v>
      </c>
      <c r="M209" s="3" t="str">
        <f aca="false">CHOOSE(WEEKDAY(D209),"일","월","화","수","목","금","토")</f>
        <v>수</v>
      </c>
      <c r="N209" s="6" t="s">
        <v>202</v>
      </c>
      <c r="O209" s="3" t="s">
        <v>23</v>
      </c>
      <c r="P209" s="4" t="n">
        <v>46286</v>
      </c>
      <c r="Q209" s="3" t="s">
        <v>63</v>
      </c>
    </row>
    <row r="210" customFormat="false" ht="35.05" hidden="false" customHeight="false" outlineLevel="0" collapsed="false">
      <c r="A210" s="3" t="s">
        <v>203</v>
      </c>
      <c r="B210" s="3" t="s">
        <v>18</v>
      </c>
      <c r="C210" s="3" t="s">
        <v>28</v>
      </c>
      <c r="D210" s="4" t="n">
        <v>46295</v>
      </c>
      <c r="E210" s="5" t="n">
        <v>0.458333333333333</v>
      </c>
      <c r="F210" s="5" t="n">
        <v>0.5</v>
      </c>
      <c r="G210" s="3" t="s">
        <v>20</v>
      </c>
      <c r="H210" s="3" t="s">
        <v>20</v>
      </c>
      <c r="I210" s="3" t="str">
        <f aca="false">IF(E210&gt;=TIME(18,0,0),"Y","")</f>
        <v/>
      </c>
      <c r="J210" s="3" t="str">
        <f aca="false">IF(AND(ISNUMBER(F210),F210&gt;TIME(21,0,0)),"Y","")</f>
        <v/>
      </c>
      <c r="K210" s="3" t="s">
        <v>40</v>
      </c>
      <c r="L210" s="3" t="s">
        <v>19</v>
      </c>
      <c r="M210" s="3" t="str">
        <f aca="false">CHOOSE(WEEKDAY(D210),"일","월","화","수","목","금","토")</f>
        <v>수</v>
      </c>
      <c r="N210" s="6" t="s">
        <v>202</v>
      </c>
      <c r="O210" s="3" t="s">
        <v>23</v>
      </c>
      <c r="P210" s="4" t="n">
        <v>46286</v>
      </c>
      <c r="Q210" s="3"/>
    </row>
    <row r="211" customFormat="false" ht="35.05" hidden="false" customHeight="false" outlineLevel="0" collapsed="false">
      <c r="A211" s="3" t="s">
        <v>204</v>
      </c>
      <c r="B211" s="3" t="s">
        <v>18</v>
      </c>
      <c r="C211" s="3" t="s">
        <v>33</v>
      </c>
      <c r="D211" s="4" t="n">
        <v>46295</v>
      </c>
      <c r="E211" s="5" t="n">
        <v>0.458333333333333</v>
      </c>
      <c r="F211" s="5" t="n">
        <v>0.5</v>
      </c>
      <c r="G211" s="3" t="s">
        <v>20</v>
      </c>
      <c r="H211" s="3" t="s">
        <v>20</v>
      </c>
      <c r="I211" s="3" t="str">
        <f aca="false">IF(E211&gt;=TIME(18,0,0),"Y","")</f>
        <v/>
      </c>
      <c r="J211" s="3" t="str">
        <f aca="false">IF(AND(ISNUMBER(F211),F211&gt;TIME(21,0,0)),"Y","")</f>
        <v/>
      </c>
      <c r="K211" s="3" t="s">
        <v>75</v>
      </c>
      <c r="L211" s="3" t="s">
        <v>35</v>
      </c>
      <c r="M211" s="3" t="str">
        <f aca="false">CHOOSE(WEEKDAY(D211),"일","월","화","수","목","금","토")</f>
        <v>수</v>
      </c>
      <c r="N211" s="6" t="s">
        <v>202</v>
      </c>
      <c r="O211" s="3" t="s">
        <v>23</v>
      </c>
      <c r="P211" s="4" t="n">
        <v>46286</v>
      </c>
      <c r="Q211" s="3"/>
    </row>
    <row r="212" customFormat="false" ht="35.05" hidden="false" customHeight="false" outlineLevel="0" collapsed="false">
      <c r="A212" s="3" t="s">
        <v>42</v>
      </c>
      <c r="B212" s="3" t="s">
        <v>32</v>
      </c>
      <c r="C212" s="3" t="s">
        <v>43</v>
      </c>
      <c r="D212" s="4" t="n">
        <v>46295</v>
      </c>
      <c r="E212" s="5" t="n">
        <v>0.458333333333333</v>
      </c>
      <c r="F212" s="5" t="n">
        <v>0.5</v>
      </c>
      <c r="G212" s="3" t="s">
        <v>20</v>
      </c>
      <c r="H212" s="3" t="s">
        <v>20</v>
      </c>
      <c r="I212" s="3" t="str">
        <f aca="false">IF(E212&gt;=TIME(18,0,0),"Y","")</f>
        <v/>
      </c>
      <c r="J212" s="3" t="str">
        <f aca="false">IF(AND(ISNUMBER(F212),F212&gt;TIME(21,0,0)),"Y","")</f>
        <v/>
      </c>
      <c r="K212" s="3" t="s">
        <v>34</v>
      </c>
      <c r="L212" s="3" t="s">
        <v>44</v>
      </c>
      <c r="M212" s="3" t="str">
        <f aca="false">CHOOSE(WEEKDAY(D212),"일","월","화","수","목","금","토")</f>
        <v>수</v>
      </c>
      <c r="N212" s="6" t="s">
        <v>202</v>
      </c>
      <c r="O212" s="3" t="s">
        <v>23</v>
      </c>
      <c r="P212" s="4" t="n">
        <v>46286</v>
      </c>
      <c r="Q212" s="3"/>
    </row>
    <row r="213" customFormat="false" ht="35.05" hidden="false" customHeight="false" outlineLevel="0" collapsed="false">
      <c r="A213" s="3" t="s">
        <v>50</v>
      </c>
      <c r="B213" s="3" t="s">
        <v>51</v>
      </c>
      <c r="C213" s="3" t="s">
        <v>52</v>
      </c>
      <c r="D213" s="4" t="n">
        <v>46295</v>
      </c>
      <c r="E213" s="5" t="n">
        <v>0.479166666666667</v>
      </c>
      <c r="F213" s="5" t="n">
        <v>0.5</v>
      </c>
      <c r="G213" s="3" t="s">
        <v>20</v>
      </c>
      <c r="H213" s="3" t="s">
        <v>20</v>
      </c>
      <c r="I213" s="3" t="str">
        <f aca="false">IF(E213&gt;=TIME(18,0,0),"Y","")</f>
        <v/>
      </c>
      <c r="J213" s="3" t="str">
        <f aca="false">IF(AND(ISNUMBER(F213),F213&gt;TIME(21,0,0)),"Y","")</f>
        <v/>
      </c>
      <c r="K213" s="3" t="s">
        <v>51</v>
      </c>
      <c r="L213" s="3" t="s">
        <v>19</v>
      </c>
      <c r="M213" s="3" t="str">
        <f aca="false">CHOOSE(WEEKDAY(D213),"일","월","화","수","목","금","토")</f>
        <v>수</v>
      </c>
      <c r="N213" s="6" t="s">
        <v>202</v>
      </c>
      <c r="O213" s="3" t="s">
        <v>23</v>
      </c>
      <c r="P213" s="4" t="n">
        <v>46286</v>
      </c>
      <c r="Q213" s="3"/>
    </row>
    <row r="214" customFormat="false" ht="35.05" hidden="false" customHeight="false" outlineLevel="0" collapsed="false">
      <c r="A214" s="3" t="s">
        <v>55</v>
      </c>
      <c r="B214" s="3" t="s">
        <v>51</v>
      </c>
      <c r="C214" s="3" t="s">
        <v>52</v>
      </c>
      <c r="D214" s="4" t="n">
        <v>46295</v>
      </c>
      <c r="E214" s="5" t="n">
        <v>0.5</v>
      </c>
      <c r="F214" s="5" t="n">
        <v>0.520833333333333</v>
      </c>
      <c r="G214" s="3" t="s">
        <v>20</v>
      </c>
      <c r="H214" s="3" t="s">
        <v>20</v>
      </c>
      <c r="I214" s="3" t="str">
        <f aca="false">IF(E214&gt;=TIME(18,0,0),"Y","")</f>
        <v/>
      </c>
      <c r="J214" s="3" t="str">
        <f aca="false">IF(AND(ISNUMBER(F214),F214&gt;TIME(21,0,0)),"Y","")</f>
        <v/>
      </c>
      <c r="K214" s="3" t="s">
        <v>51</v>
      </c>
      <c r="L214" s="3" t="s">
        <v>19</v>
      </c>
      <c r="M214" s="3" t="str">
        <f aca="false">CHOOSE(WEEKDAY(D214),"일","월","화","수","목","금","토")</f>
        <v>수</v>
      </c>
      <c r="N214" s="6" t="s">
        <v>202</v>
      </c>
      <c r="O214" s="3" t="s">
        <v>23</v>
      </c>
      <c r="P214" s="4" t="n">
        <v>46286</v>
      </c>
      <c r="Q214" s="3"/>
    </row>
    <row r="215" customFormat="false" ht="46.25" hidden="false" customHeight="false" outlineLevel="0" collapsed="false">
      <c r="A215" s="3" t="s">
        <v>205</v>
      </c>
      <c r="B215" s="3" t="s">
        <v>18</v>
      </c>
      <c r="C215" s="3" t="s">
        <v>59</v>
      </c>
      <c r="D215" s="4" t="n">
        <v>46295</v>
      </c>
      <c r="E215" s="5" t="n">
        <v>0.5</v>
      </c>
      <c r="F215" s="5" t="n">
        <v>0.541666666666667</v>
      </c>
      <c r="G215" s="3" t="s">
        <v>60</v>
      </c>
      <c r="H215" s="3" t="s">
        <v>61</v>
      </c>
      <c r="I215" s="3" t="str">
        <f aca="false">IF(E215&gt;=TIME(18,0,0),"Y","")</f>
        <v/>
      </c>
      <c r="J215" s="3" t="str">
        <f aca="false">IF(AND(ISNUMBER(F215),F215&gt;TIME(21,0,0)),"Y","")</f>
        <v/>
      </c>
      <c r="K215" s="3" t="s">
        <v>75</v>
      </c>
      <c r="L215" s="3" t="s">
        <v>19</v>
      </c>
      <c r="M215" s="3" t="str">
        <f aca="false">CHOOSE(WEEKDAY(D215),"일","월","화","수","목","금","토")</f>
        <v>수</v>
      </c>
      <c r="N215" s="6" t="s">
        <v>202</v>
      </c>
      <c r="O215" s="3" t="s">
        <v>23</v>
      </c>
      <c r="P215" s="4" t="n">
        <v>46286</v>
      </c>
      <c r="Q215" s="3" t="s">
        <v>63</v>
      </c>
    </row>
    <row r="216" customFormat="false" ht="35.05" hidden="false" customHeight="false" outlineLevel="0" collapsed="false">
      <c r="A216" s="3" t="s">
        <v>206</v>
      </c>
      <c r="B216" s="3" t="s">
        <v>18</v>
      </c>
      <c r="C216" s="3" t="s">
        <v>28</v>
      </c>
      <c r="D216" s="4" t="n">
        <v>46295</v>
      </c>
      <c r="E216" s="5" t="n">
        <v>0.541666666666667</v>
      </c>
      <c r="F216" s="5" t="n">
        <v>0.5625</v>
      </c>
      <c r="G216" s="3" t="s">
        <v>20</v>
      </c>
      <c r="H216" s="3" t="s">
        <v>20</v>
      </c>
      <c r="I216" s="3" t="str">
        <f aca="false">IF(E216&gt;=TIME(18,0,0),"Y","")</f>
        <v/>
      </c>
      <c r="J216" s="3" t="str">
        <f aca="false">IF(AND(ISNUMBER(F216),F216&gt;TIME(21,0,0)),"Y","")</f>
        <v/>
      </c>
      <c r="K216" s="3" t="s">
        <v>29</v>
      </c>
      <c r="L216" s="3" t="s">
        <v>19</v>
      </c>
      <c r="M216" s="3" t="str">
        <f aca="false">CHOOSE(WEEKDAY(D216),"일","월","화","수","목","금","토")</f>
        <v>수</v>
      </c>
      <c r="N216" s="6" t="s">
        <v>202</v>
      </c>
      <c r="O216" s="3" t="s">
        <v>23</v>
      </c>
      <c r="P216" s="4" t="n">
        <v>46286</v>
      </c>
      <c r="Q216" s="3"/>
    </row>
    <row r="217" customFormat="false" ht="35.05" hidden="false" customHeight="false" outlineLevel="0" collapsed="false">
      <c r="A217" s="3" t="s">
        <v>207</v>
      </c>
      <c r="B217" s="3" t="s">
        <v>18</v>
      </c>
      <c r="C217" s="3" t="s">
        <v>33</v>
      </c>
      <c r="D217" s="4" t="n">
        <v>46295</v>
      </c>
      <c r="E217" s="5" t="n">
        <v>0.541666666666667</v>
      </c>
      <c r="F217" s="5" t="n">
        <v>0.583333333333333</v>
      </c>
      <c r="G217" s="3" t="s">
        <v>20</v>
      </c>
      <c r="H217" s="3" t="s">
        <v>20</v>
      </c>
      <c r="I217" s="3" t="str">
        <f aca="false">IF(E217&gt;=TIME(18,0,0),"Y","")</f>
        <v/>
      </c>
      <c r="J217" s="3" t="str">
        <f aca="false">IF(AND(ISNUMBER(F217),F217&gt;TIME(21,0,0)),"Y","")</f>
        <v/>
      </c>
      <c r="K217" s="3" t="s">
        <v>29</v>
      </c>
      <c r="L217" s="3" t="s">
        <v>35</v>
      </c>
      <c r="M217" s="3" t="str">
        <f aca="false">CHOOSE(WEEKDAY(D217),"일","월","화","수","목","금","토")</f>
        <v>수</v>
      </c>
      <c r="N217" s="6" t="s">
        <v>202</v>
      </c>
      <c r="O217" s="3" t="s">
        <v>23</v>
      </c>
      <c r="P217" s="4" t="n">
        <v>46286</v>
      </c>
      <c r="Q217" s="3"/>
    </row>
    <row r="218" customFormat="false" ht="35.05" hidden="false" customHeight="false" outlineLevel="0" collapsed="false">
      <c r="A218" s="3" t="s">
        <v>81</v>
      </c>
      <c r="B218" s="3" t="s">
        <v>18</v>
      </c>
      <c r="C218" s="3" t="s">
        <v>54</v>
      </c>
      <c r="D218" s="4" t="n">
        <v>46295</v>
      </c>
      <c r="E218" s="5" t="n">
        <v>0.541666666666667</v>
      </c>
      <c r="F218" s="5" t="n">
        <v>0.583333333333333</v>
      </c>
      <c r="G218" s="3" t="s">
        <v>20</v>
      </c>
      <c r="H218" s="3" t="s">
        <v>20</v>
      </c>
      <c r="I218" s="3" t="str">
        <f aca="false">IF(E218&gt;=TIME(18,0,0),"Y","")</f>
        <v/>
      </c>
      <c r="J218" s="3" t="str">
        <f aca="false">IF(AND(ISNUMBER(F218),F218&gt;TIME(21,0,0)),"Y","")</f>
        <v/>
      </c>
      <c r="K218" s="3" t="s">
        <v>66</v>
      </c>
      <c r="L218" s="3" t="s">
        <v>26</v>
      </c>
      <c r="M218" s="3" t="str">
        <f aca="false">CHOOSE(WEEKDAY(D218),"일","월","화","수","목","금","토")</f>
        <v>수</v>
      </c>
      <c r="N218" s="6" t="s">
        <v>202</v>
      </c>
      <c r="O218" s="3" t="s">
        <v>23</v>
      </c>
      <c r="P218" s="4" t="n">
        <v>46286</v>
      </c>
      <c r="Q218" s="3"/>
    </row>
    <row r="219" customFormat="false" ht="46.25" hidden="false" customHeight="false" outlineLevel="0" collapsed="false">
      <c r="A219" s="3" t="s">
        <v>208</v>
      </c>
      <c r="B219" s="3" t="s">
        <v>18</v>
      </c>
      <c r="C219" s="3" t="s">
        <v>59</v>
      </c>
      <c r="D219" s="4" t="n">
        <v>46295</v>
      </c>
      <c r="E219" s="5" t="n">
        <v>0.5625</v>
      </c>
      <c r="F219" s="5" t="n">
        <v>0.604166666666667</v>
      </c>
      <c r="G219" s="3" t="s">
        <v>60</v>
      </c>
      <c r="H219" s="3" t="s">
        <v>61</v>
      </c>
      <c r="I219" s="3" t="str">
        <f aca="false">IF(E219&gt;=TIME(18,0,0),"Y","")</f>
        <v/>
      </c>
      <c r="J219" s="3" t="str">
        <f aca="false">IF(AND(ISNUMBER(F219),F219&gt;TIME(21,0,0)),"Y","")</f>
        <v/>
      </c>
      <c r="K219" s="3" t="s">
        <v>75</v>
      </c>
      <c r="L219" s="3" t="s">
        <v>19</v>
      </c>
      <c r="M219" s="3" t="str">
        <f aca="false">CHOOSE(WEEKDAY(D219),"일","월","화","수","목","금","토")</f>
        <v>수</v>
      </c>
      <c r="N219" s="6" t="s">
        <v>202</v>
      </c>
      <c r="O219" s="3" t="s">
        <v>23</v>
      </c>
      <c r="P219" s="4" t="n">
        <v>46286</v>
      </c>
      <c r="Q219" s="3" t="s">
        <v>63</v>
      </c>
    </row>
    <row r="220" customFormat="false" ht="35.05" hidden="false" customHeight="false" outlineLevel="0" collapsed="false">
      <c r="A220" s="7" t="s">
        <v>209</v>
      </c>
      <c r="B220" s="3" t="s">
        <v>18</v>
      </c>
      <c r="C220" s="3" t="s">
        <v>28</v>
      </c>
      <c r="D220" s="4" t="n">
        <v>46295</v>
      </c>
      <c r="E220" s="5" t="n">
        <v>0.583333333333333</v>
      </c>
      <c r="F220" s="5" t="n">
        <v>0.625</v>
      </c>
      <c r="G220" s="3" t="s">
        <v>20</v>
      </c>
      <c r="H220" s="3" t="s">
        <v>20</v>
      </c>
      <c r="I220" s="3" t="str">
        <f aca="false">IF(E220&gt;=TIME(18,0,0),"Y","")</f>
        <v/>
      </c>
      <c r="J220" s="3" t="str">
        <f aca="false">IF(AND(ISNUMBER(F220),F220&gt;TIME(21,0,0)),"Y","")</f>
        <v/>
      </c>
      <c r="K220" s="3" t="s">
        <v>40</v>
      </c>
      <c r="L220" s="3" t="s">
        <v>19</v>
      </c>
      <c r="M220" s="3" t="str">
        <f aca="false">CHOOSE(WEEKDAY(D220),"일","월","화","수","목","금","토")</f>
        <v>수</v>
      </c>
      <c r="N220" s="6" t="s">
        <v>202</v>
      </c>
      <c r="O220" s="3" t="s">
        <v>23</v>
      </c>
      <c r="P220" s="4" t="n">
        <v>46286</v>
      </c>
      <c r="Q220" s="3"/>
    </row>
    <row r="221" customFormat="false" ht="35.05" hidden="false" customHeight="false" outlineLevel="0" collapsed="false">
      <c r="A221" s="3" t="s">
        <v>210</v>
      </c>
      <c r="B221" s="3" t="s">
        <v>18</v>
      </c>
      <c r="C221" s="3" t="s">
        <v>33</v>
      </c>
      <c r="D221" s="4" t="n">
        <v>46295</v>
      </c>
      <c r="E221" s="5" t="n">
        <v>0.583333333333333</v>
      </c>
      <c r="F221" s="5" t="n">
        <v>0.625</v>
      </c>
      <c r="G221" s="3" t="s">
        <v>20</v>
      </c>
      <c r="H221" s="3" t="s">
        <v>20</v>
      </c>
      <c r="I221" s="3" t="str">
        <f aca="false">IF(E221&gt;=TIME(18,0,0),"Y","")</f>
        <v/>
      </c>
      <c r="J221" s="3" t="str">
        <f aca="false">IF(AND(ISNUMBER(F221),F221&gt;TIME(21,0,0)),"Y","")</f>
        <v/>
      </c>
      <c r="K221" s="3" t="s">
        <v>75</v>
      </c>
      <c r="L221" s="3" t="s">
        <v>35</v>
      </c>
      <c r="M221" s="3" t="str">
        <f aca="false">CHOOSE(WEEKDAY(D221),"일","월","화","수","목","금","토")</f>
        <v>수</v>
      </c>
      <c r="N221" s="6" t="s">
        <v>202</v>
      </c>
      <c r="O221" s="3" t="s">
        <v>23</v>
      </c>
      <c r="P221" s="4" t="n">
        <v>46286</v>
      </c>
      <c r="Q221" s="3"/>
    </row>
    <row r="222" customFormat="false" ht="35.05" hidden="false" customHeight="false" outlineLevel="0" collapsed="false">
      <c r="A222" s="3" t="s">
        <v>56</v>
      </c>
      <c r="B222" s="3" t="s">
        <v>18</v>
      </c>
      <c r="C222" s="3" t="s">
        <v>57</v>
      </c>
      <c r="D222" s="4" t="n">
        <v>46295</v>
      </c>
      <c r="E222" s="5" t="n">
        <v>0.583333333333333</v>
      </c>
      <c r="F222" s="5" t="n">
        <v>0.625</v>
      </c>
      <c r="G222" s="3" t="s">
        <v>20</v>
      </c>
      <c r="H222" s="3" t="s">
        <v>20</v>
      </c>
      <c r="I222" s="3" t="str">
        <f aca="false">IF(E222&gt;=TIME(18,0,0),"Y","")</f>
        <v/>
      </c>
      <c r="J222" s="3" t="str">
        <f aca="false">IF(AND(ISNUMBER(F222),F222&gt;TIME(21,0,0)),"Y","")</f>
        <v/>
      </c>
      <c r="K222" s="3" t="s">
        <v>48</v>
      </c>
      <c r="L222" s="3" t="s">
        <v>47</v>
      </c>
      <c r="M222" s="3" t="str">
        <f aca="false">CHOOSE(WEEKDAY(D222),"일","월","화","수","목","금","토")</f>
        <v>수</v>
      </c>
      <c r="N222" s="6" t="s">
        <v>202</v>
      </c>
      <c r="O222" s="3" t="s">
        <v>23</v>
      </c>
      <c r="P222" s="4" t="n">
        <v>46286</v>
      </c>
      <c r="Q222" s="3" t="s">
        <v>49</v>
      </c>
    </row>
    <row r="223" customFormat="false" ht="35.05" hidden="false" customHeight="false" outlineLevel="0" collapsed="false">
      <c r="A223" s="3" t="s">
        <v>133</v>
      </c>
      <c r="B223" s="3" t="s">
        <v>18</v>
      </c>
      <c r="C223" s="3" t="s">
        <v>43</v>
      </c>
      <c r="D223" s="4" t="n">
        <v>46295</v>
      </c>
      <c r="E223" s="5" t="n">
        <v>0.583333333333333</v>
      </c>
      <c r="F223" s="5" t="n">
        <v>0.645833333333333</v>
      </c>
      <c r="G223" s="3" t="s">
        <v>20</v>
      </c>
      <c r="H223" s="3" t="s">
        <v>20</v>
      </c>
      <c r="I223" s="3" t="str">
        <f aca="false">IF(E223&gt;=TIME(18,0,0),"Y","")</f>
        <v/>
      </c>
      <c r="J223" s="3" t="str">
        <f aca="false">IF(AND(ISNUMBER(F223),F223&gt;TIME(21,0,0)),"Y","")</f>
        <v/>
      </c>
      <c r="K223" s="3" t="s">
        <v>29</v>
      </c>
      <c r="L223" s="3" t="s">
        <v>44</v>
      </c>
      <c r="M223" s="3" t="str">
        <f aca="false">CHOOSE(WEEKDAY(D223),"일","월","화","수","목","금","토")</f>
        <v>수</v>
      </c>
      <c r="N223" s="6" t="s">
        <v>202</v>
      </c>
      <c r="O223" s="3" t="s">
        <v>23</v>
      </c>
      <c r="P223" s="4" t="n">
        <v>46286</v>
      </c>
      <c r="Q223" s="3"/>
    </row>
    <row r="224" customFormat="false" ht="35.05" hidden="false" customHeight="false" outlineLevel="0" collapsed="false">
      <c r="A224" s="3" t="s">
        <v>211</v>
      </c>
      <c r="B224" s="3" t="s">
        <v>32</v>
      </c>
      <c r="C224" s="3" t="s">
        <v>28</v>
      </c>
      <c r="D224" s="4" t="n">
        <v>46295</v>
      </c>
      <c r="E224" s="5" t="n">
        <v>0.625</v>
      </c>
      <c r="F224" s="5" t="n">
        <v>0.645833333333333</v>
      </c>
      <c r="G224" s="3" t="s">
        <v>20</v>
      </c>
      <c r="H224" s="3" t="s">
        <v>20</v>
      </c>
      <c r="I224" s="3" t="str">
        <f aca="false">IF(E224&gt;=TIME(18,0,0),"Y","")</f>
        <v/>
      </c>
      <c r="J224" s="3" t="str">
        <f aca="false">IF(AND(ISNUMBER(F224),F224&gt;TIME(21,0,0)),"Y","")</f>
        <v/>
      </c>
      <c r="K224" s="3" t="s">
        <v>34</v>
      </c>
      <c r="L224" s="3" t="s">
        <v>19</v>
      </c>
      <c r="M224" s="3" t="str">
        <f aca="false">CHOOSE(WEEKDAY(D224),"일","월","화","수","목","금","토")</f>
        <v>수</v>
      </c>
      <c r="N224" s="6" t="s">
        <v>202</v>
      </c>
      <c r="O224" s="3" t="s">
        <v>23</v>
      </c>
      <c r="P224" s="4" t="n">
        <v>46286</v>
      </c>
      <c r="Q224" s="3"/>
    </row>
    <row r="225" customFormat="false" ht="46.25" hidden="false" customHeight="false" outlineLevel="0" collapsed="false">
      <c r="A225" s="3" t="s">
        <v>212</v>
      </c>
      <c r="B225" s="3" t="s">
        <v>18</v>
      </c>
      <c r="C225" s="3" t="s">
        <v>59</v>
      </c>
      <c r="D225" s="4" t="n">
        <v>46295</v>
      </c>
      <c r="E225" s="5" t="n">
        <v>0.625</v>
      </c>
      <c r="F225" s="5" t="n">
        <v>0.666666666666667</v>
      </c>
      <c r="G225" s="3" t="s">
        <v>60</v>
      </c>
      <c r="H225" s="3" t="s">
        <v>61</v>
      </c>
      <c r="I225" s="3" t="str">
        <f aca="false">IF(E225&gt;=TIME(18,0,0),"Y","")</f>
        <v/>
      </c>
      <c r="J225" s="3" t="str">
        <f aca="false">IF(AND(ISNUMBER(F225),F225&gt;TIME(21,0,0)),"Y","")</f>
        <v/>
      </c>
      <c r="K225" s="3" t="s">
        <v>75</v>
      </c>
      <c r="L225" s="3" t="s">
        <v>19</v>
      </c>
      <c r="M225" s="3" t="str">
        <f aca="false">CHOOSE(WEEKDAY(D225),"일","월","화","수","목","금","토")</f>
        <v>수</v>
      </c>
      <c r="N225" s="6" t="s">
        <v>202</v>
      </c>
      <c r="O225" s="3" t="s">
        <v>23</v>
      </c>
      <c r="P225" s="4" t="n">
        <v>46286</v>
      </c>
      <c r="Q225" s="3" t="s">
        <v>63</v>
      </c>
    </row>
    <row r="226" customFormat="false" ht="35.05" hidden="false" customHeight="false" outlineLevel="0" collapsed="false">
      <c r="A226" s="3" t="s">
        <v>213</v>
      </c>
      <c r="B226" s="3" t="s">
        <v>18</v>
      </c>
      <c r="C226" s="3" t="s">
        <v>33</v>
      </c>
      <c r="D226" s="4" t="n">
        <v>46295</v>
      </c>
      <c r="E226" s="5" t="n">
        <v>0.625</v>
      </c>
      <c r="F226" s="5" t="n">
        <v>0.666666666666667</v>
      </c>
      <c r="G226" s="3" t="s">
        <v>20</v>
      </c>
      <c r="H226" s="3" t="s">
        <v>20</v>
      </c>
      <c r="I226" s="3" t="str">
        <f aca="false">IF(E226&gt;=TIME(18,0,0),"Y","")</f>
        <v/>
      </c>
      <c r="J226" s="3" t="str">
        <f aca="false">IF(AND(ISNUMBER(F226),F226&gt;TIME(21,0,0)),"Y","")</f>
        <v/>
      </c>
      <c r="K226" s="3" t="s">
        <v>29</v>
      </c>
      <c r="L226" s="3" t="s">
        <v>35</v>
      </c>
      <c r="M226" s="3" t="str">
        <f aca="false">CHOOSE(WEEKDAY(D226),"일","월","화","수","목","금","토")</f>
        <v>수</v>
      </c>
      <c r="N226" s="6" t="s">
        <v>202</v>
      </c>
      <c r="O226" s="3" t="s">
        <v>23</v>
      </c>
      <c r="P226" s="4" t="n">
        <v>46286</v>
      </c>
      <c r="Q226" s="3"/>
    </row>
    <row r="227" customFormat="false" ht="35.05" hidden="false" customHeight="false" outlineLevel="0" collapsed="false">
      <c r="A227" s="3" t="s">
        <v>91</v>
      </c>
      <c r="B227" s="3" t="s">
        <v>18</v>
      </c>
      <c r="C227" s="3" t="s">
        <v>87</v>
      </c>
      <c r="D227" s="4" t="n">
        <v>46295</v>
      </c>
      <c r="E227" s="5" t="n">
        <v>0.625</v>
      </c>
      <c r="F227" s="5" t="n">
        <v>0.666666666666667</v>
      </c>
      <c r="G227" s="3" t="s">
        <v>20</v>
      </c>
      <c r="H227" s="3" t="s">
        <v>20</v>
      </c>
      <c r="I227" s="3" t="str">
        <f aca="false">IF(E227&gt;=TIME(18,0,0),"Y","")</f>
        <v/>
      </c>
      <c r="J227" s="3" t="str">
        <f aca="false">IF(AND(ISNUMBER(F227),F227&gt;TIME(21,0,0)),"Y","")</f>
        <v/>
      </c>
      <c r="K227" s="3" t="s">
        <v>66</v>
      </c>
      <c r="L227" s="3" t="s">
        <v>26</v>
      </c>
      <c r="M227" s="3" t="str">
        <f aca="false">CHOOSE(WEEKDAY(D227),"일","월","화","수","목","금","토")</f>
        <v>수</v>
      </c>
      <c r="N227" s="6" t="s">
        <v>202</v>
      </c>
      <c r="O227" s="3" t="s">
        <v>23</v>
      </c>
      <c r="P227" s="4" t="n">
        <v>46286</v>
      </c>
      <c r="Q227" s="3"/>
    </row>
    <row r="228" customFormat="false" ht="35.05" hidden="false" customHeight="false" outlineLevel="0" collapsed="false">
      <c r="A228" s="3" t="s">
        <v>214</v>
      </c>
      <c r="B228" s="3" t="s">
        <v>18</v>
      </c>
      <c r="C228" s="3" t="s">
        <v>28</v>
      </c>
      <c r="D228" s="4" t="n">
        <v>46295</v>
      </c>
      <c r="E228" s="5" t="n">
        <v>0.645833333333333</v>
      </c>
      <c r="F228" s="5" t="n">
        <v>0.666666666666667</v>
      </c>
      <c r="G228" s="3" t="s">
        <v>20</v>
      </c>
      <c r="H228" s="3" t="s">
        <v>20</v>
      </c>
      <c r="I228" s="3" t="str">
        <f aca="false">IF(E228&gt;=TIME(18,0,0),"Y","")</f>
        <v/>
      </c>
      <c r="J228" s="3" t="str">
        <f aca="false">IF(AND(ISNUMBER(F228),F228&gt;TIME(21,0,0)),"Y","")</f>
        <v/>
      </c>
      <c r="K228" s="3" t="s">
        <v>29</v>
      </c>
      <c r="L228" s="3" t="s">
        <v>19</v>
      </c>
      <c r="M228" s="3" t="str">
        <f aca="false">CHOOSE(WEEKDAY(D228),"일","월","화","수","목","금","토")</f>
        <v>수</v>
      </c>
      <c r="N228" s="6" t="s">
        <v>202</v>
      </c>
      <c r="O228" s="3" t="s">
        <v>23</v>
      </c>
      <c r="P228" s="4" t="n">
        <v>46286</v>
      </c>
      <c r="Q228" s="3"/>
    </row>
    <row r="229" customFormat="false" ht="35.05" hidden="false" customHeight="false" outlineLevel="0" collapsed="false">
      <c r="A229" s="3" t="s">
        <v>50</v>
      </c>
      <c r="B229" s="3" t="s">
        <v>51</v>
      </c>
      <c r="C229" s="3" t="s">
        <v>52</v>
      </c>
      <c r="D229" s="4" t="n">
        <v>46295</v>
      </c>
      <c r="E229" s="5" t="n">
        <v>0.666666666666667</v>
      </c>
      <c r="F229" s="5" t="n">
        <v>0.6875</v>
      </c>
      <c r="G229" s="3" t="s">
        <v>20</v>
      </c>
      <c r="H229" s="3" t="s">
        <v>20</v>
      </c>
      <c r="I229" s="3" t="str">
        <f aca="false">IF(E229&gt;=TIME(18,0,0),"Y","")</f>
        <v/>
      </c>
      <c r="J229" s="3" t="str">
        <f aca="false">IF(AND(ISNUMBER(F229),F229&gt;TIME(21,0,0)),"Y","")</f>
        <v/>
      </c>
      <c r="K229" s="3" t="s">
        <v>51</v>
      </c>
      <c r="L229" s="3" t="s">
        <v>19</v>
      </c>
      <c r="M229" s="3" t="str">
        <f aca="false">CHOOSE(WEEKDAY(D229),"일","월","화","수","목","금","토")</f>
        <v>수</v>
      </c>
      <c r="N229" s="6" t="s">
        <v>202</v>
      </c>
      <c r="O229" s="3" t="s">
        <v>23</v>
      </c>
      <c r="P229" s="4" t="n">
        <v>46286</v>
      </c>
      <c r="Q229" s="3"/>
    </row>
    <row r="230" customFormat="false" ht="35.05" hidden="false" customHeight="false" outlineLevel="0" collapsed="false">
      <c r="A230" s="3" t="s">
        <v>215</v>
      </c>
      <c r="B230" s="3" t="s">
        <v>18</v>
      </c>
      <c r="C230" s="3" t="s">
        <v>43</v>
      </c>
      <c r="D230" s="4" t="n">
        <v>46295</v>
      </c>
      <c r="E230" s="5" t="n">
        <v>0.666666666666667</v>
      </c>
      <c r="F230" s="5" t="n">
        <v>0.6875</v>
      </c>
      <c r="G230" s="3" t="s">
        <v>20</v>
      </c>
      <c r="H230" s="3" t="s">
        <v>20</v>
      </c>
      <c r="I230" s="3" t="str">
        <f aca="false">IF(E230&gt;=TIME(18,0,0),"Y","")</f>
        <v/>
      </c>
      <c r="J230" s="3" t="str">
        <f aca="false">IF(AND(ISNUMBER(F230),F230&gt;TIME(21,0,0)),"Y","")</f>
        <v/>
      </c>
      <c r="K230" s="3" t="s">
        <v>75</v>
      </c>
      <c r="L230" s="3" t="s">
        <v>44</v>
      </c>
      <c r="M230" s="3" t="str">
        <f aca="false">CHOOSE(WEEKDAY(D230),"일","월","화","수","목","금","토")</f>
        <v>수</v>
      </c>
      <c r="N230" s="6" t="s">
        <v>202</v>
      </c>
      <c r="O230" s="3" t="s">
        <v>23</v>
      </c>
      <c r="P230" s="4" t="n">
        <v>46286</v>
      </c>
      <c r="Q230" s="3"/>
    </row>
    <row r="231" customFormat="false" ht="35.05" hidden="false" customHeight="false" outlineLevel="0" collapsed="false">
      <c r="A231" s="3" t="s">
        <v>203</v>
      </c>
      <c r="B231" s="3" t="s">
        <v>18</v>
      </c>
      <c r="C231" s="3" t="s">
        <v>28</v>
      </c>
      <c r="D231" s="4" t="n">
        <v>46295</v>
      </c>
      <c r="E231" s="5" t="n">
        <v>0.666666666666667</v>
      </c>
      <c r="F231" s="5" t="n">
        <v>0.708333333333333</v>
      </c>
      <c r="G231" s="3" t="s">
        <v>20</v>
      </c>
      <c r="H231" s="3" t="s">
        <v>20</v>
      </c>
      <c r="I231" s="3" t="str">
        <f aca="false">IF(E231&gt;=TIME(18,0,0),"Y","")</f>
        <v/>
      </c>
      <c r="J231" s="3" t="str">
        <f aca="false">IF(AND(ISNUMBER(F231),F231&gt;TIME(21,0,0)),"Y","")</f>
        <v/>
      </c>
      <c r="K231" s="3" t="s">
        <v>40</v>
      </c>
      <c r="L231" s="3" t="s">
        <v>19</v>
      </c>
      <c r="M231" s="3" t="str">
        <f aca="false">CHOOSE(WEEKDAY(D231),"일","월","화","수","목","금","토")</f>
        <v>수</v>
      </c>
      <c r="N231" s="6" t="s">
        <v>202</v>
      </c>
      <c r="O231" s="3" t="s">
        <v>23</v>
      </c>
      <c r="P231" s="4" t="n">
        <v>46286</v>
      </c>
      <c r="Q231" s="3"/>
    </row>
    <row r="232" customFormat="false" ht="35.05" hidden="false" customHeight="false" outlineLevel="0" collapsed="false">
      <c r="A232" s="3" t="s">
        <v>216</v>
      </c>
      <c r="B232" s="3" t="s">
        <v>18</v>
      </c>
      <c r="C232" s="3" t="s">
        <v>33</v>
      </c>
      <c r="D232" s="4" t="n">
        <v>46295</v>
      </c>
      <c r="E232" s="5" t="n">
        <v>0.666666666666667</v>
      </c>
      <c r="F232" s="5" t="n">
        <v>0.708333333333333</v>
      </c>
      <c r="G232" s="3" t="s">
        <v>20</v>
      </c>
      <c r="H232" s="3" t="s">
        <v>20</v>
      </c>
      <c r="I232" s="3" t="str">
        <f aca="false">IF(E232&gt;=TIME(18,0,0),"Y","")</f>
        <v/>
      </c>
      <c r="J232" s="3" t="str">
        <f aca="false">IF(AND(ISNUMBER(F232),F232&gt;TIME(21,0,0)),"Y","")</f>
        <v/>
      </c>
      <c r="K232" s="3" t="s">
        <v>29</v>
      </c>
      <c r="L232" s="3" t="s">
        <v>35</v>
      </c>
      <c r="M232" s="3" t="str">
        <f aca="false">CHOOSE(WEEKDAY(D232),"일","월","화","수","목","금","토")</f>
        <v>수</v>
      </c>
      <c r="N232" s="6" t="s">
        <v>202</v>
      </c>
      <c r="O232" s="3" t="s">
        <v>23</v>
      </c>
      <c r="P232" s="4" t="n">
        <v>46286</v>
      </c>
      <c r="Q232" s="3"/>
    </row>
    <row r="233" customFormat="false" ht="46.25" hidden="false" customHeight="false" outlineLevel="0" collapsed="false">
      <c r="A233" s="3" t="s">
        <v>217</v>
      </c>
      <c r="B233" s="3" t="s">
        <v>18</v>
      </c>
      <c r="C233" s="3" t="s">
        <v>59</v>
      </c>
      <c r="D233" s="4" t="n">
        <v>46295</v>
      </c>
      <c r="E233" s="5" t="n">
        <v>0.6875</v>
      </c>
      <c r="F233" s="5" t="n">
        <v>0.729166666666667</v>
      </c>
      <c r="G233" s="3" t="s">
        <v>60</v>
      </c>
      <c r="H233" s="3" t="s">
        <v>61</v>
      </c>
      <c r="I233" s="3" t="str">
        <f aca="false">IF(E233&gt;=TIME(18,0,0),"Y","")</f>
        <v/>
      </c>
      <c r="J233" s="3" t="str">
        <f aca="false">IF(AND(ISNUMBER(F233),F233&gt;TIME(21,0,0)),"Y","")</f>
        <v/>
      </c>
      <c r="K233" s="3" t="s">
        <v>75</v>
      </c>
      <c r="L233" s="3" t="s">
        <v>19</v>
      </c>
      <c r="M233" s="3" t="str">
        <f aca="false">CHOOSE(WEEKDAY(D233),"일","월","화","수","목","금","토")</f>
        <v>수</v>
      </c>
      <c r="N233" s="6" t="s">
        <v>202</v>
      </c>
      <c r="O233" s="3" t="s">
        <v>23</v>
      </c>
      <c r="P233" s="4" t="n">
        <v>46286</v>
      </c>
      <c r="Q233" s="3" t="s">
        <v>63</v>
      </c>
    </row>
    <row r="234" customFormat="false" ht="35.05" hidden="false" customHeight="false" outlineLevel="0" collapsed="false">
      <c r="A234" s="3" t="s">
        <v>218</v>
      </c>
      <c r="B234" s="3" t="s">
        <v>18</v>
      </c>
      <c r="C234" s="3" t="s">
        <v>43</v>
      </c>
      <c r="D234" s="4" t="n">
        <v>46295</v>
      </c>
      <c r="E234" s="5" t="n">
        <v>0.708333333333333</v>
      </c>
      <c r="F234" s="5" t="n">
        <v>0.729166666666667</v>
      </c>
      <c r="G234" s="3" t="s">
        <v>20</v>
      </c>
      <c r="H234" s="3" t="s">
        <v>20</v>
      </c>
      <c r="I234" s="3" t="str">
        <f aca="false">IF(E234&gt;=TIME(18,0,0),"Y","")</f>
        <v/>
      </c>
      <c r="J234" s="3" t="str">
        <f aca="false">IF(AND(ISNUMBER(F234),F234&gt;TIME(21,0,0)),"Y","")</f>
        <v/>
      </c>
      <c r="K234" s="3" t="s">
        <v>75</v>
      </c>
      <c r="L234" s="3" t="s">
        <v>44</v>
      </c>
      <c r="M234" s="3" t="str">
        <f aca="false">CHOOSE(WEEKDAY(D234),"일","월","화","수","목","금","토")</f>
        <v>수</v>
      </c>
      <c r="N234" s="6" t="s">
        <v>202</v>
      </c>
      <c r="O234" s="3" t="s">
        <v>23</v>
      </c>
      <c r="P234" s="4" t="n">
        <v>46286</v>
      </c>
      <c r="Q234" s="3"/>
    </row>
    <row r="235" customFormat="false" ht="35.05" hidden="false" customHeight="false" outlineLevel="0" collapsed="false">
      <c r="A235" s="3" t="s">
        <v>219</v>
      </c>
      <c r="B235" s="3" t="s">
        <v>18</v>
      </c>
      <c r="C235" s="3" t="s">
        <v>33</v>
      </c>
      <c r="D235" s="4" t="n">
        <v>46295</v>
      </c>
      <c r="E235" s="5" t="n">
        <v>0.708333333333333</v>
      </c>
      <c r="F235" s="5" t="n">
        <v>0.75</v>
      </c>
      <c r="G235" s="3" t="s">
        <v>20</v>
      </c>
      <c r="H235" s="3" t="s">
        <v>20</v>
      </c>
      <c r="I235" s="3" t="str">
        <f aca="false">IF(E235&gt;=TIME(18,0,0),"Y","")</f>
        <v/>
      </c>
      <c r="J235" s="3" t="str">
        <f aca="false">IF(AND(ISNUMBER(F235),F235&gt;TIME(21,0,0)),"Y","")</f>
        <v/>
      </c>
      <c r="K235" s="3" t="s">
        <v>29</v>
      </c>
      <c r="L235" s="3" t="s">
        <v>35</v>
      </c>
      <c r="M235" s="3" t="str">
        <f aca="false">CHOOSE(WEEKDAY(D235),"일","월","화","수","목","금","토")</f>
        <v>수</v>
      </c>
      <c r="N235" s="6" t="s">
        <v>202</v>
      </c>
      <c r="O235" s="3" t="s">
        <v>23</v>
      </c>
      <c r="P235" s="4" t="n">
        <v>46286</v>
      </c>
      <c r="Q235" s="3"/>
    </row>
    <row r="236" customFormat="false" ht="35.05" hidden="false" customHeight="false" outlineLevel="0" collapsed="false">
      <c r="A236" s="3" t="s">
        <v>65</v>
      </c>
      <c r="B236" s="3" t="s">
        <v>18</v>
      </c>
      <c r="C236" s="3" t="s">
        <v>33</v>
      </c>
      <c r="D236" s="4" t="n">
        <v>46295</v>
      </c>
      <c r="E236" s="5" t="n">
        <v>0.75</v>
      </c>
      <c r="F236" s="5" t="n">
        <v>0.791666666666667</v>
      </c>
      <c r="G236" s="3" t="s">
        <v>20</v>
      </c>
      <c r="H236" s="3" t="s">
        <v>20</v>
      </c>
      <c r="I236" s="3" t="str">
        <f aca="false">IF(E236&gt;=TIME(18,0,0),"Y","")</f>
        <v>Y</v>
      </c>
      <c r="J236" s="3" t="str">
        <f aca="false">IF(AND(ISNUMBER(F236),F236&gt;TIME(21,0,0)),"Y","")</f>
        <v/>
      </c>
      <c r="K236" s="3" t="s">
        <v>66</v>
      </c>
      <c r="L236" s="3" t="s">
        <v>35</v>
      </c>
      <c r="M236" s="3" t="str">
        <f aca="false">CHOOSE(WEEKDAY(D236),"일","월","화","수","목","금","토")</f>
        <v>수</v>
      </c>
      <c r="N236" s="6" t="s">
        <v>202</v>
      </c>
      <c r="O236" s="3" t="s">
        <v>23</v>
      </c>
      <c r="P236" s="4" t="n">
        <v>46286</v>
      </c>
      <c r="Q236" s="3"/>
    </row>
    <row r="237" customFormat="false" ht="35.05" hidden="false" customHeight="false" outlineLevel="0" collapsed="false">
      <c r="A237" s="3" t="s">
        <v>65</v>
      </c>
      <c r="B237" s="3" t="s">
        <v>18</v>
      </c>
      <c r="C237" s="3" t="s">
        <v>43</v>
      </c>
      <c r="D237" s="4" t="n">
        <v>46295</v>
      </c>
      <c r="E237" s="5" t="n">
        <v>0.75</v>
      </c>
      <c r="F237" s="5" t="n">
        <v>0.791666666666667</v>
      </c>
      <c r="G237" s="3" t="s">
        <v>20</v>
      </c>
      <c r="H237" s="3" t="s">
        <v>20</v>
      </c>
      <c r="I237" s="3" t="str">
        <f aca="false">IF(E237&gt;=TIME(18,0,0),"Y","")</f>
        <v>Y</v>
      </c>
      <c r="J237" s="3" t="str">
        <f aca="false">IF(AND(ISNUMBER(F237),F237&gt;TIME(21,0,0)),"Y","")</f>
        <v/>
      </c>
      <c r="K237" s="3" t="s">
        <v>66</v>
      </c>
      <c r="L237" s="3" t="s">
        <v>44</v>
      </c>
      <c r="M237" s="3" t="str">
        <f aca="false">CHOOSE(WEEKDAY(D237),"일","월","화","수","목","금","토")</f>
        <v>수</v>
      </c>
      <c r="N237" s="6" t="s">
        <v>202</v>
      </c>
      <c r="O237" s="3" t="s">
        <v>23</v>
      </c>
      <c r="P237" s="4" t="n">
        <v>46286</v>
      </c>
      <c r="Q237" s="3"/>
    </row>
    <row r="238" customFormat="false" ht="35.05" hidden="false" customHeight="false" outlineLevel="0" collapsed="false">
      <c r="A238" s="3" t="s">
        <v>220</v>
      </c>
      <c r="B238" s="3" t="s">
        <v>18</v>
      </c>
      <c r="C238" s="3" t="s">
        <v>28</v>
      </c>
      <c r="D238" s="4" t="n">
        <v>46295</v>
      </c>
      <c r="E238" s="5" t="n">
        <v>0.75</v>
      </c>
      <c r="F238" s="5" t="n">
        <v>0.875</v>
      </c>
      <c r="G238" s="3" t="s">
        <v>20</v>
      </c>
      <c r="H238" s="3" t="s">
        <v>20</v>
      </c>
      <c r="I238" s="3" t="str">
        <f aca="false">IF(E238&gt;=TIME(18,0,0),"Y","")</f>
        <v>Y</v>
      </c>
      <c r="J238" s="3" t="str">
        <f aca="false">IF(AND(ISNUMBER(F238),F238&gt;TIME(21,0,0)),"Y","")</f>
        <v/>
      </c>
      <c r="K238" s="3" t="s">
        <v>107</v>
      </c>
      <c r="L238" s="3" t="s">
        <v>19</v>
      </c>
      <c r="M238" s="3" t="str">
        <f aca="false">CHOOSE(WEEKDAY(D238),"일","월","화","수","목","금","토")</f>
        <v>수</v>
      </c>
      <c r="N238" s="6" t="s">
        <v>202</v>
      </c>
      <c r="O238" s="3" t="s">
        <v>23</v>
      </c>
      <c r="P238" s="4" t="n">
        <v>46286</v>
      </c>
      <c r="Q238" s="3"/>
    </row>
    <row r="239" customFormat="false" ht="46.25" hidden="false" customHeight="false" outlineLevel="0" collapsed="false">
      <c r="A239" s="3" t="s">
        <v>221</v>
      </c>
      <c r="B239" s="3" t="s">
        <v>18</v>
      </c>
      <c r="C239" s="3" t="s">
        <v>59</v>
      </c>
      <c r="D239" s="4" t="n">
        <v>46295</v>
      </c>
      <c r="E239" s="5" t="n">
        <v>0.770833333333333</v>
      </c>
      <c r="F239" s="5" t="n">
        <v>0.8125</v>
      </c>
      <c r="G239" s="3" t="s">
        <v>60</v>
      </c>
      <c r="H239" s="3" t="s">
        <v>61</v>
      </c>
      <c r="I239" s="3" t="str">
        <f aca="false">IF(E239&gt;=TIME(18,0,0),"Y","")</f>
        <v>Y</v>
      </c>
      <c r="J239" s="3" t="str">
        <f aca="false">IF(AND(ISNUMBER(F239),F239&gt;TIME(21,0,0)),"Y","")</f>
        <v/>
      </c>
      <c r="K239" s="3" t="s">
        <v>75</v>
      </c>
      <c r="L239" s="3" t="s">
        <v>19</v>
      </c>
      <c r="M239" s="3" t="str">
        <f aca="false">CHOOSE(WEEKDAY(D239),"일","월","화","수","목","금","토")</f>
        <v>수</v>
      </c>
      <c r="N239" s="6" t="s">
        <v>202</v>
      </c>
      <c r="O239" s="3" t="s">
        <v>23</v>
      </c>
      <c r="P239" s="4" t="n">
        <v>46286</v>
      </c>
      <c r="Q239" s="3" t="s">
        <v>63</v>
      </c>
    </row>
    <row r="240" customFormat="false" ht="35.05" hidden="false" customHeight="false" outlineLevel="0" collapsed="false">
      <c r="A240" s="3" t="s">
        <v>104</v>
      </c>
      <c r="B240" s="3" t="s">
        <v>18</v>
      </c>
      <c r="C240" s="3" t="s">
        <v>33</v>
      </c>
      <c r="D240" s="4" t="n">
        <v>46295</v>
      </c>
      <c r="E240" s="5" t="n">
        <v>0.791666666666667</v>
      </c>
      <c r="F240" s="5" t="n">
        <v>0.8125</v>
      </c>
      <c r="G240" s="3" t="s">
        <v>20</v>
      </c>
      <c r="H240" s="3" t="s">
        <v>20</v>
      </c>
      <c r="I240" s="3" t="str">
        <f aca="false">IF(E240&gt;=TIME(18,0,0),"Y","")</f>
        <v>Y</v>
      </c>
      <c r="J240" s="3" t="str">
        <f aca="false">IF(AND(ISNUMBER(F240),F240&gt;TIME(21,0,0)),"Y","")</f>
        <v/>
      </c>
      <c r="K240" s="3" t="s">
        <v>105</v>
      </c>
      <c r="L240" s="3" t="s">
        <v>35</v>
      </c>
      <c r="M240" s="3" t="str">
        <f aca="false">CHOOSE(WEEKDAY(D240),"일","월","화","수","목","금","토")</f>
        <v>수</v>
      </c>
      <c r="N240" s="6" t="s">
        <v>202</v>
      </c>
      <c r="O240" s="3" t="s">
        <v>23</v>
      </c>
      <c r="P240" s="4" t="n">
        <v>46286</v>
      </c>
      <c r="Q240" s="3"/>
    </row>
    <row r="241" customFormat="false" ht="35.05" hidden="false" customHeight="false" outlineLevel="0" collapsed="false">
      <c r="A241" s="3" t="s">
        <v>222</v>
      </c>
      <c r="B241" s="3" t="s">
        <v>32</v>
      </c>
      <c r="C241" s="3" t="s">
        <v>43</v>
      </c>
      <c r="D241" s="4" t="n">
        <v>46295</v>
      </c>
      <c r="E241" s="5" t="n">
        <v>0.791666666666667</v>
      </c>
      <c r="F241" s="5" t="n">
        <v>0.833333333333333</v>
      </c>
      <c r="G241" s="3" t="s">
        <v>20</v>
      </c>
      <c r="H241" s="3" t="s">
        <v>20</v>
      </c>
      <c r="I241" s="3" t="str">
        <f aca="false">IF(E241&gt;=TIME(18,0,0),"Y","")</f>
        <v>Y</v>
      </c>
      <c r="J241" s="3" t="str">
        <f aca="false">IF(AND(ISNUMBER(F241),F241&gt;TIME(21,0,0)),"Y","")</f>
        <v/>
      </c>
      <c r="K241" s="3" t="s">
        <v>34</v>
      </c>
      <c r="L241" s="3" t="s">
        <v>44</v>
      </c>
      <c r="M241" s="3" t="str">
        <f aca="false">CHOOSE(WEEKDAY(D241),"일","월","화","수","목","금","토")</f>
        <v>수</v>
      </c>
      <c r="N241" s="6" t="s">
        <v>202</v>
      </c>
      <c r="O241" s="3" t="s">
        <v>23</v>
      </c>
      <c r="P241" s="4" t="n">
        <v>46286</v>
      </c>
      <c r="Q241" s="3"/>
    </row>
    <row r="242" customFormat="false" ht="35.05" hidden="false" customHeight="false" outlineLevel="0" collapsed="false">
      <c r="A242" s="3" t="s">
        <v>223</v>
      </c>
      <c r="B242" s="3" t="s">
        <v>18</v>
      </c>
      <c r="C242" s="3" t="s">
        <v>33</v>
      </c>
      <c r="D242" s="4" t="n">
        <v>46295</v>
      </c>
      <c r="E242" s="5" t="n">
        <v>0.8125</v>
      </c>
      <c r="F242" s="5" t="n">
        <v>0.875</v>
      </c>
      <c r="G242" s="3" t="s">
        <v>20</v>
      </c>
      <c r="H242" s="3" t="s">
        <v>20</v>
      </c>
      <c r="I242" s="3" t="str">
        <f aca="false">IF(E242&gt;=TIME(18,0,0),"Y","")</f>
        <v>Y</v>
      </c>
      <c r="J242" s="3" t="str">
        <f aca="false">IF(AND(ISNUMBER(F242),F242&gt;TIME(21,0,0)),"Y","")</f>
        <v/>
      </c>
      <c r="K242" s="3" t="s">
        <v>107</v>
      </c>
      <c r="L242" s="3" t="s">
        <v>35</v>
      </c>
      <c r="M242" s="3" t="str">
        <f aca="false">CHOOSE(WEEKDAY(D242),"일","월","화","수","목","금","토")</f>
        <v>수</v>
      </c>
      <c r="N242" s="6" t="s">
        <v>202</v>
      </c>
      <c r="O242" s="3" t="s">
        <v>23</v>
      </c>
      <c r="P242" s="4" t="n">
        <v>46286</v>
      </c>
      <c r="Q242" s="3"/>
    </row>
    <row r="243" customFormat="false" ht="46.25" hidden="false" customHeight="false" outlineLevel="0" collapsed="false">
      <c r="A243" s="3" t="s">
        <v>56</v>
      </c>
      <c r="B243" s="3" t="s">
        <v>18</v>
      </c>
      <c r="C243" s="3" t="s">
        <v>59</v>
      </c>
      <c r="D243" s="4" t="n">
        <v>46295</v>
      </c>
      <c r="E243" s="5" t="n">
        <v>0.833333333333333</v>
      </c>
      <c r="F243" s="5" t="n">
        <v>0.875</v>
      </c>
      <c r="G243" s="3" t="s">
        <v>60</v>
      </c>
      <c r="H243" s="3" t="s">
        <v>61</v>
      </c>
      <c r="I243" s="3" t="str">
        <f aca="false">IF(E243&gt;=TIME(18,0,0),"Y","")</f>
        <v>Y</v>
      </c>
      <c r="J243" s="3" t="str">
        <f aca="false">IF(AND(ISNUMBER(F243),F243&gt;TIME(21,0,0)),"Y","")</f>
        <v/>
      </c>
      <c r="K243" s="3" t="s">
        <v>62</v>
      </c>
      <c r="L243" s="3" t="s">
        <v>19</v>
      </c>
      <c r="M243" s="3" t="str">
        <f aca="false">CHOOSE(WEEKDAY(D243),"일","월","화","수","목","금","토")</f>
        <v>수</v>
      </c>
      <c r="N243" s="6" t="s">
        <v>202</v>
      </c>
      <c r="O243" s="3" t="s">
        <v>23</v>
      </c>
      <c r="P243" s="4" t="n">
        <v>46286</v>
      </c>
      <c r="Q243" s="3" t="s">
        <v>63</v>
      </c>
    </row>
    <row r="244" customFormat="false" ht="35.05" hidden="false" customHeight="false" outlineLevel="0" collapsed="false">
      <c r="A244" s="3" t="s">
        <v>55</v>
      </c>
      <c r="B244" s="3" t="s">
        <v>51</v>
      </c>
      <c r="C244" s="3" t="s">
        <v>52</v>
      </c>
      <c r="D244" s="4" t="n">
        <v>46296</v>
      </c>
      <c r="E244" s="5" t="n">
        <v>0.458333333333333</v>
      </c>
      <c r="F244" s="5" t="n">
        <v>0.479166666666667</v>
      </c>
      <c r="G244" s="3" t="s">
        <v>20</v>
      </c>
      <c r="H244" s="3" t="s">
        <v>20</v>
      </c>
      <c r="I244" s="3" t="str">
        <f aca="false">IF(E244&gt;=TIME(18,0,0),"Y","")</f>
        <v/>
      </c>
      <c r="J244" s="3" t="str">
        <f aca="false">IF(AND(ISNUMBER(F244),F244&gt;TIME(21,0,0)),"Y","")</f>
        <v/>
      </c>
      <c r="K244" s="3" t="s">
        <v>51</v>
      </c>
      <c r="L244" s="3" t="s">
        <v>19</v>
      </c>
      <c r="M244" s="3" t="str">
        <f aca="false">CHOOSE(WEEKDAY(D244),"일","월","화","수","목","금","토")</f>
        <v>목</v>
      </c>
      <c r="N244" s="6" t="s">
        <v>224</v>
      </c>
      <c r="O244" s="3" t="s">
        <v>23</v>
      </c>
      <c r="P244" s="4" t="n">
        <v>46286</v>
      </c>
      <c r="Q244" s="3"/>
    </row>
    <row r="245" customFormat="false" ht="46.25" hidden="false" customHeight="false" outlineLevel="0" collapsed="false">
      <c r="A245" s="3" t="s">
        <v>201</v>
      </c>
      <c r="B245" s="3" t="s">
        <v>18</v>
      </c>
      <c r="C245" s="3" t="s">
        <v>59</v>
      </c>
      <c r="D245" s="4" t="n">
        <v>46296</v>
      </c>
      <c r="E245" s="5" t="n">
        <v>0.458333333333333</v>
      </c>
      <c r="F245" s="5" t="n">
        <v>0.479166666666667</v>
      </c>
      <c r="G245" s="3" t="s">
        <v>60</v>
      </c>
      <c r="H245" s="3" t="s">
        <v>61</v>
      </c>
      <c r="I245" s="3" t="str">
        <f aca="false">IF(E245&gt;=TIME(18,0,0),"Y","")</f>
        <v/>
      </c>
      <c r="J245" s="3" t="str">
        <f aca="false">IF(AND(ISNUMBER(F245),F245&gt;TIME(21,0,0)),"Y","")</f>
        <v/>
      </c>
      <c r="K245" s="3" t="s">
        <v>110</v>
      </c>
      <c r="L245" s="3" t="s">
        <v>19</v>
      </c>
      <c r="M245" s="3" t="str">
        <f aca="false">CHOOSE(WEEKDAY(D245),"일","월","화","수","목","금","토")</f>
        <v>목</v>
      </c>
      <c r="N245" s="6" t="s">
        <v>224</v>
      </c>
      <c r="O245" s="3" t="s">
        <v>23</v>
      </c>
      <c r="P245" s="4" t="n">
        <v>46286</v>
      </c>
      <c r="Q245" s="3" t="s">
        <v>63</v>
      </c>
    </row>
    <row r="246" customFormat="false" ht="35.05" hidden="false" customHeight="false" outlineLevel="0" collapsed="false">
      <c r="A246" s="3" t="s">
        <v>225</v>
      </c>
      <c r="B246" s="3" t="s">
        <v>18</v>
      </c>
      <c r="C246" s="3" t="s">
        <v>33</v>
      </c>
      <c r="D246" s="4" t="n">
        <v>46296</v>
      </c>
      <c r="E246" s="5" t="n">
        <v>0.458333333333333</v>
      </c>
      <c r="F246" s="5" t="n">
        <v>0.5</v>
      </c>
      <c r="G246" s="3" t="s">
        <v>20</v>
      </c>
      <c r="H246" s="3" t="s">
        <v>20</v>
      </c>
      <c r="I246" s="3" t="str">
        <f aca="false">IF(E246&gt;=TIME(18,0,0),"Y","")</f>
        <v/>
      </c>
      <c r="J246" s="3" t="str">
        <f aca="false">IF(AND(ISNUMBER(F246),F246&gt;TIME(21,0,0)),"Y","")</f>
        <v/>
      </c>
      <c r="K246" s="3" t="s">
        <v>75</v>
      </c>
      <c r="L246" s="3" t="s">
        <v>35</v>
      </c>
      <c r="M246" s="3" t="str">
        <f aca="false">CHOOSE(WEEKDAY(D246),"일","월","화","수","목","금","토")</f>
        <v>목</v>
      </c>
      <c r="N246" s="6" t="s">
        <v>224</v>
      </c>
      <c r="O246" s="3" t="s">
        <v>23</v>
      </c>
      <c r="P246" s="4" t="n">
        <v>46286</v>
      </c>
      <c r="Q246" s="3"/>
    </row>
    <row r="247" customFormat="false" ht="35.05" hidden="false" customHeight="false" outlineLevel="0" collapsed="false">
      <c r="A247" s="3" t="s">
        <v>42</v>
      </c>
      <c r="B247" s="3" t="s">
        <v>32</v>
      </c>
      <c r="C247" s="3" t="s">
        <v>43</v>
      </c>
      <c r="D247" s="4" t="n">
        <v>46296</v>
      </c>
      <c r="E247" s="5" t="n">
        <v>0.458333333333333</v>
      </c>
      <c r="F247" s="5" t="n">
        <v>0.5</v>
      </c>
      <c r="G247" s="3" t="s">
        <v>20</v>
      </c>
      <c r="H247" s="3" t="s">
        <v>20</v>
      </c>
      <c r="I247" s="3" t="str">
        <f aca="false">IF(E247&gt;=TIME(18,0,0),"Y","")</f>
        <v/>
      </c>
      <c r="J247" s="3" t="str">
        <f aca="false">IF(AND(ISNUMBER(F247),F247&gt;TIME(21,0,0)),"Y","")</f>
        <v/>
      </c>
      <c r="K247" s="3" t="s">
        <v>34</v>
      </c>
      <c r="L247" s="3" t="s">
        <v>44</v>
      </c>
      <c r="M247" s="3" t="str">
        <f aca="false">CHOOSE(WEEKDAY(D247),"일","월","화","수","목","금","토")</f>
        <v>목</v>
      </c>
      <c r="N247" s="6" t="s">
        <v>224</v>
      </c>
      <c r="O247" s="3" t="s">
        <v>23</v>
      </c>
      <c r="P247" s="4" t="n">
        <v>46286</v>
      </c>
      <c r="Q247" s="3"/>
    </row>
    <row r="248" customFormat="false" ht="35.05" hidden="false" customHeight="false" outlineLevel="0" collapsed="false">
      <c r="A248" s="3" t="s">
        <v>50</v>
      </c>
      <c r="B248" s="3" t="s">
        <v>51</v>
      </c>
      <c r="C248" s="3" t="s">
        <v>52</v>
      </c>
      <c r="D248" s="4" t="n">
        <v>46296</v>
      </c>
      <c r="E248" s="5" t="n">
        <v>0.479166666666667</v>
      </c>
      <c r="F248" s="5" t="n">
        <v>0.5</v>
      </c>
      <c r="G248" s="3" t="s">
        <v>20</v>
      </c>
      <c r="H248" s="3" t="s">
        <v>20</v>
      </c>
      <c r="I248" s="3" t="str">
        <f aca="false">IF(E248&gt;=TIME(18,0,0),"Y","")</f>
        <v/>
      </c>
      <c r="J248" s="3" t="str">
        <f aca="false">IF(AND(ISNUMBER(F248),F248&gt;TIME(21,0,0)),"Y","")</f>
        <v/>
      </c>
      <c r="K248" s="3" t="s">
        <v>51</v>
      </c>
      <c r="L248" s="3" t="s">
        <v>19</v>
      </c>
      <c r="M248" s="3" t="str">
        <f aca="false">CHOOSE(WEEKDAY(D248),"일","월","화","수","목","금","토")</f>
        <v>목</v>
      </c>
      <c r="N248" s="6" t="s">
        <v>224</v>
      </c>
      <c r="O248" s="3" t="s">
        <v>23</v>
      </c>
      <c r="P248" s="4" t="n">
        <v>46286</v>
      </c>
      <c r="Q248" s="3"/>
    </row>
    <row r="249" customFormat="false" ht="46.25" hidden="false" customHeight="false" outlineLevel="0" collapsed="false">
      <c r="A249" s="3" t="s">
        <v>226</v>
      </c>
      <c r="B249" s="3" t="s">
        <v>18</v>
      </c>
      <c r="C249" s="3" t="s">
        <v>59</v>
      </c>
      <c r="D249" s="4" t="n">
        <v>46296</v>
      </c>
      <c r="E249" s="5" t="n">
        <v>0.5</v>
      </c>
      <c r="F249" s="5" t="n">
        <v>0.541666666666667</v>
      </c>
      <c r="G249" s="3" t="s">
        <v>60</v>
      </c>
      <c r="H249" s="3" t="s">
        <v>61</v>
      </c>
      <c r="I249" s="3" t="str">
        <f aca="false">IF(E249&gt;=TIME(18,0,0),"Y","")</f>
        <v/>
      </c>
      <c r="J249" s="3" t="str">
        <f aca="false">IF(AND(ISNUMBER(F249),F249&gt;TIME(21,0,0)),"Y","")</f>
        <v/>
      </c>
      <c r="K249" s="3" t="s">
        <v>75</v>
      </c>
      <c r="L249" s="3" t="s">
        <v>19</v>
      </c>
      <c r="M249" s="3" t="str">
        <f aca="false">CHOOSE(WEEKDAY(D249),"일","월","화","수","목","금","토")</f>
        <v>목</v>
      </c>
      <c r="N249" s="6" t="s">
        <v>224</v>
      </c>
      <c r="O249" s="3" t="s">
        <v>23</v>
      </c>
      <c r="P249" s="4" t="n">
        <v>46286</v>
      </c>
      <c r="Q249" s="3" t="s">
        <v>63</v>
      </c>
    </row>
    <row r="250" customFormat="false" ht="35.05" hidden="false" customHeight="false" outlineLevel="0" collapsed="false">
      <c r="A250" s="3" t="s">
        <v>227</v>
      </c>
      <c r="B250" s="3" t="s">
        <v>18</v>
      </c>
      <c r="C250" s="3" t="s">
        <v>33</v>
      </c>
      <c r="D250" s="4" t="n">
        <v>46296</v>
      </c>
      <c r="E250" s="5" t="n">
        <v>0.5</v>
      </c>
      <c r="F250" s="5" t="n">
        <v>0.541666666666667</v>
      </c>
      <c r="G250" s="3" t="s">
        <v>20</v>
      </c>
      <c r="H250" s="3" t="s">
        <v>20</v>
      </c>
      <c r="I250" s="3" t="str">
        <f aca="false">IF(E250&gt;=TIME(18,0,0),"Y","")</f>
        <v/>
      </c>
      <c r="J250" s="3" t="str">
        <f aca="false">IF(AND(ISNUMBER(F250),F250&gt;TIME(21,0,0)),"Y","")</f>
        <v/>
      </c>
      <c r="K250" s="3" t="s">
        <v>29</v>
      </c>
      <c r="L250" s="3" t="s">
        <v>35</v>
      </c>
      <c r="M250" s="3" t="str">
        <f aca="false">CHOOSE(WEEKDAY(D250),"일","월","화","수","목","금","토")</f>
        <v>목</v>
      </c>
      <c r="N250" s="6" t="s">
        <v>224</v>
      </c>
      <c r="O250" s="3" t="s">
        <v>23</v>
      </c>
      <c r="P250" s="4" t="n">
        <v>46286</v>
      </c>
      <c r="Q250" s="3"/>
    </row>
    <row r="251" customFormat="false" ht="35.05" hidden="false" customHeight="false" outlineLevel="0" collapsed="false">
      <c r="A251" s="3" t="s">
        <v>91</v>
      </c>
      <c r="B251" s="3" t="s">
        <v>18</v>
      </c>
      <c r="C251" s="3" t="s">
        <v>87</v>
      </c>
      <c r="D251" s="4" t="n">
        <v>46296</v>
      </c>
      <c r="E251" s="5" t="n">
        <v>0.541666666666667</v>
      </c>
      <c r="F251" s="5" t="n">
        <v>0.583333333333333</v>
      </c>
      <c r="G251" s="3" t="s">
        <v>20</v>
      </c>
      <c r="H251" s="3" t="s">
        <v>20</v>
      </c>
      <c r="I251" s="3" t="str">
        <f aca="false">IF(E251&gt;=TIME(18,0,0),"Y","")</f>
        <v/>
      </c>
      <c r="J251" s="3" t="str">
        <f aca="false">IF(AND(ISNUMBER(F251),F251&gt;TIME(21,0,0)),"Y","")</f>
        <v/>
      </c>
      <c r="K251" s="3" t="s">
        <v>66</v>
      </c>
      <c r="L251" s="3" t="s">
        <v>26</v>
      </c>
      <c r="M251" s="3" t="str">
        <f aca="false">CHOOSE(WEEKDAY(D251),"일","월","화","수","목","금","토")</f>
        <v>목</v>
      </c>
      <c r="N251" s="6" t="s">
        <v>224</v>
      </c>
      <c r="O251" s="3" t="s">
        <v>23</v>
      </c>
      <c r="P251" s="4" t="n">
        <v>46286</v>
      </c>
      <c r="Q251" s="3"/>
    </row>
    <row r="252" customFormat="false" ht="35.05" hidden="false" customHeight="false" outlineLevel="0" collapsed="false">
      <c r="A252" s="3" t="s">
        <v>228</v>
      </c>
      <c r="B252" s="3" t="s">
        <v>18</v>
      </c>
      <c r="C252" s="3" t="s">
        <v>33</v>
      </c>
      <c r="D252" s="4" t="n">
        <v>46296</v>
      </c>
      <c r="E252" s="5" t="n">
        <v>0.541666666666667</v>
      </c>
      <c r="F252" s="5" t="n">
        <v>0.604166666666667</v>
      </c>
      <c r="G252" s="3" t="s">
        <v>20</v>
      </c>
      <c r="H252" s="3" t="s">
        <v>20</v>
      </c>
      <c r="I252" s="3" t="str">
        <f aca="false">IF(E252&gt;=TIME(18,0,0),"Y","")</f>
        <v/>
      </c>
      <c r="J252" s="3" t="str">
        <f aca="false">IF(AND(ISNUMBER(F252),F252&gt;TIME(21,0,0)),"Y","")</f>
        <v/>
      </c>
      <c r="K252" s="3" t="s">
        <v>29</v>
      </c>
      <c r="L252" s="3" t="s">
        <v>35</v>
      </c>
      <c r="M252" s="3" t="str">
        <f aca="false">CHOOSE(WEEKDAY(D252),"일","월","화","수","목","금","토")</f>
        <v>목</v>
      </c>
      <c r="N252" s="6" t="s">
        <v>224</v>
      </c>
      <c r="O252" s="3" t="s">
        <v>23</v>
      </c>
      <c r="P252" s="4" t="n">
        <v>46286</v>
      </c>
      <c r="Q252" s="3"/>
    </row>
    <row r="253" customFormat="false" ht="46.25" hidden="false" customHeight="false" outlineLevel="0" collapsed="false">
      <c r="A253" s="3" t="s">
        <v>229</v>
      </c>
      <c r="B253" s="3" t="s">
        <v>18</v>
      </c>
      <c r="C253" s="3" t="s">
        <v>59</v>
      </c>
      <c r="D253" s="4" t="n">
        <v>46296</v>
      </c>
      <c r="E253" s="5" t="n">
        <v>0.5625</v>
      </c>
      <c r="F253" s="5" t="n">
        <v>0.604166666666667</v>
      </c>
      <c r="G253" s="3" t="s">
        <v>60</v>
      </c>
      <c r="H253" s="3" t="s">
        <v>61</v>
      </c>
      <c r="I253" s="3" t="str">
        <f aca="false">IF(E253&gt;=TIME(18,0,0),"Y","")</f>
        <v/>
      </c>
      <c r="J253" s="3" t="str">
        <f aca="false">IF(AND(ISNUMBER(F253),F253&gt;TIME(21,0,0)),"Y","")</f>
        <v/>
      </c>
      <c r="K253" s="3" t="s">
        <v>75</v>
      </c>
      <c r="L253" s="3" t="s">
        <v>19</v>
      </c>
      <c r="M253" s="3" t="str">
        <f aca="false">CHOOSE(WEEKDAY(D253),"일","월","화","수","목","금","토")</f>
        <v>목</v>
      </c>
      <c r="N253" s="6" t="s">
        <v>224</v>
      </c>
      <c r="O253" s="3" t="s">
        <v>23</v>
      </c>
      <c r="P253" s="4" t="n">
        <v>46286</v>
      </c>
      <c r="Q253" s="3" t="s">
        <v>63</v>
      </c>
    </row>
    <row r="254" customFormat="false" ht="35.05" hidden="false" customHeight="false" outlineLevel="0" collapsed="false">
      <c r="A254" s="3" t="s">
        <v>50</v>
      </c>
      <c r="B254" s="3" t="s">
        <v>51</v>
      </c>
      <c r="C254" s="3" t="s">
        <v>52</v>
      </c>
      <c r="D254" s="4" t="n">
        <v>46296</v>
      </c>
      <c r="E254" s="5" t="n">
        <v>0.583333333333333</v>
      </c>
      <c r="F254" s="5" t="n">
        <v>0.604166666666667</v>
      </c>
      <c r="G254" s="3" t="s">
        <v>20</v>
      </c>
      <c r="H254" s="3" t="s">
        <v>20</v>
      </c>
      <c r="I254" s="3" t="str">
        <f aca="false">IF(E254&gt;=TIME(18,0,0),"Y","")</f>
        <v/>
      </c>
      <c r="J254" s="3" t="str">
        <f aca="false">IF(AND(ISNUMBER(F254),F254&gt;TIME(21,0,0)),"Y","")</f>
        <v/>
      </c>
      <c r="K254" s="3" t="s">
        <v>51</v>
      </c>
      <c r="L254" s="3" t="s">
        <v>19</v>
      </c>
      <c r="M254" s="3" t="str">
        <f aca="false">CHOOSE(WEEKDAY(D254),"일","월","화","수","목","금","토")</f>
        <v>목</v>
      </c>
      <c r="N254" s="6" t="s">
        <v>224</v>
      </c>
      <c r="O254" s="3" t="s">
        <v>23</v>
      </c>
      <c r="P254" s="4" t="n">
        <v>46286</v>
      </c>
      <c r="Q254" s="3"/>
    </row>
    <row r="255" customFormat="false" ht="35.05" hidden="false" customHeight="false" outlineLevel="0" collapsed="false">
      <c r="A255" s="3" t="s">
        <v>56</v>
      </c>
      <c r="B255" s="3" t="s">
        <v>18</v>
      </c>
      <c r="C255" s="3" t="s">
        <v>57</v>
      </c>
      <c r="D255" s="4" t="n">
        <v>46296</v>
      </c>
      <c r="E255" s="5" t="n">
        <v>0.583333333333333</v>
      </c>
      <c r="F255" s="5" t="n">
        <v>0.625</v>
      </c>
      <c r="G255" s="3" t="s">
        <v>20</v>
      </c>
      <c r="H255" s="3" t="s">
        <v>20</v>
      </c>
      <c r="I255" s="3" t="str">
        <f aca="false">IF(E255&gt;=TIME(18,0,0),"Y","")</f>
        <v/>
      </c>
      <c r="J255" s="3" t="str">
        <f aca="false">IF(AND(ISNUMBER(F255),F255&gt;TIME(21,0,0)),"Y","")</f>
        <v/>
      </c>
      <c r="K255" s="3" t="s">
        <v>48</v>
      </c>
      <c r="L255" s="3" t="s">
        <v>47</v>
      </c>
      <c r="M255" s="3" t="str">
        <f aca="false">CHOOSE(WEEKDAY(D255),"일","월","화","수","목","금","토")</f>
        <v>목</v>
      </c>
      <c r="N255" s="6" t="s">
        <v>224</v>
      </c>
      <c r="O255" s="3" t="s">
        <v>23</v>
      </c>
      <c r="P255" s="4" t="n">
        <v>46286</v>
      </c>
      <c r="Q255" s="3" t="s">
        <v>49</v>
      </c>
    </row>
    <row r="256" customFormat="false" ht="35.05" hidden="false" customHeight="false" outlineLevel="0" collapsed="false">
      <c r="A256" s="3" t="s">
        <v>133</v>
      </c>
      <c r="B256" s="3" t="s">
        <v>18</v>
      </c>
      <c r="C256" s="3" t="s">
        <v>43</v>
      </c>
      <c r="D256" s="4" t="n">
        <v>46296</v>
      </c>
      <c r="E256" s="5" t="n">
        <v>0.583333333333333</v>
      </c>
      <c r="F256" s="5" t="n">
        <v>0.645833333333333</v>
      </c>
      <c r="G256" s="3" t="s">
        <v>20</v>
      </c>
      <c r="H256" s="3" t="s">
        <v>20</v>
      </c>
      <c r="I256" s="3" t="str">
        <f aca="false">IF(E256&gt;=TIME(18,0,0),"Y","")</f>
        <v/>
      </c>
      <c r="J256" s="3" t="str">
        <f aca="false">IF(AND(ISNUMBER(F256),F256&gt;TIME(21,0,0)),"Y","")</f>
        <v/>
      </c>
      <c r="K256" s="3" t="s">
        <v>29</v>
      </c>
      <c r="L256" s="3" t="s">
        <v>44</v>
      </c>
      <c r="M256" s="3" t="str">
        <f aca="false">CHOOSE(WEEKDAY(D256),"일","월","화","수","목","금","토")</f>
        <v>목</v>
      </c>
      <c r="N256" s="6" t="s">
        <v>224</v>
      </c>
      <c r="O256" s="3" t="s">
        <v>23</v>
      </c>
      <c r="P256" s="4" t="n">
        <v>46286</v>
      </c>
      <c r="Q256" s="3"/>
    </row>
    <row r="257" customFormat="false" ht="35.05" hidden="false" customHeight="false" outlineLevel="0" collapsed="false">
      <c r="A257" s="3" t="s">
        <v>55</v>
      </c>
      <c r="B257" s="3" t="s">
        <v>51</v>
      </c>
      <c r="C257" s="3" t="s">
        <v>52</v>
      </c>
      <c r="D257" s="4" t="n">
        <v>46296</v>
      </c>
      <c r="E257" s="5" t="n">
        <v>0.604166666666667</v>
      </c>
      <c r="F257" s="5" t="n">
        <v>0.625</v>
      </c>
      <c r="G257" s="3" t="s">
        <v>20</v>
      </c>
      <c r="H257" s="3" t="s">
        <v>20</v>
      </c>
      <c r="I257" s="3" t="str">
        <f aca="false">IF(E257&gt;=TIME(18,0,0),"Y","")</f>
        <v/>
      </c>
      <c r="J257" s="3" t="str">
        <f aca="false">IF(AND(ISNUMBER(F257),F257&gt;TIME(21,0,0)),"Y","")</f>
        <v/>
      </c>
      <c r="K257" s="3" t="s">
        <v>51</v>
      </c>
      <c r="L257" s="3" t="s">
        <v>19</v>
      </c>
      <c r="M257" s="3" t="str">
        <f aca="false">CHOOSE(WEEKDAY(D257),"일","월","화","수","목","금","토")</f>
        <v>목</v>
      </c>
      <c r="N257" s="6" t="s">
        <v>224</v>
      </c>
      <c r="O257" s="3" t="s">
        <v>23</v>
      </c>
      <c r="P257" s="4" t="n">
        <v>46286</v>
      </c>
      <c r="Q257" s="3"/>
    </row>
    <row r="258" customFormat="false" ht="35.05" hidden="false" customHeight="false" outlineLevel="0" collapsed="false">
      <c r="A258" s="3" t="s">
        <v>230</v>
      </c>
      <c r="B258" s="3" t="s">
        <v>18</v>
      </c>
      <c r="C258" s="3" t="s">
        <v>33</v>
      </c>
      <c r="D258" s="4" t="n">
        <v>46296</v>
      </c>
      <c r="E258" s="5" t="n">
        <v>0.604166666666667</v>
      </c>
      <c r="F258" s="5" t="n">
        <v>0.666666666666667</v>
      </c>
      <c r="G258" s="3" t="s">
        <v>20</v>
      </c>
      <c r="H258" s="3" t="s">
        <v>20</v>
      </c>
      <c r="I258" s="3" t="str">
        <f aca="false">IF(E258&gt;=TIME(18,0,0),"Y","")</f>
        <v/>
      </c>
      <c r="J258" s="3" t="str">
        <f aca="false">IF(AND(ISNUMBER(F258),F258&gt;TIME(21,0,0)),"Y","")</f>
        <v/>
      </c>
      <c r="K258" s="3" t="s">
        <v>29</v>
      </c>
      <c r="L258" s="3" t="s">
        <v>35</v>
      </c>
      <c r="M258" s="3" t="str">
        <f aca="false">CHOOSE(WEEKDAY(D258),"일","월","화","수","목","금","토")</f>
        <v>목</v>
      </c>
      <c r="N258" s="6" t="s">
        <v>224</v>
      </c>
      <c r="O258" s="3" t="s">
        <v>23</v>
      </c>
      <c r="P258" s="4" t="n">
        <v>46286</v>
      </c>
      <c r="Q258" s="3"/>
    </row>
    <row r="259" customFormat="false" ht="35.05" hidden="false" customHeight="false" outlineLevel="0" collapsed="false">
      <c r="A259" s="3" t="s">
        <v>231</v>
      </c>
      <c r="B259" s="3" t="s">
        <v>32</v>
      </c>
      <c r="C259" s="3" t="s">
        <v>28</v>
      </c>
      <c r="D259" s="4" t="n">
        <v>46296</v>
      </c>
      <c r="E259" s="5" t="n">
        <v>0.625</v>
      </c>
      <c r="F259" s="5" t="n">
        <v>0.666666666666667</v>
      </c>
      <c r="G259" s="3" t="s">
        <v>20</v>
      </c>
      <c r="H259" s="3" t="s">
        <v>20</v>
      </c>
      <c r="I259" s="3" t="str">
        <f aca="false">IF(E259&gt;=TIME(18,0,0),"Y","")</f>
        <v/>
      </c>
      <c r="J259" s="3" t="str">
        <f aca="false">IF(AND(ISNUMBER(F259),F259&gt;TIME(21,0,0)),"Y","")</f>
        <v/>
      </c>
      <c r="K259" s="3" t="s">
        <v>34</v>
      </c>
      <c r="L259" s="3" t="s">
        <v>19</v>
      </c>
      <c r="M259" s="3" t="str">
        <f aca="false">CHOOSE(WEEKDAY(D259),"일","월","화","수","목","금","토")</f>
        <v>목</v>
      </c>
      <c r="N259" s="6" t="s">
        <v>224</v>
      </c>
      <c r="O259" s="3" t="s">
        <v>23</v>
      </c>
      <c r="P259" s="4" t="n">
        <v>46286</v>
      </c>
      <c r="Q259" s="3"/>
    </row>
    <row r="260" customFormat="false" ht="35.05" hidden="false" customHeight="false" outlineLevel="0" collapsed="false">
      <c r="A260" s="3" t="s">
        <v>81</v>
      </c>
      <c r="B260" s="3" t="s">
        <v>18</v>
      </c>
      <c r="C260" s="3" t="s">
        <v>54</v>
      </c>
      <c r="D260" s="4" t="n">
        <v>46296</v>
      </c>
      <c r="E260" s="5" t="n">
        <v>0.625</v>
      </c>
      <c r="F260" s="5" t="n">
        <v>0.666666666666667</v>
      </c>
      <c r="G260" s="3" t="s">
        <v>20</v>
      </c>
      <c r="H260" s="3" t="s">
        <v>20</v>
      </c>
      <c r="I260" s="3" t="str">
        <f aca="false">IF(E260&gt;=TIME(18,0,0),"Y","")</f>
        <v/>
      </c>
      <c r="J260" s="3" t="str">
        <f aca="false">IF(AND(ISNUMBER(F260),F260&gt;TIME(21,0,0)),"Y","")</f>
        <v/>
      </c>
      <c r="K260" s="3" t="s">
        <v>66</v>
      </c>
      <c r="L260" s="3" t="s">
        <v>26</v>
      </c>
      <c r="M260" s="3" t="str">
        <f aca="false">CHOOSE(WEEKDAY(D260),"일","월","화","수","목","금","토")</f>
        <v>목</v>
      </c>
      <c r="N260" s="6" t="s">
        <v>224</v>
      </c>
      <c r="O260" s="3" t="s">
        <v>23</v>
      </c>
      <c r="P260" s="4" t="n">
        <v>46286</v>
      </c>
      <c r="Q260" s="3"/>
    </row>
    <row r="261" customFormat="false" ht="46.25" hidden="false" customHeight="false" outlineLevel="0" collapsed="false">
      <c r="A261" s="3" t="s">
        <v>232</v>
      </c>
      <c r="B261" s="3" t="s">
        <v>18</v>
      </c>
      <c r="C261" s="3" t="s">
        <v>59</v>
      </c>
      <c r="D261" s="4" t="n">
        <v>46296</v>
      </c>
      <c r="E261" s="5" t="n">
        <v>0.645833333333333</v>
      </c>
      <c r="F261" s="5" t="n">
        <v>0.6875</v>
      </c>
      <c r="G261" s="3" t="s">
        <v>60</v>
      </c>
      <c r="H261" s="3" t="s">
        <v>61</v>
      </c>
      <c r="I261" s="3" t="str">
        <f aca="false">IF(E261&gt;=TIME(18,0,0),"Y","")</f>
        <v/>
      </c>
      <c r="J261" s="3" t="str">
        <f aca="false">IF(AND(ISNUMBER(F261),F261&gt;TIME(21,0,0)),"Y","")</f>
        <v/>
      </c>
      <c r="K261" s="3" t="s">
        <v>62</v>
      </c>
      <c r="L261" s="3" t="s">
        <v>19</v>
      </c>
      <c r="M261" s="3" t="str">
        <f aca="false">CHOOSE(WEEKDAY(D261),"일","월","화","수","목","금","토")</f>
        <v>목</v>
      </c>
      <c r="N261" s="6" t="s">
        <v>224</v>
      </c>
      <c r="O261" s="3" t="s">
        <v>23</v>
      </c>
      <c r="P261" s="4" t="n">
        <v>46286</v>
      </c>
      <c r="Q261" s="3" t="s">
        <v>63</v>
      </c>
    </row>
    <row r="262" customFormat="false" ht="35.05" hidden="false" customHeight="false" outlineLevel="0" collapsed="false">
      <c r="A262" s="3" t="s">
        <v>50</v>
      </c>
      <c r="B262" s="3" t="s">
        <v>51</v>
      </c>
      <c r="C262" s="3" t="s">
        <v>52</v>
      </c>
      <c r="D262" s="4" t="n">
        <v>46296</v>
      </c>
      <c r="E262" s="5" t="n">
        <v>0.666666666666667</v>
      </c>
      <c r="F262" s="5" t="n">
        <v>0.6875</v>
      </c>
      <c r="G262" s="3" t="s">
        <v>20</v>
      </c>
      <c r="H262" s="3" t="s">
        <v>20</v>
      </c>
      <c r="I262" s="3" t="str">
        <f aca="false">IF(E262&gt;=TIME(18,0,0),"Y","")</f>
        <v/>
      </c>
      <c r="J262" s="3" t="str">
        <f aca="false">IF(AND(ISNUMBER(F262),F262&gt;TIME(21,0,0)),"Y","")</f>
        <v/>
      </c>
      <c r="K262" s="3" t="s">
        <v>51</v>
      </c>
      <c r="L262" s="3" t="s">
        <v>19</v>
      </c>
      <c r="M262" s="3" t="str">
        <f aca="false">CHOOSE(WEEKDAY(D262),"일","월","화","수","목","금","토")</f>
        <v>목</v>
      </c>
      <c r="N262" s="6" t="s">
        <v>224</v>
      </c>
      <c r="O262" s="3" t="s">
        <v>23</v>
      </c>
      <c r="P262" s="4" t="n">
        <v>46286</v>
      </c>
      <c r="Q262" s="3"/>
    </row>
    <row r="263" customFormat="false" ht="35.05" hidden="false" customHeight="false" outlineLevel="0" collapsed="false">
      <c r="A263" s="3" t="s">
        <v>233</v>
      </c>
      <c r="B263" s="3" t="s">
        <v>18</v>
      </c>
      <c r="C263" s="3" t="s">
        <v>43</v>
      </c>
      <c r="D263" s="4" t="n">
        <v>46296</v>
      </c>
      <c r="E263" s="5" t="n">
        <v>0.666666666666667</v>
      </c>
      <c r="F263" s="5" t="n">
        <v>0.6875</v>
      </c>
      <c r="G263" s="3" t="s">
        <v>20</v>
      </c>
      <c r="H263" s="3" t="s">
        <v>20</v>
      </c>
      <c r="I263" s="3" t="str">
        <f aca="false">IF(E263&gt;=TIME(18,0,0),"Y","")</f>
        <v/>
      </c>
      <c r="J263" s="3" t="str">
        <f aca="false">IF(AND(ISNUMBER(F263),F263&gt;TIME(21,0,0)),"Y","")</f>
        <v/>
      </c>
      <c r="K263" s="3" t="s">
        <v>75</v>
      </c>
      <c r="L263" s="3" t="s">
        <v>44</v>
      </c>
      <c r="M263" s="3" t="str">
        <f aca="false">CHOOSE(WEEKDAY(D263),"일","월","화","수","목","금","토")</f>
        <v>목</v>
      </c>
      <c r="N263" s="6" t="s">
        <v>224</v>
      </c>
      <c r="O263" s="3" t="s">
        <v>23</v>
      </c>
      <c r="P263" s="4" t="n">
        <v>46286</v>
      </c>
      <c r="Q263" s="3"/>
    </row>
    <row r="264" customFormat="false" ht="35.05" hidden="false" customHeight="false" outlineLevel="0" collapsed="false">
      <c r="A264" s="3" t="s">
        <v>234</v>
      </c>
      <c r="B264" s="3" t="s">
        <v>18</v>
      </c>
      <c r="C264" s="3" t="s">
        <v>33</v>
      </c>
      <c r="D264" s="4" t="n">
        <v>46296</v>
      </c>
      <c r="E264" s="5" t="n">
        <v>0.666666666666667</v>
      </c>
      <c r="F264" s="5" t="n">
        <v>0.708333333333333</v>
      </c>
      <c r="G264" s="3" t="s">
        <v>20</v>
      </c>
      <c r="H264" s="3" t="s">
        <v>20</v>
      </c>
      <c r="I264" s="3" t="str">
        <f aca="false">IF(E264&gt;=TIME(18,0,0),"Y","")</f>
        <v/>
      </c>
      <c r="J264" s="3" t="str">
        <f aca="false">IF(AND(ISNUMBER(F264),F264&gt;TIME(21,0,0)),"Y","")</f>
        <v/>
      </c>
      <c r="K264" s="3" t="s">
        <v>75</v>
      </c>
      <c r="L264" s="3" t="s">
        <v>35</v>
      </c>
      <c r="M264" s="3" t="str">
        <f aca="false">CHOOSE(WEEKDAY(D264),"일","월","화","수","목","금","토")</f>
        <v>목</v>
      </c>
      <c r="N264" s="6" t="s">
        <v>224</v>
      </c>
      <c r="O264" s="3" t="s">
        <v>23</v>
      </c>
      <c r="P264" s="4" t="n">
        <v>46286</v>
      </c>
      <c r="Q264" s="3"/>
    </row>
    <row r="265" customFormat="false" ht="35.05" hidden="false" customHeight="false" outlineLevel="0" collapsed="false">
      <c r="A265" s="3" t="s">
        <v>235</v>
      </c>
      <c r="B265" s="3" t="s">
        <v>18</v>
      </c>
      <c r="C265" s="3" t="s">
        <v>28</v>
      </c>
      <c r="D265" s="4" t="n">
        <v>46296</v>
      </c>
      <c r="E265" s="5" t="n">
        <v>0.6875</v>
      </c>
      <c r="F265" s="5" t="n">
        <v>0.708333333333333</v>
      </c>
      <c r="G265" s="3" t="s">
        <v>20</v>
      </c>
      <c r="H265" s="3" t="s">
        <v>20</v>
      </c>
      <c r="I265" s="3" t="str">
        <f aca="false">IF(E265&gt;=TIME(18,0,0),"Y","")</f>
        <v/>
      </c>
      <c r="J265" s="3" t="str">
        <f aca="false">IF(AND(ISNUMBER(F265),F265&gt;TIME(21,0,0)),"Y","")</f>
        <v/>
      </c>
      <c r="K265" s="3" t="s">
        <v>29</v>
      </c>
      <c r="L265" s="3" t="s">
        <v>19</v>
      </c>
      <c r="M265" s="3" t="str">
        <f aca="false">CHOOSE(WEEKDAY(D265),"일","월","화","수","목","금","토")</f>
        <v>목</v>
      </c>
      <c r="N265" s="6" t="s">
        <v>224</v>
      </c>
      <c r="O265" s="3" t="s">
        <v>23</v>
      </c>
      <c r="P265" s="4" t="n">
        <v>46286</v>
      </c>
      <c r="Q265" s="3"/>
    </row>
    <row r="266" customFormat="false" ht="35.05" hidden="false" customHeight="false" outlineLevel="0" collapsed="false">
      <c r="A266" s="3" t="s">
        <v>236</v>
      </c>
      <c r="B266" s="3" t="s">
        <v>18</v>
      </c>
      <c r="C266" s="3" t="s">
        <v>43</v>
      </c>
      <c r="D266" s="4" t="n">
        <v>46296</v>
      </c>
      <c r="E266" s="5" t="n">
        <v>0.6875</v>
      </c>
      <c r="F266" s="5" t="n">
        <v>0.708333333333333</v>
      </c>
      <c r="G266" s="3" t="s">
        <v>20</v>
      </c>
      <c r="H266" s="3" t="s">
        <v>20</v>
      </c>
      <c r="I266" s="3" t="str">
        <f aca="false">IF(E266&gt;=TIME(18,0,0),"Y","")</f>
        <v/>
      </c>
      <c r="J266" s="3" t="str">
        <f aca="false">IF(AND(ISNUMBER(F266),F266&gt;TIME(21,0,0)),"Y","")</f>
        <v/>
      </c>
      <c r="K266" s="3" t="s">
        <v>75</v>
      </c>
      <c r="L266" s="3" t="s">
        <v>44</v>
      </c>
      <c r="M266" s="3" t="str">
        <f aca="false">CHOOSE(WEEKDAY(D266),"일","월","화","수","목","금","토")</f>
        <v>목</v>
      </c>
      <c r="N266" s="6" t="s">
        <v>224</v>
      </c>
      <c r="O266" s="3" t="s">
        <v>23</v>
      </c>
      <c r="P266" s="4" t="n">
        <v>46286</v>
      </c>
      <c r="Q266" s="3"/>
    </row>
    <row r="267" customFormat="false" ht="35.05" hidden="false" customHeight="false" outlineLevel="0" collapsed="false">
      <c r="A267" s="3" t="s">
        <v>237</v>
      </c>
      <c r="B267" s="3" t="s">
        <v>18</v>
      </c>
      <c r="C267" s="3" t="s">
        <v>43</v>
      </c>
      <c r="D267" s="4" t="n">
        <v>46296</v>
      </c>
      <c r="E267" s="5" t="n">
        <v>0.708333333333333</v>
      </c>
      <c r="F267" s="5" t="n">
        <v>0.729166666666667</v>
      </c>
      <c r="G267" s="3" t="s">
        <v>20</v>
      </c>
      <c r="H267" s="3" t="s">
        <v>20</v>
      </c>
      <c r="I267" s="3" t="str">
        <f aca="false">IF(E267&gt;=TIME(18,0,0),"Y","")</f>
        <v/>
      </c>
      <c r="J267" s="3" t="str">
        <f aca="false">IF(AND(ISNUMBER(F267),F267&gt;TIME(21,0,0)),"Y","")</f>
        <v/>
      </c>
      <c r="K267" s="3" t="s">
        <v>75</v>
      </c>
      <c r="L267" s="3" t="s">
        <v>44</v>
      </c>
      <c r="M267" s="3" t="str">
        <f aca="false">CHOOSE(WEEKDAY(D267),"일","월","화","수","목","금","토")</f>
        <v>목</v>
      </c>
      <c r="N267" s="6" t="s">
        <v>224</v>
      </c>
      <c r="O267" s="3" t="s">
        <v>23</v>
      </c>
      <c r="P267" s="4" t="n">
        <v>46286</v>
      </c>
      <c r="Q267" s="3"/>
    </row>
    <row r="268" customFormat="false" ht="46.25" hidden="false" customHeight="false" outlineLevel="0" collapsed="false">
      <c r="A268" s="3" t="s">
        <v>238</v>
      </c>
      <c r="B268" s="3" t="s">
        <v>18</v>
      </c>
      <c r="C268" s="3" t="s">
        <v>59</v>
      </c>
      <c r="D268" s="4" t="n">
        <v>46296</v>
      </c>
      <c r="E268" s="5" t="n">
        <v>0.708333333333333</v>
      </c>
      <c r="F268" s="5" t="n">
        <v>0.75</v>
      </c>
      <c r="G268" s="3" t="s">
        <v>60</v>
      </c>
      <c r="H268" s="3" t="s">
        <v>61</v>
      </c>
      <c r="I268" s="3" t="str">
        <f aca="false">IF(E268&gt;=TIME(18,0,0),"Y","")</f>
        <v/>
      </c>
      <c r="J268" s="3" t="str">
        <f aca="false">IF(AND(ISNUMBER(F268),F268&gt;TIME(21,0,0)),"Y","")</f>
        <v/>
      </c>
      <c r="K268" s="3" t="s">
        <v>75</v>
      </c>
      <c r="L268" s="3" t="s">
        <v>19</v>
      </c>
      <c r="M268" s="3" t="str">
        <f aca="false">CHOOSE(WEEKDAY(D268),"일","월","화","수","목","금","토")</f>
        <v>목</v>
      </c>
      <c r="N268" s="6" t="s">
        <v>224</v>
      </c>
      <c r="O268" s="3" t="s">
        <v>23</v>
      </c>
      <c r="P268" s="4" t="n">
        <v>46286</v>
      </c>
      <c r="Q268" s="3" t="s">
        <v>63</v>
      </c>
    </row>
    <row r="269" customFormat="false" ht="35.05" hidden="false" customHeight="false" outlineLevel="0" collapsed="false">
      <c r="A269" s="3" t="s">
        <v>239</v>
      </c>
      <c r="B269" s="3" t="s">
        <v>18</v>
      </c>
      <c r="C269" s="3" t="s">
        <v>33</v>
      </c>
      <c r="D269" s="4" t="n">
        <v>46296</v>
      </c>
      <c r="E269" s="5" t="n">
        <v>0.708333333333333</v>
      </c>
      <c r="F269" s="5" t="n">
        <v>0.75</v>
      </c>
      <c r="G269" s="3" t="s">
        <v>20</v>
      </c>
      <c r="H269" s="3" t="s">
        <v>20</v>
      </c>
      <c r="I269" s="3" t="str">
        <f aca="false">IF(E269&gt;=TIME(18,0,0),"Y","")</f>
        <v/>
      </c>
      <c r="J269" s="3" t="str">
        <f aca="false">IF(AND(ISNUMBER(F269),F269&gt;TIME(21,0,0)),"Y","")</f>
        <v/>
      </c>
      <c r="K269" s="3" t="s">
        <v>29</v>
      </c>
      <c r="L269" s="3" t="s">
        <v>35</v>
      </c>
      <c r="M269" s="3" t="str">
        <f aca="false">CHOOSE(WEEKDAY(D269),"일","월","화","수","목","금","토")</f>
        <v>목</v>
      </c>
      <c r="N269" s="6" t="s">
        <v>224</v>
      </c>
      <c r="O269" s="3" t="s">
        <v>23</v>
      </c>
      <c r="P269" s="4" t="n">
        <v>46286</v>
      </c>
      <c r="Q269" s="3"/>
    </row>
    <row r="270" customFormat="false" ht="35.05" hidden="false" customHeight="false" outlineLevel="0" collapsed="false">
      <c r="A270" s="3" t="s">
        <v>240</v>
      </c>
      <c r="B270" s="3" t="s">
        <v>18</v>
      </c>
      <c r="C270" s="3" t="s">
        <v>28</v>
      </c>
      <c r="D270" s="4" t="n">
        <v>46296</v>
      </c>
      <c r="E270" s="5" t="n">
        <v>0.708333333333333</v>
      </c>
      <c r="F270" s="5" t="n">
        <v>0.770833333333333</v>
      </c>
      <c r="G270" s="3" t="s">
        <v>20</v>
      </c>
      <c r="H270" s="3" t="s">
        <v>20</v>
      </c>
      <c r="I270" s="3" t="str">
        <f aca="false">IF(E270&gt;=TIME(18,0,0),"Y","")</f>
        <v/>
      </c>
      <c r="J270" s="3" t="str">
        <f aca="false">IF(AND(ISNUMBER(F270),F270&gt;TIME(21,0,0)),"Y","")</f>
        <v/>
      </c>
      <c r="K270" s="3" t="s">
        <v>29</v>
      </c>
      <c r="L270" s="3" t="s">
        <v>19</v>
      </c>
      <c r="M270" s="3" t="str">
        <f aca="false">CHOOSE(WEEKDAY(D270),"일","월","화","수","목","금","토")</f>
        <v>목</v>
      </c>
      <c r="N270" s="6" t="s">
        <v>224</v>
      </c>
      <c r="O270" s="3" t="s">
        <v>23</v>
      </c>
      <c r="P270" s="4" t="n">
        <v>46286</v>
      </c>
      <c r="Q270" s="3"/>
    </row>
    <row r="271" customFormat="false" ht="35.05" hidden="false" customHeight="false" outlineLevel="0" collapsed="false">
      <c r="A271" s="3" t="s">
        <v>241</v>
      </c>
      <c r="B271" s="3" t="s">
        <v>18</v>
      </c>
      <c r="C271" s="3" t="s">
        <v>43</v>
      </c>
      <c r="D271" s="4" t="n">
        <v>46296</v>
      </c>
      <c r="E271" s="5" t="n">
        <v>0.729166666666667</v>
      </c>
      <c r="F271" s="5" t="n">
        <v>0.75</v>
      </c>
      <c r="G271" s="3" t="s">
        <v>20</v>
      </c>
      <c r="H271" s="3" t="s">
        <v>20</v>
      </c>
      <c r="I271" s="3" t="str">
        <f aca="false">IF(E271&gt;=TIME(18,0,0),"Y","")</f>
        <v/>
      </c>
      <c r="J271" s="3" t="str">
        <f aca="false">IF(AND(ISNUMBER(F271),F271&gt;TIME(21,0,0)),"Y","")</f>
        <v/>
      </c>
      <c r="K271" s="3" t="s">
        <v>75</v>
      </c>
      <c r="L271" s="3" t="s">
        <v>44</v>
      </c>
      <c r="M271" s="3" t="str">
        <f aca="false">CHOOSE(WEEKDAY(D271),"일","월","화","수","목","금","토")</f>
        <v>목</v>
      </c>
      <c r="N271" s="6" t="s">
        <v>224</v>
      </c>
      <c r="O271" s="3" t="s">
        <v>23</v>
      </c>
      <c r="P271" s="4" t="n">
        <v>46286</v>
      </c>
      <c r="Q271" s="3"/>
    </row>
    <row r="272" customFormat="false" ht="35.05" hidden="false" customHeight="false" outlineLevel="0" collapsed="false">
      <c r="A272" s="3" t="s">
        <v>242</v>
      </c>
      <c r="B272" s="3" t="s">
        <v>18</v>
      </c>
      <c r="C272" s="3" t="s">
        <v>33</v>
      </c>
      <c r="D272" s="4" t="n">
        <v>46296</v>
      </c>
      <c r="E272" s="5" t="n">
        <v>0.75</v>
      </c>
      <c r="F272" s="5" t="n">
        <v>0.791666666666667</v>
      </c>
      <c r="G272" s="3" t="s">
        <v>20</v>
      </c>
      <c r="H272" s="3" t="s">
        <v>20</v>
      </c>
      <c r="I272" s="3" t="str">
        <f aca="false">IF(E272&gt;=TIME(18,0,0),"Y","")</f>
        <v>Y</v>
      </c>
      <c r="J272" s="3" t="str">
        <f aca="false">IF(AND(ISNUMBER(F272),F272&gt;TIME(21,0,0)),"Y","")</f>
        <v/>
      </c>
      <c r="K272" s="3" t="s">
        <v>29</v>
      </c>
      <c r="L272" s="3" t="s">
        <v>35</v>
      </c>
      <c r="M272" s="3" t="str">
        <f aca="false">CHOOSE(WEEKDAY(D272),"일","월","화","수","목","금","토")</f>
        <v>목</v>
      </c>
      <c r="N272" s="6" t="s">
        <v>224</v>
      </c>
      <c r="O272" s="3" t="s">
        <v>23</v>
      </c>
      <c r="P272" s="4" t="n">
        <v>46286</v>
      </c>
      <c r="Q272" s="3"/>
    </row>
    <row r="273" customFormat="false" ht="35.05" hidden="false" customHeight="false" outlineLevel="0" collapsed="false">
      <c r="A273" s="3" t="s">
        <v>158</v>
      </c>
      <c r="B273" s="3" t="s">
        <v>18</v>
      </c>
      <c r="C273" s="3" t="s">
        <v>28</v>
      </c>
      <c r="D273" s="4" t="n">
        <v>46296</v>
      </c>
      <c r="E273" s="5" t="n">
        <v>0.770833333333333</v>
      </c>
      <c r="F273" s="5" t="n">
        <v>0.791666666666667</v>
      </c>
      <c r="G273" s="3" t="s">
        <v>20</v>
      </c>
      <c r="H273" s="3" t="s">
        <v>20</v>
      </c>
      <c r="I273" s="3" t="str">
        <f aca="false">IF(E273&gt;=TIME(18,0,0),"Y","")</f>
        <v>Y</v>
      </c>
      <c r="J273" s="3" t="str">
        <f aca="false">IF(AND(ISNUMBER(F273),F273&gt;TIME(21,0,0)),"Y","")</f>
        <v/>
      </c>
      <c r="K273" s="3" t="s">
        <v>66</v>
      </c>
      <c r="L273" s="3" t="s">
        <v>19</v>
      </c>
      <c r="M273" s="3" t="str">
        <f aca="false">CHOOSE(WEEKDAY(D273),"일","월","화","수","목","금","토")</f>
        <v>목</v>
      </c>
      <c r="N273" s="6" t="s">
        <v>224</v>
      </c>
      <c r="O273" s="3" t="s">
        <v>23</v>
      </c>
      <c r="P273" s="4" t="n">
        <v>46286</v>
      </c>
      <c r="Q273" s="3"/>
    </row>
    <row r="274" customFormat="false" ht="46.25" hidden="false" customHeight="false" outlineLevel="0" collapsed="false">
      <c r="A274" s="3" t="s">
        <v>56</v>
      </c>
      <c r="B274" s="3" t="s">
        <v>18</v>
      </c>
      <c r="C274" s="3" t="s">
        <v>59</v>
      </c>
      <c r="D274" s="4" t="n">
        <v>46296</v>
      </c>
      <c r="E274" s="5" t="n">
        <v>0.770833333333333</v>
      </c>
      <c r="F274" s="5" t="n">
        <v>0.8125</v>
      </c>
      <c r="G274" s="3" t="s">
        <v>60</v>
      </c>
      <c r="H274" s="3" t="s">
        <v>61</v>
      </c>
      <c r="I274" s="3" t="str">
        <f aca="false">IF(E274&gt;=TIME(18,0,0),"Y","")</f>
        <v>Y</v>
      </c>
      <c r="J274" s="3" t="str">
        <f aca="false">IF(AND(ISNUMBER(F274),F274&gt;TIME(21,0,0)),"Y","")</f>
        <v/>
      </c>
      <c r="K274" s="3" t="s">
        <v>62</v>
      </c>
      <c r="L274" s="3" t="s">
        <v>19</v>
      </c>
      <c r="M274" s="3" t="str">
        <f aca="false">CHOOSE(WEEKDAY(D274),"일","월","화","수","목","금","토")</f>
        <v>목</v>
      </c>
      <c r="N274" s="6" t="s">
        <v>224</v>
      </c>
      <c r="O274" s="3" t="s">
        <v>23</v>
      </c>
      <c r="P274" s="4" t="n">
        <v>46286</v>
      </c>
      <c r="Q274" s="3" t="s">
        <v>63</v>
      </c>
    </row>
    <row r="275" customFormat="false" ht="35.05" hidden="false" customHeight="false" outlineLevel="0" collapsed="false">
      <c r="A275" s="7" t="s">
        <v>243</v>
      </c>
      <c r="B275" s="3" t="s">
        <v>32</v>
      </c>
      <c r="C275" s="3" t="s">
        <v>43</v>
      </c>
      <c r="D275" s="4" t="n">
        <v>46296</v>
      </c>
      <c r="E275" s="5" t="n">
        <v>0.791666666666667</v>
      </c>
      <c r="F275" s="5" t="n">
        <v>0.8125</v>
      </c>
      <c r="G275" s="3" t="s">
        <v>20</v>
      </c>
      <c r="H275" s="3" t="s">
        <v>20</v>
      </c>
      <c r="I275" s="3" t="str">
        <f aca="false">IF(E275&gt;=TIME(18,0,0),"Y","")</f>
        <v>Y</v>
      </c>
      <c r="J275" s="3" t="str">
        <f aca="false">IF(AND(ISNUMBER(F275),F275&gt;TIME(21,0,0)),"Y","")</f>
        <v/>
      </c>
      <c r="K275" s="3" t="s">
        <v>34</v>
      </c>
      <c r="L275" s="3" t="s">
        <v>44</v>
      </c>
      <c r="M275" s="3" t="str">
        <f aca="false">CHOOSE(WEEKDAY(D275),"일","월","화","수","목","금","토")</f>
        <v>목</v>
      </c>
      <c r="N275" s="6" t="s">
        <v>224</v>
      </c>
      <c r="O275" s="3" t="s">
        <v>23</v>
      </c>
      <c r="P275" s="4" t="n">
        <v>46286</v>
      </c>
      <c r="Q275" s="3"/>
    </row>
    <row r="276" customFormat="false" ht="35.05" hidden="false" customHeight="false" outlineLevel="0" collapsed="false">
      <c r="A276" s="3" t="s">
        <v>244</v>
      </c>
      <c r="B276" s="3" t="s">
        <v>18</v>
      </c>
      <c r="C276" s="3" t="s">
        <v>28</v>
      </c>
      <c r="D276" s="4" t="n">
        <v>46296</v>
      </c>
      <c r="E276" s="5" t="n">
        <v>0.791666666666667</v>
      </c>
      <c r="F276" s="5" t="n">
        <v>0.875</v>
      </c>
      <c r="G276" s="3" t="s">
        <v>20</v>
      </c>
      <c r="H276" s="3" t="s">
        <v>20</v>
      </c>
      <c r="I276" s="3" t="str">
        <f aca="false">IF(E276&gt;=TIME(18,0,0),"Y","")</f>
        <v>Y</v>
      </c>
      <c r="J276" s="3" t="str">
        <f aca="false">IF(AND(ISNUMBER(F276),F276&gt;TIME(21,0,0)),"Y","")</f>
        <v/>
      </c>
      <c r="K276" s="3" t="s">
        <v>107</v>
      </c>
      <c r="L276" s="3" t="s">
        <v>19</v>
      </c>
      <c r="M276" s="3" t="str">
        <f aca="false">CHOOSE(WEEKDAY(D276),"일","월","화","수","목","금","토")</f>
        <v>목</v>
      </c>
      <c r="N276" s="6" t="s">
        <v>224</v>
      </c>
      <c r="O276" s="3" t="s">
        <v>23</v>
      </c>
      <c r="P276" s="4" t="n">
        <v>46286</v>
      </c>
      <c r="Q276" s="3"/>
    </row>
    <row r="277" customFormat="false" ht="35.05" hidden="false" customHeight="false" outlineLevel="0" collapsed="false">
      <c r="A277" s="3" t="s">
        <v>245</v>
      </c>
      <c r="B277" s="3" t="s">
        <v>18</v>
      </c>
      <c r="C277" s="3" t="s">
        <v>33</v>
      </c>
      <c r="D277" s="4" t="n">
        <v>46296</v>
      </c>
      <c r="E277" s="5" t="n">
        <v>0.791666666666667</v>
      </c>
      <c r="F277" s="5" t="n">
        <v>0.875</v>
      </c>
      <c r="G277" s="3" t="s">
        <v>20</v>
      </c>
      <c r="H277" s="3" t="s">
        <v>20</v>
      </c>
      <c r="I277" s="3" t="str">
        <f aca="false">IF(E277&gt;=TIME(18,0,0),"Y","")</f>
        <v>Y</v>
      </c>
      <c r="J277" s="3" t="str">
        <f aca="false">IF(AND(ISNUMBER(F277),F277&gt;TIME(21,0,0)),"Y","")</f>
        <v/>
      </c>
      <c r="K277" s="3" t="s">
        <v>107</v>
      </c>
      <c r="L277" s="3" t="s">
        <v>35</v>
      </c>
      <c r="M277" s="3" t="str">
        <f aca="false">CHOOSE(WEEKDAY(D277),"일","월","화","수","목","금","토")</f>
        <v>목</v>
      </c>
      <c r="N277" s="6" t="s">
        <v>224</v>
      </c>
      <c r="O277" s="3" t="s">
        <v>23</v>
      </c>
      <c r="P277" s="4" t="n">
        <v>46286</v>
      </c>
      <c r="Q277" s="3"/>
    </row>
    <row r="278" customFormat="false" ht="46.25" hidden="false" customHeight="false" outlineLevel="0" collapsed="false">
      <c r="A278" s="3" t="s">
        <v>246</v>
      </c>
      <c r="B278" s="3" t="s">
        <v>18</v>
      </c>
      <c r="C278" s="3" t="s">
        <v>59</v>
      </c>
      <c r="D278" s="4" t="n">
        <v>46296</v>
      </c>
      <c r="E278" s="5" t="n">
        <v>0.833333333333333</v>
      </c>
      <c r="F278" s="5" t="n">
        <v>0.875</v>
      </c>
      <c r="G278" s="3" t="s">
        <v>60</v>
      </c>
      <c r="H278" s="3" t="s">
        <v>61</v>
      </c>
      <c r="I278" s="3" t="str">
        <f aca="false">IF(E278&gt;=TIME(18,0,0),"Y","")</f>
        <v>Y</v>
      </c>
      <c r="J278" s="3" t="str">
        <f aca="false">IF(AND(ISNUMBER(F278),F278&gt;TIME(21,0,0)),"Y","")</f>
        <v/>
      </c>
      <c r="K278" s="3" t="s">
        <v>75</v>
      </c>
      <c r="L278" s="3" t="s">
        <v>19</v>
      </c>
      <c r="M278" s="3" t="str">
        <f aca="false">CHOOSE(WEEKDAY(D278),"일","월","화","수","목","금","토")</f>
        <v>목</v>
      </c>
      <c r="N278" s="6" t="s">
        <v>224</v>
      </c>
      <c r="O278" s="3" t="s">
        <v>23</v>
      </c>
      <c r="P278" s="4" t="n">
        <v>46286</v>
      </c>
      <c r="Q278" s="3" t="s">
        <v>63</v>
      </c>
    </row>
    <row r="279" customFormat="false" ht="46.25" hidden="false" customHeight="false" outlineLevel="0" collapsed="false">
      <c r="A279" s="3" t="s">
        <v>247</v>
      </c>
      <c r="B279" s="3" t="s">
        <v>18</v>
      </c>
      <c r="C279" s="3" t="s">
        <v>59</v>
      </c>
      <c r="D279" s="4" t="n">
        <v>46297</v>
      </c>
      <c r="E279" s="5" t="n">
        <v>0.416666666666667</v>
      </c>
      <c r="F279" s="5" t="n">
        <v>0.458333333333333</v>
      </c>
      <c r="G279" s="3" t="s">
        <v>60</v>
      </c>
      <c r="H279" s="3" t="s">
        <v>61</v>
      </c>
      <c r="I279" s="3" t="str">
        <f aca="false">IF(E279&gt;=TIME(18,0,0),"Y","")</f>
        <v/>
      </c>
      <c r="J279" s="3" t="str">
        <f aca="false">IF(AND(ISNUMBER(F279),F279&gt;TIME(21,0,0)),"Y","")</f>
        <v/>
      </c>
      <c r="K279" s="3" t="s">
        <v>75</v>
      </c>
      <c r="L279" s="3" t="s">
        <v>19</v>
      </c>
      <c r="M279" s="3" t="str">
        <f aca="false">CHOOSE(WEEKDAY(D279),"일","월","화","수","목","금","토")</f>
        <v>금</v>
      </c>
      <c r="N279" s="6" t="s">
        <v>248</v>
      </c>
      <c r="O279" s="3" t="s">
        <v>23</v>
      </c>
      <c r="P279" s="4" t="n">
        <v>46286</v>
      </c>
      <c r="Q279" s="3" t="s">
        <v>63</v>
      </c>
    </row>
    <row r="280" customFormat="false" ht="35.05" hidden="false" customHeight="false" outlineLevel="0" collapsed="false">
      <c r="A280" s="7" t="s">
        <v>249</v>
      </c>
      <c r="B280" s="3" t="s">
        <v>18</v>
      </c>
      <c r="C280" s="3" t="s">
        <v>28</v>
      </c>
      <c r="D280" s="4" t="n">
        <v>46297</v>
      </c>
      <c r="E280" s="5" t="n">
        <v>0.416666666666667</v>
      </c>
      <c r="F280" s="5" t="n">
        <v>0.958333333333333</v>
      </c>
      <c r="G280" s="3" t="s">
        <v>20</v>
      </c>
      <c r="H280" s="3" t="s">
        <v>20</v>
      </c>
      <c r="I280" s="3" t="str">
        <f aca="false">IF(E280&gt;=TIME(18,0,0),"Y","")</f>
        <v/>
      </c>
      <c r="J280" s="3" t="str">
        <f aca="false">IF(AND(ISNUMBER(F280),F280&gt;TIME(21,0,0)),"Y","")</f>
        <v>Y</v>
      </c>
      <c r="K280" s="3" t="s">
        <v>40</v>
      </c>
      <c r="L280" s="3" t="s">
        <v>19</v>
      </c>
      <c r="M280" s="3" t="str">
        <f aca="false">CHOOSE(WEEKDAY(D280),"일","월","화","수","목","금","토")</f>
        <v>금</v>
      </c>
      <c r="N280" s="6" t="s">
        <v>248</v>
      </c>
      <c r="O280" s="3" t="s">
        <v>23</v>
      </c>
      <c r="P280" s="4" t="n">
        <v>46286</v>
      </c>
      <c r="Q280" s="3"/>
    </row>
    <row r="281" customFormat="false" ht="35.05" hidden="false" customHeight="false" outlineLevel="0" collapsed="false">
      <c r="A281" s="3" t="s">
        <v>55</v>
      </c>
      <c r="B281" s="3" t="s">
        <v>51</v>
      </c>
      <c r="C281" s="3" t="s">
        <v>52</v>
      </c>
      <c r="D281" s="4" t="n">
        <v>46297</v>
      </c>
      <c r="E281" s="5" t="n">
        <v>0.458333333333333</v>
      </c>
      <c r="F281" s="5" t="n">
        <v>0.479166666666667</v>
      </c>
      <c r="G281" s="3" t="s">
        <v>20</v>
      </c>
      <c r="H281" s="3" t="s">
        <v>20</v>
      </c>
      <c r="I281" s="3" t="str">
        <f aca="false">IF(E281&gt;=TIME(18,0,0),"Y","")</f>
        <v/>
      </c>
      <c r="J281" s="3" t="str">
        <f aca="false">IF(AND(ISNUMBER(F281),F281&gt;TIME(21,0,0)),"Y","")</f>
        <v/>
      </c>
      <c r="K281" s="3" t="s">
        <v>51</v>
      </c>
      <c r="L281" s="3" t="s">
        <v>19</v>
      </c>
      <c r="M281" s="3" t="str">
        <f aca="false">CHOOSE(WEEKDAY(D281),"일","월","화","수","목","금","토")</f>
        <v>금</v>
      </c>
      <c r="N281" s="6" t="s">
        <v>248</v>
      </c>
      <c r="O281" s="3" t="s">
        <v>23</v>
      </c>
      <c r="P281" s="4" t="n">
        <v>46286</v>
      </c>
      <c r="Q281" s="3"/>
    </row>
    <row r="282" customFormat="false" ht="35.05" hidden="false" customHeight="false" outlineLevel="0" collapsed="false">
      <c r="A282" s="3" t="s">
        <v>250</v>
      </c>
      <c r="B282" s="3" t="s">
        <v>18</v>
      </c>
      <c r="C282" s="3" t="s">
        <v>33</v>
      </c>
      <c r="D282" s="4" t="n">
        <v>46297</v>
      </c>
      <c r="E282" s="5" t="n">
        <v>0.458333333333333</v>
      </c>
      <c r="F282" s="5" t="n">
        <v>0.5</v>
      </c>
      <c r="G282" s="3" t="s">
        <v>20</v>
      </c>
      <c r="H282" s="3" t="s">
        <v>20</v>
      </c>
      <c r="I282" s="3" t="str">
        <f aca="false">IF(E282&gt;=TIME(18,0,0),"Y","")</f>
        <v/>
      </c>
      <c r="J282" s="3" t="str">
        <f aca="false">IF(AND(ISNUMBER(F282),F282&gt;TIME(21,0,0)),"Y","")</f>
        <v/>
      </c>
      <c r="K282" s="3" t="s">
        <v>75</v>
      </c>
      <c r="L282" s="3" t="s">
        <v>35</v>
      </c>
      <c r="M282" s="3" t="str">
        <f aca="false">CHOOSE(WEEKDAY(D282),"일","월","화","수","목","금","토")</f>
        <v>금</v>
      </c>
      <c r="N282" s="6" t="s">
        <v>248</v>
      </c>
      <c r="O282" s="3" t="s">
        <v>23</v>
      </c>
      <c r="P282" s="4" t="n">
        <v>46286</v>
      </c>
      <c r="Q282" s="3"/>
    </row>
    <row r="283" customFormat="false" ht="35.05" hidden="false" customHeight="false" outlineLevel="0" collapsed="false">
      <c r="A283" s="3" t="s">
        <v>42</v>
      </c>
      <c r="B283" s="3" t="s">
        <v>32</v>
      </c>
      <c r="C283" s="3" t="s">
        <v>43</v>
      </c>
      <c r="D283" s="4" t="n">
        <v>46297</v>
      </c>
      <c r="E283" s="5" t="n">
        <v>0.458333333333333</v>
      </c>
      <c r="F283" s="5" t="n">
        <v>0.5</v>
      </c>
      <c r="G283" s="3" t="s">
        <v>20</v>
      </c>
      <c r="H283" s="3" t="s">
        <v>20</v>
      </c>
      <c r="I283" s="3" t="str">
        <f aca="false">IF(E283&gt;=TIME(18,0,0),"Y","")</f>
        <v/>
      </c>
      <c r="J283" s="3" t="str">
        <f aca="false">IF(AND(ISNUMBER(F283),F283&gt;TIME(21,0,0)),"Y","")</f>
        <v/>
      </c>
      <c r="K283" s="3" t="s">
        <v>34</v>
      </c>
      <c r="L283" s="3" t="s">
        <v>44</v>
      </c>
      <c r="M283" s="3" t="str">
        <f aca="false">CHOOSE(WEEKDAY(D283),"일","월","화","수","목","금","토")</f>
        <v>금</v>
      </c>
      <c r="N283" s="6" t="s">
        <v>248</v>
      </c>
      <c r="O283" s="3" t="s">
        <v>23</v>
      </c>
      <c r="P283" s="4" t="n">
        <v>46286</v>
      </c>
      <c r="Q283" s="3"/>
    </row>
    <row r="284" customFormat="false" ht="35.05" hidden="false" customHeight="false" outlineLevel="0" collapsed="false">
      <c r="A284" s="3" t="s">
        <v>50</v>
      </c>
      <c r="B284" s="3" t="s">
        <v>51</v>
      </c>
      <c r="C284" s="3" t="s">
        <v>52</v>
      </c>
      <c r="D284" s="4" t="n">
        <v>46297</v>
      </c>
      <c r="E284" s="5" t="n">
        <v>0.479166666666667</v>
      </c>
      <c r="F284" s="5" t="n">
        <v>0.5</v>
      </c>
      <c r="G284" s="3" t="s">
        <v>20</v>
      </c>
      <c r="H284" s="3" t="s">
        <v>20</v>
      </c>
      <c r="I284" s="3" t="str">
        <f aca="false">IF(E284&gt;=TIME(18,0,0),"Y","")</f>
        <v/>
      </c>
      <c r="J284" s="3" t="str">
        <f aca="false">IF(AND(ISNUMBER(F284),F284&gt;TIME(21,0,0)),"Y","")</f>
        <v/>
      </c>
      <c r="K284" s="3" t="s">
        <v>51</v>
      </c>
      <c r="L284" s="3" t="s">
        <v>19</v>
      </c>
      <c r="M284" s="3" t="str">
        <f aca="false">CHOOSE(WEEKDAY(D284),"일","월","화","수","목","금","토")</f>
        <v>금</v>
      </c>
      <c r="N284" s="6" t="s">
        <v>248</v>
      </c>
      <c r="O284" s="3" t="s">
        <v>23</v>
      </c>
      <c r="P284" s="4" t="n">
        <v>46286</v>
      </c>
      <c r="Q284" s="3"/>
    </row>
    <row r="285" customFormat="false" ht="46.25" hidden="false" customHeight="false" outlineLevel="0" collapsed="false">
      <c r="A285" s="3" t="s">
        <v>251</v>
      </c>
      <c r="B285" s="3" t="s">
        <v>18</v>
      </c>
      <c r="C285" s="3" t="s">
        <v>59</v>
      </c>
      <c r="D285" s="4" t="n">
        <v>46297</v>
      </c>
      <c r="E285" s="5" t="n">
        <v>0.479166666666667</v>
      </c>
      <c r="F285" s="5" t="n">
        <v>0.520833333333333</v>
      </c>
      <c r="G285" s="3" t="s">
        <v>60</v>
      </c>
      <c r="H285" s="3" t="s">
        <v>61</v>
      </c>
      <c r="I285" s="3" t="str">
        <f aca="false">IF(E285&gt;=TIME(18,0,0),"Y","")</f>
        <v/>
      </c>
      <c r="J285" s="3" t="str">
        <f aca="false">IF(AND(ISNUMBER(F285),F285&gt;TIME(21,0,0)),"Y","")</f>
        <v/>
      </c>
      <c r="K285" s="3" t="s">
        <v>75</v>
      </c>
      <c r="L285" s="3" t="s">
        <v>19</v>
      </c>
      <c r="M285" s="3" t="str">
        <f aca="false">CHOOSE(WEEKDAY(D285),"일","월","화","수","목","금","토")</f>
        <v>금</v>
      </c>
      <c r="N285" s="6" t="s">
        <v>248</v>
      </c>
      <c r="O285" s="3" t="s">
        <v>23</v>
      </c>
      <c r="P285" s="4" t="n">
        <v>46286</v>
      </c>
      <c r="Q285" s="3" t="s">
        <v>63</v>
      </c>
    </row>
    <row r="286" customFormat="false" ht="35.05" hidden="false" customHeight="false" outlineLevel="0" collapsed="false">
      <c r="A286" s="3" t="s">
        <v>252</v>
      </c>
      <c r="B286" s="3" t="s">
        <v>18</v>
      </c>
      <c r="C286" s="3" t="s">
        <v>253</v>
      </c>
      <c r="D286" s="4" t="n">
        <v>46297</v>
      </c>
      <c r="E286" s="5" t="n">
        <v>0.5</v>
      </c>
      <c r="F286" s="5" t="n">
        <v>0.541666666666667</v>
      </c>
      <c r="G286" s="3" t="s">
        <v>20</v>
      </c>
      <c r="H286" s="3" t="s">
        <v>20</v>
      </c>
      <c r="I286" s="3" t="str">
        <f aca="false">IF(E286&gt;=TIME(18,0,0),"Y","")</f>
        <v/>
      </c>
      <c r="J286" s="3" t="str">
        <f aca="false">IF(AND(ISNUMBER(F286),F286&gt;TIME(21,0,0)),"Y","")</f>
        <v/>
      </c>
      <c r="K286" s="3" t="s">
        <v>66</v>
      </c>
      <c r="L286" s="3" t="s">
        <v>26</v>
      </c>
      <c r="M286" s="3" t="str">
        <f aca="false">CHOOSE(WEEKDAY(D286),"일","월","화","수","목","금","토")</f>
        <v>금</v>
      </c>
      <c r="N286" s="6" t="s">
        <v>248</v>
      </c>
      <c r="O286" s="3" t="s">
        <v>23</v>
      </c>
      <c r="P286" s="4" t="n">
        <v>46286</v>
      </c>
      <c r="Q286" s="3"/>
    </row>
    <row r="287" customFormat="false" ht="35.05" hidden="false" customHeight="false" outlineLevel="0" collapsed="false">
      <c r="A287" s="3" t="s">
        <v>121</v>
      </c>
      <c r="B287" s="3" t="s">
        <v>18</v>
      </c>
      <c r="C287" s="3" t="s">
        <v>33</v>
      </c>
      <c r="D287" s="4" t="n">
        <v>46297</v>
      </c>
      <c r="E287" s="5" t="n">
        <v>0.520833333333333</v>
      </c>
      <c r="F287" s="5" t="n">
        <v>0.541666666666667</v>
      </c>
      <c r="G287" s="3" t="s">
        <v>20</v>
      </c>
      <c r="H287" s="3" t="s">
        <v>20</v>
      </c>
      <c r="I287" s="3" t="str">
        <f aca="false">IF(E287&gt;=TIME(18,0,0),"Y","")</f>
        <v/>
      </c>
      <c r="J287" s="3" t="str">
        <f aca="false">IF(AND(ISNUMBER(F287),F287&gt;TIME(21,0,0)),"Y","")</f>
        <v/>
      </c>
      <c r="K287" s="3" t="s">
        <v>21</v>
      </c>
      <c r="L287" s="3" t="s">
        <v>35</v>
      </c>
      <c r="M287" s="3" t="str">
        <f aca="false">CHOOSE(WEEKDAY(D287),"일","월","화","수","목","금","토")</f>
        <v>금</v>
      </c>
      <c r="N287" s="6" t="s">
        <v>248</v>
      </c>
      <c r="O287" s="3" t="s">
        <v>23</v>
      </c>
      <c r="P287" s="4" t="n">
        <v>46286</v>
      </c>
      <c r="Q287" s="3"/>
    </row>
    <row r="288" customFormat="false" ht="46.25" hidden="false" customHeight="false" outlineLevel="0" collapsed="false">
      <c r="A288" s="3" t="s">
        <v>254</v>
      </c>
      <c r="B288" s="3" t="s">
        <v>18</v>
      </c>
      <c r="C288" s="3" t="s">
        <v>59</v>
      </c>
      <c r="D288" s="4" t="n">
        <v>46297</v>
      </c>
      <c r="E288" s="5" t="n">
        <v>0.541666666666667</v>
      </c>
      <c r="F288" s="5" t="n">
        <v>0.583333333333333</v>
      </c>
      <c r="G288" s="3" t="s">
        <v>60</v>
      </c>
      <c r="H288" s="3" t="s">
        <v>61</v>
      </c>
      <c r="I288" s="3" t="str">
        <f aca="false">IF(E288&gt;=TIME(18,0,0),"Y","")</f>
        <v/>
      </c>
      <c r="J288" s="3" t="str">
        <f aca="false">IF(AND(ISNUMBER(F288),F288&gt;TIME(21,0,0)),"Y","")</f>
        <v/>
      </c>
      <c r="K288" s="3" t="s">
        <v>75</v>
      </c>
      <c r="L288" s="3" t="s">
        <v>19</v>
      </c>
      <c r="M288" s="3" t="str">
        <f aca="false">CHOOSE(WEEKDAY(D288),"일","월","화","수","목","금","토")</f>
        <v>금</v>
      </c>
      <c r="N288" s="6" t="s">
        <v>248</v>
      </c>
      <c r="O288" s="3" t="s">
        <v>23</v>
      </c>
      <c r="P288" s="4" t="n">
        <v>46286</v>
      </c>
      <c r="Q288" s="3" t="s">
        <v>63</v>
      </c>
    </row>
    <row r="289" customFormat="false" ht="35.05" hidden="false" customHeight="false" outlineLevel="0" collapsed="false">
      <c r="A289" s="3" t="s">
        <v>255</v>
      </c>
      <c r="B289" s="3" t="s">
        <v>85</v>
      </c>
      <c r="C289" s="3" t="s">
        <v>33</v>
      </c>
      <c r="D289" s="4" t="n">
        <v>46297</v>
      </c>
      <c r="E289" s="5" t="n">
        <v>0.541666666666667</v>
      </c>
      <c r="F289" s="5" t="n">
        <v>0.75</v>
      </c>
      <c r="G289" s="3" t="s">
        <v>20</v>
      </c>
      <c r="H289" s="3" t="s">
        <v>20</v>
      </c>
      <c r="I289" s="3" t="str">
        <f aca="false">IF(E289&gt;=TIME(18,0,0),"Y","")</f>
        <v/>
      </c>
      <c r="J289" s="3" t="str">
        <f aca="false">IF(AND(ISNUMBER(F289),F289&gt;TIME(21,0,0)),"Y","")</f>
        <v/>
      </c>
      <c r="K289" s="3" t="s">
        <v>86</v>
      </c>
      <c r="L289" s="3" t="s">
        <v>35</v>
      </c>
      <c r="M289" s="3" t="str">
        <f aca="false">CHOOSE(WEEKDAY(D289),"일","월","화","수","목","금","토")</f>
        <v>금</v>
      </c>
      <c r="N289" s="6" t="s">
        <v>248</v>
      </c>
      <c r="O289" s="3" t="s">
        <v>23</v>
      </c>
      <c r="P289" s="4" t="n">
        <v>46286</v>
      </c>
      <c r="Q289" s="3"/>
    </row>
    <row r="290" customFormat="false" ht="35.05" hidden="false" customHeight="false" outlineLevel="0" collapsed="false">
      <c r="A290" s="3" t="s">
        <v>55</v>
      </c>
      <c r="B290" s="3" t="s">
        <v>51</v>
      </c>
      <c r="C290" s="3" t="s">
        <v>52</v>
      </c>
      <c r="D290" s="4" t="n">
        <v>46297</v>
      </c>
      <c r="E290" s="5" t="n">
        <v>0.583333333333333</v>
      </c>
      <c r="F290" s="5" t="n">
        <v>0.604166666666667</v>
      </c>
      <c r="G290" s="3" t="s">
        <v>20</v>
      </c>
      <c r="H290" s="3" t="s">
        <v>20</v>
      </c>
      <c r="I290" s="3" t="str">
        <f aca="false">IF(E290&gt;=TIME(18,0,0),"Y","")</f>
        <v/>
      </c>
      <c r="J290" s="3" t="str">
        <f aca="false">IF(AND(ISNUMBER(F290),F290&gt;TIME(21,0,0)),"Y","")</f>
        <v/>
      </c>
      <c r="K290" s="3" t="s">
        <v>51</v>
      </c>
      <c r="L290" s="3" t="s">
        <v>19</v>
      </c>
      <c r="M290" s="3" t="str">
        <f aca="false">CHOOSE(WEEKDAY(D290),"일","월","화","수","목","금","토")</f>
        <v>금</v>
      </c>
      <c r="N290" s="6" t="s">
        <v>248</v>
      </c>
      <c r="O290" s="3" t="s">
        <v>23</v>
      </c>
      <c r="P290" s="4" t="n">
        <v>46286</v>
      </c>
      <c r="Q290" s="3"/>
    </row>
    <row r="291" customFormat="false" ht="35.05" hidden="false" customHeight="false" outlineLevel="0" collapsed="false">
      <c r="A291" s="3" t="s">
        <v>81</v>
      </c>
      <c r="B291" s="3" t="s">
        <v>18</v>
      </c>
      <c r="C291" s="3" t="s">
        <v>54</v>
      </c>
      <c r="D291" s="4" t="n">
        <v>46297</v>
      </c>
      <c r="E291" s="5" t="n">
        <v>0.583333333333333</v>
      </c>
      <c r="F291" s="5" t="n">
        <v>0.625</v>
      </c>
      <c r="G291" s="3" t="s">
        <v>20</v>
      </c>
      <c r="H291" s="3" t="s">
        <v>20</v>
      </c>
      <c r="I291" s="3" t="str">
        <f aca="false">IF(E291&gt;=TIME(18,0,0),"Y","")</f>
        <v/>
      </c>
      <c r="J291" s="3" t="str">
        <f aca="false">IF(AND(ISNUMBER(F291),F291&gt;TIME(21,0,0)),"Y","")</f>
        <v/>
      </c>
      <c r="K291" s="3" t="s">
        <v>66</v>
      </c>
      <c r="L291" s="3" t="s">
        <v>26</v>
      </c>
      <c r="M291" s="3" t="str">
        <f aca="false">CHOOSE(WEEKDAY(D291),"일","월","화","수","목","금","토")</f>
        <v>금</v>
      </c>
      <c r="N291" s="6" t="s">
        <v>248</v>
      </c>
      <c r="O291" s="3" t="s">
        <v>23</v>
      </c>
      <c r="P291" s="4" t="n">
        <v>46286</v>
      </c>
      <c r="Q291" s="3"/>
    </row>
    <row r="292" customFormat="false" ht="35.05" hidden="false" customHeight="false" outlineLevel="0" collapsed="false">
      <c r="A292" s="3" t="s">
        <v>56</v>
      </c>
      <c r="B292" s="3" t="s">
        <v>18</v>
      </c>
      <c r="C292" s="3" t="s">
        <v>57</v>
      </c>
      <c r="D292" s="4" t="n">
        <v>46297</v>
      </c>
      <c r="E292" s="5" t="n">
        <v>0.583333333333333</v>
      </c>
      <c r="F292" s="5" t="n">
        <v>0.625</v>
      </c>
      <c r="G292" s="3" t="s">
        <v>20</v>
      </c>
      <c r="H292" s="3" t="s">
        <v>20</v>
      </c>
      <c r="I292" s="3" t="str">
        <f aca="false">IF(E292&gt;=TIME(18,0,0),"Y","")</f>
        <v/>
      </c>
      <c r="J292" s="3" t="str">
        <f aca="false">IF(AND(ISNUMBER(F292),F292&gt;TIME(21,0,0)),"Y","")</f>
        <v/>
      </c>
      <c r="K292" s="3" t="s">
        <v>48</v>
      </c>
      <c r="L292" s="3" t="s">
        <v>47</v>
      </c>
      <c r="M292" s="3" t="str">
        <f aca="false">CHOOSE(WEEKDAY(D292),"일","월","화","수","목","금","토")</f>
        <v>금</v>
      </c>
      <c r="N292" s="6" t="s">
        <v>248</v>
      </c>
      <c r="O292" s="3" t="s">
        <v>23</v>
      </c>
      <c r="P292" s="4" t="n">
        <v>46286</v>
      </c>
      <c r="Q292" s="3" t="s">
        <v>49</v>
      </c>
    </row>
    <row r="293" customFormat="false" ht="35.05" hidden="false" customHeight="false" outlineLevel="0" collapsed="false">
      <c r="A293" s="3" t="s">
        <v>133</v>
      </c>
      <c r="B293" s="3" t="s">
        <v>18</v>
      </c>
      <c r="C293" s="3" t="s">
        <v>43</v>
      </c>
      <c r="D293" s="4" t="n">
        <v>46297</v>
      </c>
      <c r="E293" s="5" t="n">
        <v>0.583333333333333</v>
      </c>
      <c r="F293" s="5" t="n">
        <v>0.645833333333333</v>
      </c>
      <c r="G293" s="3" t="s">
        <v>20</v>
      </c>
      <c r="H293" s="3" t="s">
        <v>20</v>
      </c>
      <c r="I293" s="3" t="str">
        <f aca="false">IF(E293&gt;=TIME(18,0,0),"Y","")</f>
        <v/>
      </c>
      <c r="J293" s="3" t="str">
        <f aca="false">IF(AND(ISNUMBER(F293),F293&gt;TIME(21,0,0)),"Y","")</f>
        <v/>
      </c>
      <c r="K293" s="3" t="s">
        <v>29</v>
      </c>
      <c r="L293" s="3" t="s">
        <v>44</v>
      </c>
      <c r="M293" s="3" t="str">
        <f aca="false">CHOOSE(WEEKDAY(D293),"일","월","화","수","목","금","토")</f>
        <v>금</v>
      </c>
      <c r="N293" s="6" t="s">
        <v>248</v>
      </c>
      <c r="O293" s="3" t="s">
        <v>23</v>
      </c>
      <c r="P293" s="4" t="n">
        <v>46286</v>
      </c>
      <c r="Q293" s="3"/>
    </row>
    <row r="294" customFormat="false" ht="35.05" hidden="false" customHeight="false" outlineLevel="0" collapsed="false">
      <c r="A294" s="3" t="s">
        <v>50</v>
      </c>
      <c r="B294" s="3" t="s">
        <v>51</v>
      </c>
      <c r="C294" s="3" t="s">
        <v>52</v>
      </c>
      <c r="D294" s="4" t="n">
        <v>46297</v>
      </c>
      <c r="E294" s="5" t="n">
        <v>0.604166666666667</v>
      </c>
      <c r="F294" s="5" t="n">
        <v>0.625</v>
      </c>
      <c r="G294" s="3" t="s">
        <v>20</v>
      </c>
      <c r="H294" s="3" t="s">
        <v>20</v>
      </c>
      <c r="I294" s="3" t="str">
        <f aca="false">IF(E294&gt;=TIME(18,0,0),"Y","")</f>
        <v/>
      </c>
      <c r="J294" s="3" t="str">
        <f aca="false">IF(AND(ISNUMBER(F294),F294&gt;TIME(21,0,0)),"Y","")</f>
        <v/>
      </c>
      <c r="K294" s="3" t="s">
        <v>51</v>
      </c>
      <c r="L294" s="3" t="s">
        <v>19</v>
      </c>
      <c r="M294" s="3" t="str">
        <f aca="false">CHOOSE(WEEKDAY(D294),"일","월","화","수","목","금","토")</f>
        <v>금</v>
      </c>
      <c r="N294" s="6" t="s">
        <v>248</v>
      </c>
      <c r="O294" s="3" t="s">
        <v>23</v>
      </c>
      <c r="P294" s="4" t="n">
        <v>46286</v>
      </c>
      <c r="Q294" s="3"/>
    </row>
    <row r="295" customFormat="false" ht="46.25" hidden="false" customHeight="false" outlineLevel="0" collapsed="false">
      <c r="A295" s="3" t="s">
        <v>256</v>
      </c>
      <c r="B295" s="3" t="s">
        <v>18</v>
      </c>
      <c r="C295" s="3" t="s">
        <v>59</v>
      </c>
      <c r="D295" s="4" t="n">
        <v>46297</v>
      </c>
      <c r="E295" s="5" t="n">
        <v>0.604166666666667</v>
      </c>
      <c r="F295" s="5" t="n">
        <v>0.645833333333333</v>
      </c>
      <c r="G295" s="3" t="s">
        <v>60</v>
      </c>
      <c r="H295" s="3" t="s">
        <v>61</v>
      </c>
      <c r="I295" s="3" t="str">
        <f aca="false">IF(E295&gt;=TIME(18,0,0),"Y","")</f>
        <v/>
      </c>
      <c r="J295" s="3" t="str">
        <f aca="false">IF(AND(ISNUMBER(F295),F295&gt;TIME(21,0,0)),"Y","")</f>
        <v/>
      </c>
      <c r="K295" s="3" t="s">
        <v>62</v>
      </c>
      <c r="L295" s="3" t="s">
        <v>19</v>
      </c>
      <c r="M295" s="3" t="str">
        <f aca="false">CHOOSE(WEEKDAY(D295),"일","월","화","수","목","금","토")</f>
        <v>금</v>
      </c>
      <c r="N295" s="6" t="s">
        <v>248</v>
      </c>
      <c r="O295" s="3" t="s">
        <v>23</v>
      </c>
      <c r="P295" s="4" t="n">
        <v>46286</v>
      </c>
      <c r="Q295" s="3" t="s">
        <v>63</v>
      </c>
    </row>
    <row r="296" customFormat="false" ht="35.05" hidden="false" customHeight="false" outlineLevel="0" collapsed="false">
      <c r="A296" s="3" t="s">
        <v>257</v>
      </c>
      <c r="B296" s="3" t="s">
        <v>32</v>
      </c>
      <c r="C296" s="3" t="s">
        <v>43</v>
      </c>
      <c r="D296" s="4" t="n">
        <v>46297</v>
      </c>
      <c r="E296" s="5" t="n">
        <v>0.645833333333333</v>
      </c>
      <c r="F296" s="5" t="n">
        <v>0.666666666666667</v>
      </c>
      <c r="G296" s="3" t="s">
        <v>20</v>
      </c>
      <c r="H296" s="3" t="s">
        <v>20</v>
      </c>
      <c r="I296" s="3" t="str">
        <f aca="false">IF(E296&gt;=TIME(18,0,0),"Y","")</f>
        <v/>
      </c>
      <c r="J296" s="3" t="str">
        <f aca="false">IF(AND(ISNUMBER(F296),F296&gt;TIME(21,0,0)),"Y","")</f>
        <v/>
      </c>
      <c r="K296" s="3" t="s">
        <v>34</v>
      </c>
      <c r="L296" s="3" t="s">
        <v>44</v>
      </c>
      <c r="M296" s="3" t="str">
        <f aca="false">CHOOSE(WEEKDAY(D296),"일","월","화","수","목","금","토")</f>
        <v>금</v>
      </c>
      <c r="N296" s="6" t="s">
        <v>248</v>
      </c>
      <c r="O296" s="3" t="s">
        <v>23</v>
      </c>
      <c r="P296" s="4" t="n">
        <v>46286</v>
      </c>
      <c r="Q296" s="3"/>
    </row>
    <row r="297" customFormat="false" ht="35.05" hidden="false" customHeight="false" outlineLevel="0" collapsed="false">
      <c r="A297" s="3" t="s">
        <v>50</v>
      </c>
      <c r="B297" s="3" t="s">
        <v>51</v>
      </c>
      <c r="C297" s="3" t="s">
        <v>52</v>
      </c>
      <c r="D297" s="4" t="n">
        <v>46297</v>
      </c>
      <c r="E297" s="5" t="n">
        <v>0.666666666666667</v>
      </c>
      <c r="F297" s="5" t="n">
        <v>0.6875</v>
      </c>
      <c r="G297" s="3" t="s">
        <v>20</v>
      </c>
      <c r="H297" s="3" t="s">
        <v>20</v>
      </c>
      <c r="I297" s="3" t="str">
        <f aca="false">IF(E297&gt;=TIME(18,0,0),"Y","")</f>
        <v/>
      </c>
      <c r="J297" s="3" t="str">
        <f aca="false">IF(AND(ISNUMBER(F297),F297&gt;TIME(21,0,0)),"Y","")</f>
        <v/>
      </c>
      <c r="K297" s="3" t="s">
        <v>51</v>
      </c>
      <c r="L297" s="3" t="s">
        <v>19</v>
      </c>
      <c r="M297" s="3" t="str">
        <f aca="false">CHOOSE(WEEKDAY(D297),"일","월","화","수","목","금","토")</f>
        <v>금</v>
      </c>
      <c r="N297" s="6" t="s">
        <v>248</v>
      </c>
      <c r="O297" s="3" t="s">
        <v>23</v>
      </c>
      <c r="P297" s="4" t="n">
        <v>46286</v>
      </c>
      <c r="Q297" s="3"/>
    </row>
    <row r="298" customFormat="false" ht="35.05" hidden="false" customHeight="false" outlineLevel="0" collapsed="false">
      <c r="A298" s="3" t="s">
        <v>158</v>
      </c>
      <c r="B298" s="3" t="s">
        <v>18</v>
      </c>
      <c r="C298" s="3" t="s">
        <v>28</v>
      </c>
      <c r="D298" s="4" t="n">
        <v>46297</v>
      </c>
      <c r="E298" s="5" t="n">
        <v>0.666666666666667</v>
      </c>
      <c r="F298" s="5" t="n">
        <v>0.6875</v>
      </c>
      <c r="G298" s="3" t="s">
        <v>20</v>
      </c>
      <c r="H298" s="3" t="s">
        <v>20</v>
      </c>
      <c r="I298" s="3" t="str">
        <f aca="false">IF(E298&gt;=TIME(18,0,0),"Y","")</f>
        <v/>
      </c>
      <c r="J298" s="3" t="str">
        <f aca="false">IF(AND(ISNUMBER(F298),F298&gt;TIME(21,0,0)),"Y","")</f>
        <v/>
      </c>
      <c r="K298" s="3" t="s">
        <v>66</v>
      </c>
      <c r="L298" s="3" t="s">
        <v>19</v>
      </c>
      <c r="M298" s="3" t="str">
        <f aca="false">CHOOSE(WEEKDAY(D298),"일","월","화","수","목","금","토")</f>
        <v>금</v>
      </c>
      <c r="N298" s="6" t="s">
        <v>248</v>
      </c>
      <c r="O298" s="3" t="s">
        <v>23</v>
      </c>
      <c r="P298" s="4" t="n">
        <v>46286</v>
      </c>
      <c r="Q298" s="3"/>
    </row>
    <row r="299" customFormat="false" ht="35.05" hidden="false" customHeight="false" outlineLevel="0" collapsed="false">
      <c r="A299" s="3" t="s">
        <v>258</v>
      </c>
      <c r="B299" s="3" t="s">
        <v>18</v>
      </c>
      <c r="C299" s="3" t="s">
        <v>43</v>
      </c>
      <c r="D299" s="4" t="n">
        <v>46297</v>
      </c>
      <c r="E299" s="5" t="n">
        <v>0.666666666666667</v>
      </c>
      <c r="F299" s="5" t="n">
        <v>0.6875</v>
      </c>
      <c r="G299" s="3" t="s">
        <v>20</v>
      </c>
      <c r="H299" s="3" t="s">
        <v>20</v>
      </c>
      <c r="I299" s="3" t="str">
        <f aca="false">IF(E299&gt;=TIME(18,0,0),"Y","")</f>
        <v/>
      </c>
      <c r="J299" s="3" t="str">
        <f aca="false">IF(AND(ISNUMBER(F299),F299&gt;TIME(21,0,0)),"Y","")</f>
        <v/>
      </c>
      <c r="K299" s="3" t="s">
        <v>75</v>
      </c>
      <c r="L299" s="3" t="s">
        <v>44</v>
      </c>
      <c r="M299" s="3" t="str">
        <f aca="false">CHOOSE(WEEKDAY(D299),"일","월","화","수","목","금","토")</f>
        <v>금</v>
      </c>
      <c r="N299" s="6" t="s">
        <v>248</v>
      </c>
      <c r="O299" s="3" t="s">
        <v>23</v>
      </c>
      <c r="P299" s="4" t="n">
        <v>46286</v>
      </c>
      <c r="Q299" s="3"/>
    </row>
    <row r="300" customFormat="false" ht="46.25" hidden="false" customHeight="false" outlineLevel="0" collapsed="false">
      <c r="A300" s="3" t="s">
        <v>259</v>
      </c>
      <c r="B300" s="3" t="s">
        <v>18</v>
      </c>
      <c r="C300" s="3" t="s">
        <v>59</v>
      </c>
      <c r="D300" s="4" t="n">
        <v>46297</v>
      </c>
      <c r="E300" s="5" t="n">
        <v>0.6875</v>
      </c>
      <c r="F300" s="5" t="n">
        <v>0.729166666666667</v>
      </c>
      <c r="G300" s="3" t="s">
        <v>60</v>
      </c>
      <c r="H300" s="3" t="s">
        <v>61</v>
      </c>
      <c r="I300" s="3" t="str">
        <f aca="false">IF(E300&gt;=TIME(18,0,0),"Y","")</f>
        <v/>
      </c>
      <c r="J300" s="3" t="str">
        <f aca="false">IF(AND(ISNUMBER(F300),F300&gt;TIME(21,0,0)),"Y","")</f>
        <v/>
      </c>
      <c r="K300" s="3" t="s">
        <v>75</v>
      </c>
      <c r="L300" s="3" t="s">
        <v>19</v>
      </c>
      <c r="M300" s="3" t="str">
        <f aca="false">CHOOSE(WEEKDAY(D300),"일","월","화","수","목","금","토")</f>
        <v>금</v>
      </c>
      <c r="N300" s="6" t="s">
        <v>248</v>
      </c>
      <c r="O300" s="3" t="s">
        <v>23</v>
      </c>
      <c r="P300" s="4" t="n">
        <v>46286</v>
      </c>
      <c r="Q300" s="3" t="s">
        <v>63</v>
      </c>
    </row>
    <row r="301" customFormat="false" ht="35.05" hidden="false" customHeight="false" outlineLevel="0" collapsed="false">
      <c r="A301" s="3" t="s">
        <v>260</v>
      </c>
      <c r="B301" s="3" t="s">
        <v>18</v>
      </c>
      <c r="C301" s="3" t="s">
        <v>43</v>
      </c>
      <c r="D301" s="4" t="n">
        <v>46297</v>
      </c>
      <c r="E301" s="5" t="n">
        <v>0.708333333333333</v>
      </c>
      <c r="F301" s="5" t="n">
        <v>0.729166666666667</v>
      </c>
      <c r="G301" s="3" t="s">
        <v>20</v>
      </c>
      <c r="H301" s="3" t="s">
        <v>20</v>
      </c>
      <c r="I301" s="3" t="str">
        <f aca="false">IF(E301&gt;=TIME(18,0,0),"Y","")</f>
        <v/>
      </c>
      <c r="J301" s="3" t="str">
        <f aca="false">IF(AND(ISNUMBER(F301),F301&gt;TIME(21,0,0)),"Y","")</f>
        <v/>
      </c>
      <c r="K301" s="3" t="s">
        <v>75</v>
      </c>
      <c r="L301" s="3" t="s">
        <v>44</v>
      </c>
      <c r="M301" s="3" t="str">
        <f aca="false">CHOOSE(WEEKDAY(D301),"일","월","화","수","목","금","토")</f>
        <v>금</v>
      </c>
      <c r="N301" s="6" t="s">
        <v>248</v>
      </c>
      <c r="O301" s="3" t="s">
        <v>23</v>
      </c>
      <c r="P301" s="4" t="n">
        <v>46286</v>
      </c>
      <c r="Q301" s="3"/>
    </row>
    <row r="302" customFormat="false" ht="35.05" hidden="false" customHeight="false" outlineLevel="0" collapsed="false">
      <c r="A302" s="3" t="s">
        <v>261</v>
      </c>
      <c r="B302" s="3" t="s">
        <v>18</v>
      </c>
      <c r="C302" s="3" t="s">
        <v>43</v>
      </c>
      <c r="D302" s="4" t="n">
        <v>46297</v>
      </c>
      <c r="E302" s="5" t="n">
        <v>0.729166666666667</v>
      </c>
      <c r="F302" s="5" t="n">
        <v>0.75</v>
      </c>
      <c r="G302" s="3" t="s">
        <v>20</v>
      </c>
      <c r="H302" s="3" t="s">
        <v>20</v>
      </c>
      <c r="I302" s="3" t="str">
        <f aca="false">IF(E302&gt;=TIME(18,0,0),"Y","")</f>
        <v/>
      </c>
      <c r="J302" s="3" t="str">
        <f aca="false">IF(AND(ISNUMBER(F302),F302&gt;TIME(21,0,0)),"Y","")</f>
        <v/>
      </c>
      <c r="K302" s="3" t="s">
        <v>75</v>
      </c>
      <c r="L302" s="3" t="s">
        <v>44</v>
      </c>
      <c r="M302" s="3" t="str">
        <f aca="false">CHOOSE(WEEKDAY(D302),"일","월","화","수","목","금","토")</f>
        <v>금</v>
      </c>
      <c r="N302" s="6" t="s">
        <v>248</v>
      </c>
      <c r="O302" s="3" t="s">
        <v>23</v>
      </c>
      <c r="P302" s="4" t="n">
        <v>46286</v>
      </c>
      <c r="Q302" s="3"/>
    </row>
    <row r="303" customFormat="false" ht="35.05" hidden="false" customHeight="false" outlineLevel="0" collapsed="false">
      <c r="A303" s="3" t="s">
        <v>262</v>
      </c>
      <c r="B303" s="3" t="s">
        <v>18</v>
      </c>
      <c r="C303" s="3" t="s">
        <v>33</v>
      </c>
      <c r="D303" s="4" t="n">
        <v>46297</v>
      </c>
      <c r="E303" s="5" t="n">
        <v>0.75</v>
      </c>
      <c r="F303" s="5" t="n">
        <v>0.791666666666667</v>
      </c>
      <c r="G303" s="3" t="s">
        <v>20</v>
      </c>
      <c r="H303" s="3" t="s">
        <v>20</v>
      </c>
      <c r="I303" s="3" t="str">
        <f aca="false">IF(E303&gt;=TIME(18,0,0),"Y","")</f>
        <v>Y</v>
      </c>
      <c r="J303" s="3" t="str">
        <f aca="false">IF(AND(ISNUMBER(F303),F303&gt;TIME(21,0,0)),"Y","")</f>
        <v/>
      </c>
      <c r="K303" s="3" t="s">
        <v>29</v>
      </c>
      <c r="L303" s="3" t="s">
        <v>35</v>
      </c>
      <c r="M303" s="3" t="str">
        <f aca="false">CHOOSE(WEEKDAY(D303),"일","월","화","수","목","금","토")</f>
        <v>금</v>
      </c>
      <c r="N303" s="6" t="s">
        <v>248</v>
      </c>
      <c r="O303" s="3" t="s">
        <v>23</v>
      </c>
      <c r="P303" s="4" t="n">
        <v>46286</v>
      </c>
      <c r="Q303" s="3"/>
    </row>
    <row r="304" customFormat="false" ht="35.05" hidden="false" customHeight="false" outlineLevel="0" collapsed="false">
      <c r="A304" s="3" t="s">
        <v>263</v>
      </c>
      <c r="B304" s="3" t="s">
        <v>32</v>
      </c>
      <c r="C304" s="3" t="s">
        <v>43</v>
      </c>
      <c r="D304" s="4" t="n">
        <v>46297</v>
      </c>
      <c r="E304" s="5" t="n">
        <v>0.75</v>
      </c>
      <c r="F304" s="5" t="n">
        <v>0.833333333333333</v>
      </c>
      <c r="G304" s="3" t="s">
        <v>20</v>
      </c>
      <c r="H304" s="3" t="s">
        <v>20</v>
      </c>
      <c r="I304" s="3" t="str">
        <f aca="false">IF(E304&gt;=TIME(18,0,0),"Y","")</f>
        <v>Y</v>
      </c>
      <c r="J304" s="3" t="str">
        <f aca="false">IF(AND(ISNUMBER(F304),F304&gt;TIME(21,0,0)),"Y","")</f>
        <v/>
      </c>
      <c r="K304" s="3" t="s">
        <v>34</v>
      </c>
      <c r="L304" s="3" t="s">
        <v>44</v>
      </c>
      <c r="M304" s="3" t="str">
        <f aca="false">CHOOSE(WEEKDAY(D304),"일","월","화","수","목","금","토")</f>
        <v>금</v>
      </c>
      <c r="N304" s="6" t="s">
        <v>248</v>
      </c>
      <c r="O304" s="3" t="s">
        <v>23</v>
      </c>
      <c r="P304" s="4" t="n">
        <v>46286</v>
      </c>
      <c r="Q304" s="3"/>
    </row>
    <row r="305" customFormat="false" ht="46.25" hidden="false" customHeight="false" outlineLevel="0" collapsed="false">
      <c r="A305" s="3" t="s">
        <v>264</v>
      </c>
      <c r="B305" s="3" t="s">
        <v>18</v>
      </c>
      <c r="C305" s="3" t="s">
        <v>59</v>
      </c>
      <c r="D305" s="4" t="n">
        <v>46297</v>
      </c>
      <c r="E305" s="5" t="n">
        <v>0.770833333333333</v>
      </c>
      <c r="F305" s="5" t="n">
        <v>0.8125</v>
      </c>
      <c r="G305" s="3" t="s">
        <v>60</v>
      </c>
      <c r="H305" s="3" t="s">
        <v>61</v>
      </c>
      <c r="I305" s="3" t="str">
        <f aca="false">IF(E305&gt;=TIME(18,0,0),"Y","")</f>
        <v>Y</v>
      </c>
      <c r="J305" s="3" t="str">
        <f aca="false">IF(AND(ISNUMBER(F305),F305&gt;TIME(21,0,0)),"Y","")</f>
        <v/>
      </c>
      <c r="K305" s="3" t="s">
        <v>75</v>
      </c>
      <c r="L305" s="3" t="s">
        <v>19</v>
      </c>
      <c r="M305" s="3" t="str">
        <f aca="false">CHOOSE(WEEKDAY(D305),"일","월","화","수","목","금","토")</f>
        <v>금</v>
      </c>
      <c r="N305" s="6" t="s">
        <v>248</v>
      </c>
      <c r="O305" s="3" t="s">
        <v>23</v>
      </c>
      <c r="P305" s="4" t="n">
        <v>46286</v>
      </c>
      <c r="Q305" s="3" t="s">
        <v>63</v>
      </c>
    </row>
    <row r="306" customFormat="false" ht="35.05" hidden="false" customHeight="false" outlineLevel="0" collapsed="false">
      <c r="A306" s="3" t="s">
        <v>91</v>
      </c>
      <c r="B306" s="3" t="s">
        <v>18</v>
      </c>
      <c r="C306" s="3" t="s">
        <v>87</v>
      </c>
      <c r="D306" s="4" t="n">
        <v>46297</v>
      </c>
      <c r="E306" s="5" t="n">
        <v>0.791666666666667</v>
      </c>
      <c r="F306" s="5" t="n">
        <v>0.833333333333333</v>
      </c>
      <c r="G306" s="3" t="s">
        <v>20</v>
      </c>
      <c r="H306" s="3" t="s">
        <v>20</v>
      </c>
      <c r="I306" s="3" t="str">
        <f aca="false">IF(E306&gt;=TIME(18,0,0),"Y","")</f>
        <v>Y</v>
      </c>
      <c r="J306" s="3" t="str">
        <f aca="false">IF(AND(ISNUMBER(F306),F306&gt;TIME(21,0,0)),"Y","")</f>
        <v/>
      </c>
      <c r="K306" s="3" t="s">
        <v>66</v>
      </c>
      <c r="L306" s="3" t="s">
        <v>26</v>
      </c>
      <c r="M306" s="3" t="str">
        <f aca="false">CHOOSE(WEEKDAY(D306),"일","월","화","수","목","금","토")</f>
        <v>금</v>
      </c>
      <c r="N306" s="6" t="s">
        <v>248</v>
      </c>
      <c r="O306" s="3" t="s">
        <v>23</v>
      </c>
      <c r="P306" s="4" t="n">
        <v>46286</v>
      </c>
      <c r="Q306" s="3"/>
    </row>
    <row r="307" customFormat="false" ht="35.05" hidden="false" customHeight="false" outlineLevel="0" collapsed="false">
      <c r="A307" s="3" t="s">
        <v>244</v>
      </c>
      <c r="B307" s="3" t="s">
        <v>18</v>
      </c>
      <c r="C307" s="3" t="s">
        <v>33</v>
      </c>
      <c r="D307" s="4" t="n">
        <v>46297</v>
      </c>
      <c r="E307" s="5" t="n">
        <v>0.791666666666667</v>
      </c>
      <c r="F307" s="5" t="n">
        <v>0.875</v>
      </c>
      <c r="G307" s="3" t="s">
        <v>20</v>
      </c>
      <c r="H307" s="3" t="s">
        <v>20</v>
      </c>
      <c r="I307" s="3" t="str">
        <f aca="false">IF(E307&gt;=TIME(18,0,0),"Y","")</f>
        <v>Y</v>
      </c>
      <c r="J307" s="3" t="str">
        <f aca="false">IF(AND(ISNUMBER(F307),F307&gt;TIME(21,0,0)),"Y","")</f>
        <v/>
      </c>
      <c r="K307" s="3" t="s">
        <v>107</v>
      </c>
      <c r="L307" s="3" t="s">
        <v>35</v>
      </c>
      <c r="M307" s="3" t="str">
        <f aca="false">CHOOSE(WEEKDAY(D307),"일","월","화","수","목","금","토")</f>
        <v>금</v>
      </c>
      <c r="N307" s="6" t="s">
        <v>248</v>
      </c>
      <c r="O307" s="3" t="s">
        <v>23</v>
      </c>
      <c r="P307" s="4" t="n">
        <v>46286</v>
      </c>
      <c r="Q307" s="3"/>
    </row>
    <row r="308" customFormat="false" ht="46.25" hidden="false" customHeight="false" outlineLevel="0" collapsed="false">
      <c r="A308" s="3" t="s">
        <v>56</v>
      </c>
      <c r="B308" s="3" t="s">
        <v>18</v>
      </c>
      <c r="C308" s="3" t="s">
        <v>59</v>
      </c>
      <c r="D308" s="4" t="n">
        <v>46297</v>
      </c>
      <c r="E308" s="5" t="n">
        <v>0.833333333333333</v>
      </c>
      <c r="F308" s="5" t="n">
        <v>0.875</v>
      </c>
      <c r="G308" s="3" t="s">
        <v>60</v>
      </c>
      <c r="H308" s="3" t="s">
        <v>61</v>
      </c>
      <c r="I308" s="3" t="str">
        <f aca="false">IF(E308&gt;=TIME(18,0,0),"Y","")</f>
        <v>Y</v>
      </c>
      <c r="J308" s="3" t="str">
        <f aca="false">IF(AND(ISNUMBER(F308),F308&gt;TIME(21,0,0)),"Y","")</f>
        <v/>
      </c>
      <c r="K308" s="3" t="s">
        <v>62</v>
      </c>
      <c r="L308" s="3" t="s">
        <v>19</v>
      </c>
      <c r="M308" s="3" t="str">
        <f aca="false">CHOOSE(WEEKDAY(D308),"일","월","화","수","목","금","토")</f>
        <v>금</v>
      </c>
      <c r="N308" s="6" t="s">
        <v>248</v>
      </c>
      <c r="O308" s="3" t="s">
        <v>23</v>
      </c>
      <c r="P308" s="4" t="n">
        <v>46286</v>
      </c>
      <c r="Q308" s="3" t="s">
        <v>63</v>
      </c>
    </row>
    <row r="309" customFormat="false" ht="35.05" hidden="false" customHeight="false" outlineLevel="0" collapsed="false">
      <c r="A309" s="3" t="s">
        <v>265</v>
      </c>
      <c r="B309" s="3" t="s">
        <v>18</v>
      </c>
      <c r="C309" s="3" t="s">
        <v>28</v>
      </c>
      <c r="D309" s="4" t="n">
        <v>46298</v>
      </c>
      <c r="E309" s="5" t="n">
        <v>0.416666666666667</v>
      </c>
      <c r="F309" s="5" t="n">
        <v>0.4375</v>
      </c>
      <c r="G309" s="3" t="s">
        <v>20</v>
      </c>
      <c r="H309" s="3" t="s">
        <v>20</v>
      </c>
      <c r="I309" s="3" t="str">
        <f aca="false">IF(E309&gt;=TIME(18,0,0),"Y","")</f>
        <v/>
      </c>
      <c r="J309" s="3" t="str">
        <f aca="false">IF(AND(ISNUMBER(F309),F309&gt;TIME(21,0,0)),"Y","")</f>
        <v/>
      </c>
      <c r="K309" s="3" t="s">
        <v>29</v>
      </c>
      <c r="L309" s="3" t="s">
        <v>19</v>
      </c>
      <c r="M309" s="3" t="str">
        <f aca="false">CHOOSE(WEEKDAY(D309),"일","월","화","수","목","금","토")</f>
        <v>토</v>
      </c>
      <c r="N309" s="6" t="s">
        <v>266</v>
      </c>
      <c r="O309" s="3" t="s">
        <v>23</v>
      </c>
      <c r="P309" s="4" t="n">
        <v>46286</v>
      </c>
      <c r="Q309" s="3"/>
    </row>
    <row r="310" customFormat="false" ht="46.25" hidden="false" customHeight="false" outlineLevel="0" collapsed="false">
      <c r="A310" s="3" t="s">
        <v>56</v>
      </c>
      <c r="B310" s="3" t="s">
        <v>18</v>
      </c>
      <c r="C310" s="3" t="s">
        <v>59</v>
      </c>
      <c r="D310" s="4" t="n">
        <v>46298</v>
      </c>
      <c r="E310" s="5" t="n">
        <v>0.416666666666667</v>
      </c>
      <c r="F310" s="5" t="n">
        <v>0.458333333333333</v>
      </c>
      <c r="G310" s="3" t="s">
        <v>60</v>
      </c>
      <c r="H310" s="3" t="s">
        <v>61</v>
      </c>
      <c r="I310" s="3" t="str">
        <f aca="false">IF(E310&gt;=TIME(18,0,0),"Y","")</f>
        <v/>
      </c>
      <c r="J310" s="3" t="str">
        <f aca="false">IF(AND(ISNUMBER(F310),F310&gt;TIME(21,0,0)),"Y","")</f>
        <v/>
      </c>
      <c r="K310" s="3" t="s">
        <v>62</v>
      </c>
      <c r="L310" s="3" t="s">
        <v>19</v>
      </c>
      <c r="M310" s="3" t="str">
        <f aca="false">CHOOSE(WEEKDAY(D310),"일","월","화","수","목","금","토")</f>
        <v>토</v>
      </c>
      <c r="N310" s="6" t="s">
        <v>266</v>
      </c>
      <c r="O310" s="3" t="s">
        <v>23</v>
      </c>
      <c r="P310" s="4" t="n">
        <v>46286</v>
      </c>
      <c r="Q310" s="3" t="s">
        <v>63</v>
      </c>
    </row>
    <row r="311" customFormat="false" ht="35.05" hidden="false" customHeight="false" outlineLevel="0" collapsed="false">
      <c r="A311" s="3" t="s">
        <v>267</v>
      </c>
      <c r="B311" s="3" t="s">
        <v>18</v>
      </c>
      <c r="C311" s="3" t="s">
        <v>33</v>
      </c>
      <c r="D311" s="4" t="n">
        <v>46298</v>
      </c>
      <c r="E311" s="5" t="n">
        <v>0.416666666666667</v>
      </c>
      <c r="F311" s="5" t="n">
        <v>0.458333333333333</v>
      </c>
      <c r="G311" s="3" t="s">
        <v>20</v>
      </c>
      <c r="H311" s="3" t="s">
        <v>20</v>
      </c>
      <c r="I311" s="3" t="str">
        <f aca="false">IF(E311&gt;=TIME(18,0,0),"Y","")</f>
        <v/>
      </c>
      <c r="J311" s="3" t="str">
        <f aca="false">IF(AND(ISNUMBER(F311),F311&gt;TIME(21,0,0)),"Y","")</f>
        <v/>
      </c>
      <c r="K311" s="3" t="s">
        <v>75</v>
      </c>
      <c r="L311" s="3" t="s">
        <v>35</v>
      </c>
      <c r="M311" s="3" t="str">
        <f aca="false">CHOOSE(WEEKDAY(D311),"일","월","화","수","목","금","토")</f>
        <v>토</v>
      </c>
      <c r="N311" s="6" t="s">
        <v>266</v>
      </c>
      <c r="O311" s="3" t="s">
        <v>23</v>
      </c>
      <c r="P311" s="4" t="n">
        <v>46286</v>
      </c>
      <c r="Q311" s="3"/>
    </row>
    <row r="312" customFormat="false" ht="35.05" hidden="false" customHeight="false" outlineLevel="0" collapsed="false">
      <c r="A312" s="3" t="s">
        <v>268</v>
      </c>
      <c r="B312" s="3" t="s">
        <v>18</v>
      </c>
      <c r="C312" s="3" t="s">
        <v>28</v>
      </c>
      <c r="D312" s="4" t="n">
        <v>46298</v>
      </c>
      <c r="E312" s="5" t="n">
        <v>0.4375</v>
      </c>
      <c r="F312" s="5" t="n">
        <v>0.458333333333333</v>
      </c>
      <c r="G312" s="3" t="s">
        <v>20</v>
      </c>
      <c r="H312" s="3" t="s">
        <v>20</v>
      </c>
      <c r="I312" s="3" t="str">
        <f aca="false">IF(E312&gt;=TIME(18,0,0),"Y","")</f>
        <v/>
      </c>
      <c r="J312" s="3" t="str">
        <f aca="false">IF(AND(ISNUMBER(F312),F312&gt;TIME(21,0,0)),"Y","")</f>
        <v/>
      </c>
      <c r="K312" s="3" t="s">
        <v>29</v>
      </c>
      <c r="L312" s="3" t="s">
        <v>19</v>
      </c>
      <c r="M312" s="3" t="str">
        <f aca="false">CHOOSE(WEEKDAY(D312),"일","월","화","수","목","금","토")</f>
        <v>토</v>
      </c>
      <c r="N312" s="6" t="s">
        <v>266</v>
      </c>
      <c r="O312" s="3" t="s">
        <v>23</v>
      </c>
      <c r="P312" s="4" t="n">
        <v>46286</v>
      </c>
      <c r="Q312" s="3"/>
    </row>
    <row r="313" customFormat="false" ht="35.05" hidden="false" customHeight="false" outlineLevel="0" collapsed="false">
      <c r="A313" s="3" t="s">
        <v>55</v>
      </c>
      <c r="B313" s="3" t="s">
        <v>51</v>
      </c>
      <c r="C313" s="3" t="s">
        <v>52</v>
      </c>
      <c r="D313" s="4" t="n">
        <v>46298</v>
      </c>
      <c r="E313" s="5" t="n">
        <v>0.458333333333333</v>
      </c>
      <c r="F313" s="5" t="n">
        <v>0.479166666666667</v>
      </c>
      <c r="G313" s="3" t="s">
        <v>20</v>
      </c>
      <c r="H313" s="3" t="s">
        <v>20</v>
      </c>
      <c r="I313" s="3" t="str">
        <f aca="false">IF(E313&gt;=TIME(18,0,0),"Y","")</f>
        <v/>
      </c>
      <c r="J313" s="3" t="str">
        <f aca="false">IF(AND(ISNUMBER(F313),F313&gt;TIME(21,0,0)),"Y","")</f>
        <v/>
      </c>
      <c r="K313" s="3" t="s">
        <v>51</v>
      </c>
      <c r="L313" s="3" t="s">
        <v>19</v>
      </c>
      <c r="M313" s="3" t="str">
        <f aca="false">CHOOSE(WEEKDAY(D313),"일","월","화","수","목","금","토")</f>
        <v>토</v>
      </c>
      <c r="N313" s="6" t="s">
        <v>266</v>
      </c>
      <c r="O313" s="3" t="s">
        <v>23</v>
      </c>
      <c r="P313" s="4" t="n">
        <v>46286</v>
      </c>
      <c r="Q313" s="3"/>
    </row>
    <row r="314" customFormat="false" ht="35.05" hidden="false" customHeight="false" outlineLevel="0" collapsed="false">
      <c r="A314" s="3" t="s">
        <v>269</v>
      </c>
      <c r="B314" s="3" t="s">
        <v>18</v>
      </c>
      <c r="C314" s="3" t="s">
        <v>28</v>
      </c>
      <c r="D314" s="4" t="n">
        <v>46298</v>
      </c>
      <c r="E314" s="5" t="n">
        <v>0.458333333333333</v>
      </c>
      <c r="F314" s="5" t="n">
        <v>0.5</v>
      </c>
      <c r="G314" s="3" t="s">
        <v>20</v>
      </c>
      <c r="H314" s="3" t="s">
        <v>20</v>
      </c>
      <c r="I314" s="3" t="str">
        <f aca="false">IF(E314&gt;=TIME(18,0,0),"Y","")</f>
        <v/>
      </c>
      <c r="J314" s="3" t="str">
        <f aca="false">IF(AND(ISNUMBER(F314),F314&gt;TIME(21,0,0)),"Y","")</f>
        <v/>
      </c>
      <c r="K314" s="3" t="s">
        <v>29</v>
      </c>
      <c r="L314" s="3" t="s">
        <v>19</v>
      </c>
      <c r="M314" s="3" t="str">
        <f aca="false">CHOOSE(WEEKDAY(D314),"일","월","화","수","목","금","토")</f>
        <v>토</v>
      </c>
      <c r="N314" s="6" t="s">
        <v>266</v>
      </c>
      <c r="O314" s="3" t="s">
        <v>23</v>
      </c>
      <c r="P314" s="4" t="n">
        <v>46286</v>
      </c>
      <c r="Q314" s="3"/>
    </row>
    <row r="315" customFormat="false" ht="35.05" hidden="false" customHeight="false" outlineLevel="0" collapsed="false">
      <c r="A315" s="3" t="s">
        <v>270</v>
      </c>
      <c r="B315" s="3" t="s">
        <v>18</v>
      </c>
      <c r="C315" s="3" t="s">
        <v>33</v>
      </c>
      <c r="D315" s="4" t="n">
        <v>46298</v>
      </c>
      <c r="E315" s="5" t="n">
        <v>0.458333333333333</v>
      </c>
      <c r="F315" s="5" t="n">
        <v>0.5</v>
      </c>
      <c r="G315" s="3" t="s">
        <v>20</v>
      </c>
      <c r="H315" s="3" t="s">
        <v>20</v>
      </c>
      <c r="I315" s="3" t="str">
        <f aca="false">IF(E315&gt;=TIME(18,0,0),"Y","")</f>
        <v/>
      </c>
      <c r="J315" s="3" t="str">
        <f aca="false">IF(AND(ISNUMBER(F315),F315&gt;TIME(21,0,0)),"Y","")</f>
        <v/>
      </c>
      <c r="K315" s="3" t="s">
        <v>40</v>
      </c>
      <c r="L315" s="3" t="s">
        <v>35</v>
      </c>
      <c r="M315" s="3" t="str">
        <f aca="false">CHOOSE(WEEKDAY(D315),"일","월","화","수","목","금","토")</f>
        <v>토</v>
      </c>
      <c r="N315" s="6" t="s">
        <v>266</v>
      </c>
      <c r="O315" s="3" t="s">
        <v>23</v>
      </c>
      <c r="P315" s="4" t="n">
        <v>46286</v>
      </c>
      <c r="Q315" s="3"/>
    </row>
    <row r="316" customFormat="false" ht="35.05" hidden="false" customHeight="false" outlineLevel="0" collapsed="false">
      <c r="A316" s="3" t="s">
        <v>42</v>
      </c>
      <c r="B316" s="3" t="s">
        <v>32</v>
      </c>
      <c r="C316" s="3" t="s">
        <v>43</v>
      </c>
      <c r="D316" s="4" t="n">
        <v>46298</v>
      </c>
      <c r="E316" s="5" t="n">
        <v>0.458333333333333</v>
      </c>
      <c r="F316" s="5" t="n">
        <v>0.5</v>
      </c>
      <c r="G316" s="3" t="s">
        <v>20</v>
      </c>
      <c r="H316" s="3" t="s">
        <v>20</v>
      </c>
      <c r="I316" s="3" t="str">
        <f aca="false">IF(E316&gt;=TIME(18,0,0),"Y","")</f>
        <v/>
      </c>
      <c r="J316" s="3" t="str">
        <f aca="false">IF(AND(ISNUMBER(F316),F316&gt;TIME(21,0,0)),"Y","")</f>
        <v/>
      </c>
      <c r="K316" s="3" t="s">
        <v>34</v>
      </c>
      <c r="L316" s="3" t="s">
        <v>44</v>
      </c>
      <c r="M316" s="3" t="str">
        <f aca="false">CHOOSE(WEEKDAY(D316),"일","월","화","수","목","금","토")</f>
        <v>토</v>
      </c>
      <c r="N316" s="6" t="s">
        <v>266</v>
      </c>
      <c r="O316" s="3" t="s">
        <v>23</v>
      </c>
      <c r="P316" s="4" t="n">
        <v>46286</v>
      </c>
      <c r="Q316" s="3"/>
    </row>
    <row r="317" customFormat="false" ht="35.05" hidden="false" customHeight="false" outlineLevel="0" collapsed="false">
      <c r="A317" s="3" t="s">
        <v>50</v>
      </c>
      <c r="B317" s="3" t="s">
        <v>51</v>
      </c>
      <c r="C317" s="3" t="s">
        <v>52</v>
      </c>
      <c r="D317" s="4" t="n">
        <v>46298</v>
      </c>
      <c r="E317" s="5" t="n">
        <v>0.479166666666667</v>
      </c>
      <c r="F317" s="5" t="n">
        <v>0.5</v>
      </c>
      <c r="G317" s="3" t="s">
        <v>20</v>
      </c>
      <c r="H317" s="3" t="s">
        <v>20</v>
      </c>
      <c r="I317" s="3" t="str">
        <f aca="false">IF(E317&gt;=TIME(18,0,0),"Y","")</f>
        <v/>
      </c>
      <c r="J317" s="3" t="str">
        <f aca="false">IF(AND(ISNUMBER(F317),F317&gt;TIME(21,0,0)),"Y","")</f>
        <v/>
      </c>
      <c r="K317" s="3" t="s">
        <v>51</v>
      </c>
      <c r="L317" s="3" t="s">
        <v>19</v>
      </c>
      <c r="M317" s="3" t="str">
        <f aca="false">CHOOSE(WEEKDAY(D317),"일","월","화","수","목","금","토")</f>
        <v>토</v>
      </c>
      <c r="N317" s="6" t="s">
        <v>266</v>
      </c>
      <c r="O317" s="3" t="s">
        <v>23</v>
      </c>
      <c r="P317" s="4" t="n">
        <v>46286</v>
      </c>
      <c r="Q317" s="3"/>
    </row>
    <row r="318" customFormat="false" ht="46.25" hidden="false" customHeight="false" outlineLevel="0" collapsed="false">
      <c r="A318" s="3" t="s">
        <v>271</v>
      </c>
      <c r="B318" s="3" t="s">
        <v>18</v>
      </c>
      <c r="C318" s="3" t="s">
        <v>59</v>
      </c>
      <c r="D318" s="4" t="n">
        <v>46298</v>
      </c>
      <c r="E318" s="5" t="n">
        <v>0.479166666666667</v>
      </c>
      <c r="F318" s="5" t="n">
        <v>0.520833333333333</v>
      </c>
      <c r="G318" s="3" t="s">
        <v>60</v>
      </c>
      <c r="H318" s="3" t="s">
        <v>61</v>
      </c>
      <c r="I318" s="3" t="str">
        <f aca="false">IF(E318&gt;=TIME(18,0,0),"Y","")</f>
        <v/>
      </c>
      <c r="J318" s="3" t="str">
        <f aca="false">IF(AND(ISNUMBER(F318),F318&gt;TIME(21,0,0)),"Y","")</f>
        <v/>
      </c>
      <c r="K318" s="3" t="s">
        <v>75</v>
      </c>
      <c r="L318" s="3" t="s">
        <v>19</v>
      </c>
      <c r="M318" s="3" t="str">
        <f aca="false">CHOOSE(WEEKDAY(D318),"일","월","화","수","목","금","토")</f>
        <v>토</v>
      </c>
      <c r="N318" s="6" t="s">
        <v>266</v>
      </c>
      <c r="O318" s="3" t="s">
        <v>23</v>
      </c>
      <c r="P318" s="4" t="n">
        <v>46286</v>
      </c>
      <c r="Q318" s="3" t="s">
        <v>63</v>
      </c>
    </row>
    <row r="319" customFormat="false" ht="35.05" hidden="false" customHeight="false" outlineLevel="0" collapsed="false">
      <c r="A319" s="3" t="s">
        <v>272</v>
      </c>
      <c r="B319" s="3" t="s">
        <v>18</v>
      </c>
      <c r="C319" s="3" t="s">
        <v>33</v>
      </c>
      <c r="D319" s="4" t="n">
        <v>46298</v>
      </c>
      <c r="E319" s="5" t="n">
        <v>0.5</v>
      </c>
      <c r="F319" s="5" t="n">
        <v>0.520833333333333</v>
      </c>
      <c r="G319" s="3" t="s">
        <v>20</v>
      </c>
      <c r="H319" s="3" t="s">
        <v>20</v>
      </c>
      <c r="I319" s="3" t="str">
        <f aca="false">IF(E319&gt;=TIME(18,0,0),"Y","")</f>
        <v/>
      </c>
      <c r="J319" s="3" t="str">
        <f aca="false">IF(AND(ISNUMBER(F319),F319&gt;TIME(21,0,0)),"Y","")</f>
        <v/>
      </c>
      <c r="K319" s="3" t="s">
        <v>29</v>
      </c>
      <c r="L319" s="3" t="s">
        <v>35</v>
      </c>
      <c r="M319" s="3" t="str">
        <f aca="false">CHOOSE(WEEKDAY(D319),"일","월","화","수","목","금","토")</f>
        <v>토</v>
      </c>
      <c r="N319" s="6" t="s">
        <v>266</v>
      </c>
      <c r="O319" s="3" t="s">
        <v>23</v>
      </c>
      <c r="P319" s="4" t="n">
        <v>46286</v>
      </c>
      <c r="Q319" s="3"/>
    </row>
    <row r="320" customFormat="false" ht="35.05" hidden="false" customHeight="false" outlineLevel="0" collapsed="false">
      <c r="A320" s="3" t="s">
        <v>273</v>
      </c>
      <c r="B320" s="3" t="s">
        <v>32</v>
      </c>
      <c r="C320" s="3" t="s">
        <v>28</v>
      </c>
      <c r="D320" s="4" t="n">
        <v>46298</v>
      </c>
      <c r="E320" s="5" t="n">
        <v>0.5</v>
      </c>
      <c r="F320" s="5" t="n">
        <v>0.541666666666667</v>
      </c>
      <c r="G320" s="3" t="s">
        <v>20</v>
      </c>
      <c r="H320" s="3" t="s">
        <v>20</v>
      </c>
      <c r="I320" s="3" t="str">
        <f aca="false">IF(E320&gt;=TIME(18,0,0),"Y","")</f>
        <v/>
      </c>
      <c r="J320" s="3" t="str">
        <f aca="false">IF(AND(ISNUMBER(F320),F320&gt;TIME(21,0,0)),"Y","")</f>
        <v/>
      </c>
      <c r="K320" s="3" t="s">
        <v>34</v>
      </c>
      <c r="L320" s="3" t="s">
        <v>19</v>
      </c>
      <c r="M320" s="3" t="str">
        <f aca="false">CHOOSE(WEEKDAY(D320),"일","월","화","수","목","금","토")</f>
        <v>토</v>
      </c>
      <c r="N320" s="6" t="s">
        <v>266</v>
      </c>
      <c r="O320" s="3" t="s">
        <v>23</v>
      </c>
      <c r="P320" s="4" t="n">
        <v>46286</v>
      </c>
      <c r="Q320" s="3"/>
    </row>
    <row r="321" customFormat="false" ht="35.05" hidden="false" customHeight="false" outlineLevel="0" collapsed="false">
      <c r="A321" s="3" t="s">
        <v>274</v>
      </c>
      <c r="B321" s="3" t="s">
        <v>18</v>
      </c>
      <c r="C321" s="3" t="s">
        <v>33</v>
      </c>
      <c r="D321" s="4" t="n">
        <v>46298</v>
      </c>
      <c r="E321" s="5" t="n">
        <v>0.520833333333333</v>
      </c>
      <c r="F321" s="5" t="n">
        <v>0.541666666666667</v>
      </c>
      <c r="G321" s="3" t="s">
        <v>20</v>
      </c>
      <c r="H321" s="3" t="s">
        <v>20</v>
      </c>
      <c r="I321" s="3" t="str">
        <f aca="false">IF(E321&gt;=TIME(18,0,0),"Y","")</f>
        <v/>
      </c>
      <c r="J321" s="3" t="str">
        <f aca="false">IF(AND(ISNUMBER(F321),F321&gt;TIME(21,0,0)),"Y","")</f>
        <v/>
      </c>
      <c r="K321" s="3" t="s">
        <v>29</v>
      </c>
      <c r="L321" s="3" t="s">
        <v>35</v>
      </c>
      <c r="M321" s="3" t="str">
        <f aca="false">CHOOSE(WEEKDAY(D321),"일","월","화","수","목","금","토")</f>
        <v>토</v>
      </c>
      <c r="N321" s="6" t="s">
        <v>266</v>
      </c>
      <c r="O321" s="3" t="s">
        <v>23</v>
      </c>
      <c r="P321" s="4" t="n">
        <v>46286</v>
      </c>
      <c r="Q321" s="3"/>
    </row>
    <row r="322" customFormat="false" ht="35.05" hidden="false" customHeight="false" outlineLevel="0" collapsed="false">
      <c r="A322" s="3" t="s">
        <v>50</v>
      </c>
      <c r="B322" s="3" t="s">
        <v>51</v>
      </c>
      <c r="C322" s="3" t="s">
        <v>52</v>
      </c>
      <c r="D322" s="4" t="n">
        <v>46298</v>
      </c>
      <c r="E322" s="5" t="n">
        <v>0.541666666666667</v>
      </c>
      <c r="F322" s="5" t="n">
        <v>0.5625</v>
      </c>
      <c r="G322" s="3" t="s">
        <v>20</v>
      </c>
      <c r="H322" s="3" t="s">
        <v>20</v>
      </c>
      <c r="I322" s="3" t="str">
        <f aca="false">IF(E322&gt;=TIME(18,0,0),"Y","")</f>
        <v/>
      </c>
      <c r="J322" s="3" t="str">
        <f aca="false">IF(AND(ISNUMBER(F322),F322&gt;TIME(21,0,0)),"Y","")</f>
        <v/>
      </c>
      <c r="K322" s="3" t="s">
        <v>51</v>
      </c>
      <c r="L322" s="3" t="s">
        <v>19</v>
      </c>
      <c r="M322" s="3" t="str">
        <f aca="false">CHOOSE(WEEKDAY(D322),"일","월","화","수","목","금","토")</f>
        <v>토</v>
      </c>
      <c r="N322" s="6" t="s">
        <v>266</v>
      </c>
      <c r="O322" s="3" t="s">
        <v>23</v>
      </c>
      <c r="P322" s="4" t="n">
        <v>46286</v>
      </c>
      <c r="Q322" s="3"/>
    </row>
    <row r="323" customFormat="false" ht="35.05" hidden="false" customHeight="false" outlineLevel="0" collapsed="false">
      <c r="A323" s="3" t="s">
        <v>17</v>
      </c>
      <c r="B323" s="3" t="s">
        <v>18</v>
      </c>
      <c r="C323" s="3" t="s">
        <v>19</v>
      </c>
      <c r="D323" s="4" t="n">
        <v>46298</v>
      </c>
      <c r="E323" s="5" t="n">
        <v>0.541666666666667</v>
      </c>
      <c r="F323" s="5" t="n">
        <v>0.583333333333333</v>
      </c>
      <c r="G323" s="3" t="s">
        <v>20</v>
      </c>
      <c r="H323" s="3" t="s">
        <v>20</v>
      </c>
      <c r="I323" s="3" t="str">
        <f aca="false">IF(E323&gt;=TIME(18,0,0),"Y","")</f>
        <v/>
      </c>
      <c r="J323" s="3" t="str">
        <f aca="false">IF(AND(ISNUMBER(F323),F323&gt;TIME(21,0,0)),"Y","")</f>
        <v/>
      </c>
      <c r="K323" s="3" t="s">
        <v>21</v>
      </c>
      <c r="L323" s="3" t="s">
        <v>19</v>
      </c>
      <c r="M323" s="3" t="str">
        <f aca="false">CHOOSE(WEEKDAY(D323),"일","월","화","수","목","금","토")</f>
        <v>토</v>
      </c>
      <c r="N323" s="6" t="s">
        <v>266</v>
      </c>
      <c r="O323" s="3" t="s">
        <v>23</v>
      </c>
      <c r="P323" s="4" t="n">
        <v>46286</v>
      </c>
      <c r="Q323" s="3"/>
    </row>
    <row r="324" customFormat="false" ht="35.05" hidden="false" customHeight="false" outlineLevel="0" collapsed="false">
      <c r="A324" s="3" t="s">
        <v>275</v>
      </c>
      <c r="B324" s="3" t="s">
        <v>18</v>
      </c>
      <c r="C324" s="3" t="s">
        <v>28</v>
      </c>
      <c r="D324" s="4" t="n">
        <v>46298</v>
      </c>
      <c r="E324" s="5" t="n">
        <v>0.541666666666667</v>
      </c>
      <c r="F324" s="5" t="n">
        <v>0.583333333333333</v>
      </c>
      <c r="G324" s="3" t="s">
        <v>20</v>
      </c>
      <c r="H324" s="3" t="s">
        <v>20</v>
      </c>
      <c r="I324" s="3" t="str">
        <f aca="false">IF(E324&gt;=TIME(18,0,0),"Y","")</f>
        <v/>
      </c>
      <c r="J324" s="3" t="str">
        <f aca="false">IF(AND(ISNUMBER(F324),F324&gt;TIME(21,0,0)),"Y","")</f>
        <v/>
      </c>
      <c r="K324" s="3" t="s">
        <v>29</v>
      </c>
      <c r="L324" s="3" t="s">
        <v>19</v>
      </c>
      <c r="M324" s="3" t="str">
        <f aca="false">CHOOSE(WEEKDAY(D324),"일","월","화","수","목","금","토")</f>
        <v>토</v>
      </c>
      <c r="N324" s="6" t="s">
        <v>266</v>
      </c>
      <c r="O324" s="3" t="s">
        <v>23</v>
      </c>
      <c r="P324" s="4" t="n">
        <v>46286</v>
      </c>
      <c r="Q324" s="3"/>
    </row>
    <row r="325" customFormat="false" ht="46.25" hidden="false" customHeight="false" outlineLevel="0" collapsed="false">
      <c r="A325" s="3" t="s">
        <v>276</v>
      </c>
      <c r="B325" s="3" t="s">
        <v>18</v>
      </c>
      <c r="C325" s="3" t="s">
        <v>59</v>
      </c>
      <c r="D325" s="4" t="n">
        <v>46298</v>
      </c>
      <c r="E325" s="5" t="n">
        <v>0.541666666666667</v>
      </c>
      <c r="F325" s="5" t="n">
        <v>0.583333333333333</v>
      </c>
      <c r="G325" s="3" t="s">
        <v>60</v>
      </c>
      <c r="H325" s="3" t="s">
        <v>61</v>
      </c>
      <c r="I325" s="3" t="str">
        <f aca="false">IF(E325&gt;=TIME(18,0,0),"Y","")</f>
        <v/>
      </c>
      <c r="J325" s="3" t="str">
        <f aca="false">IF(AND(ISNUMBER(F325),F325&gt;TIME(21,0,0)),"Y","")</f>
        <v/>
      </c>
      <c r="K325" s="3" t="s">
        <v>62</v>
      </c>
      <c r="L325" s="3" t="s">
        <v>19</v>
      </c>
      <c r="M325" s="3" t="str">
        <f aca="false">CHOOSE(WEEKDAY(D325),"일","월","화","수","목","금","토")</f>
        <v>토</v>
      </c>
      <c r="N325" s="6" t="s">
        <v>266</v>
      </c>
      <c r="O325" s="3" t="s">
        <v>23</v>
      </c>
      <c r="P325" s="4" t="n">
        <v>46286</v>
      </c>
      <c r="Q325" s="3" t="s">
        <v>63</v>
      </c>
    </row>
    <row r="326" customFormat="false" ht="35.05" hidden="false" customHeight="false" outlineLevel="0" collapsed="false">
      <c r="A326" s="3" t="s">
        <v>277</v>
      </c>
      <c r="B326" s="3" t="s">
        <v>18</v>
      </c>
      <c r="C326" s="3" t="s">
        <v>33</v>
      </c>
      <c r="D326" s="4" t="n">
        <v>46298</v>
      </c>
      <c r="E326" s="5" t="n">
        <v>0.541666666666667</v>
      </c>
      <c r="F326" s="5" t="n">
        <v>0.583333333333333</v>
      </c>
      <c r="G326" s="3" t="s">
        <v>20</v>
      </c>
      <c r="H326" s="3" t="s">
        <v>20</v>
      </c>
      <c r="I326" s="3" t="str">
        <f aca="false">IF(E326&gt;=TIME(18,0,0),"Y","")</f>
        <v/>
      </c>
      <c r="J326" s="3" t="str">
        <f aca="false">IF(AND(ISNUMBER(F326),F326&gt;TIME(21,0,0)),"Y","")</f>
        <v/>
      </c>
      <c r="K326" s="3" t="s">
        <v>278</v>
      </c>
      <c r="L326" s="3" t="s">
        <v>35</v>
      </c>
      <c r="M326" s="3" t="str">
        <f aca="false">CHOOSE(WEEKDAY(D326),"일","월","화","수","목","금","토")</f>
        <v>토</v>
      </c>
      <c r="N326" s="6" t="s">
        <v>266</v>
      </c>
      <c r="O326" s="3" t="s">
        <v>23</v>
      </c>
      <c r="P326" s="4" t="n">
        <v>46286</v>
      </c>
      <c r="Q326" s="3"/>
    </row>
    <row r="327" customFormat="false" ht="35.05" hidden="false" customHeight="false" outlineLevel="0" collapsed="false">
      <c r="A327" s="3" t="s">
        <v>81</v>
      </c>
      <c r="B327" s="3" t="s">
        <v>18</v>
      </c>
      <c r="C327" s="3" t="s">
        <v>54</v>
      </c>
      <c r="D327" s="4" t="n">
        <v>46298</v>
      </c>
      <c r="E327" s="5" t="n">
        <v>0.541666666666667</v>
      </c>
      <c r="F327" s="5" t="n">
        <v>0.583333333333333</v>
      </c>
      <c r="G327" s="3" t="s">
        <v>20</v>
      </c>
      <c r="H327" s="3" t="s">
        <v>20</v>
      </c>
      <c r="I327" s="3" t="str">
        <f aca="false">IF(E327&gt;=TIME(18,0,0),"Y","")</f>
        <v/>
      </c>
      <c r="J327" s="3" t="str">
        <f aca="false">IF(AND(ISNUMBER(F327),F327&gt;TIME(21,0,0)),"Y","")</f>
        <v/>
      </c>
      <c r="K327" s="3" t="s">
        <v>66</v>
      </c>
      <c r="L327" s="3" t="s">
        <v>26</v>
      </c>
      <c r="M327" s="3" t="str">
        <f aca="false">CHOOSE(WEEKDAY(D327),"일","월","화","수","목","금","토")</f>
        <v>토</v>
      </c>
      <c r="N327" s="6" t="s">
        <v>266</v>
      </c>
      <c r="O327" s="3" t="s">
        <v>23</v>
      </c>
      <c r="P327" s="4" t="n">
        <v>46286</v>
      </c>
      <c r="Q327" s="3"/>
    </row>
    <row r="328" customFormat="false" ht="35.05" hidden="false" customHeight="false" outlineLevel="0" collapsed="false">
      <c r="A328" s="3" t="s">
        <v>24</v>
      </c>
      <c r="B328" s="3" t="s">
        <v>18</v>
      </c>
      <c r="C328" s="3" t="s">
        <v>253</v>
      </c>
      <c r="D328" s="4" t="n">
        <v>46298</v>
      </c>
      <c r="E328" s="5" t="n">
        <v>0.541666666666667</v>
      </c>
      <c r="F328" s="5" t="n">
        <v>0.625</v>
      </c>
      <c r="G328" s="3" t="s">
        <v>20</v>
      </c>
      <c r="H328" s="3" t="s">
        <v>20</v>
      </c>
      <c r="I328" s="3" t="str">
        <f aca="false">IF(E328&gt;=TIME(18,0,0),"Y","")</f>
        <v/>
      </c>
      <c r="J328" s="3" t="str">
        <f aca="false">IF(AND(ISNUMBER(F328),F328&gt;TIME(21,0,0)),"Y","")</f>
        <v/>
      </c>
      <c r="K328" s="3" t="s">
        <v>21</v>
      </c>
      <c r="L328" s="3" t="s">
        <v>26</v>
      </c>
      <c r="M328" s="3" t="str">
        <f aca="false">CHOOSE(WEEKDAY(D328),"일","월","화","수","목","금","토")</f>
        <v>토</v>
      </c>
      <c r="N328" s="6" t="s">
        <v>266</v>
      </c>
      <c r="O328" s="3" t="s">
        <v>23</v>
      </c>
      <c r="P328" s="4" t="n">
        <v>46286</v>
      </c>
      <c r="Q328" s="3"/>
    </row>
    <row r="329" customFormat="false" ht="35.05" hidden="false" customHeight="false" outlineLevel="0" collapsed="false">
      <c r="A329" s="3" t="s">
        <v>130</v>
      </c>
      <c r="B329" s="3" t="s">
        <v>18</v>
      </c>
      <c r="C329" s="3" t="s">
        <v>52</v>
      </c>
      <c r="D329" s="4" t="n">
        <v>46298</v>
      </c>
      <c r="E329" s="5" t="n">
        <v>0.5625</v>
      </c>
      <c r="F329" s="5" t="n">
        <v>0.583333333333333</v>
      </c>
      <c r="G329" s="3" t="s">
        <v>20</v>
      </c>
      <c r="H329" s="3" t="s">
        <v>20</v>
      </c>
      <c r="I329" s="3" t="str">
        <f aca="false">IF(E329&gt;=TIME(18,0,0),"Y","")</f>
        <v/>
      </c>
      <c r="J329" s="3" t="str">
        <f aca="false">IF(AND(ISNUMBER(F329),F329&gt;TIME(21,0,0)),"Y","")</f>
        <v/>
      </c>
      <c r="K329" s="3" t="s">
        <v>29</v>
      </c>
      <c r="L329" s="3" t="s">
        <v>19</v>
      </c>
      <c r="M329" s="3" t="str">
        <f aca="false">CHOOSE(WEEKDAY(D329),"일","월","화","수","목","금","토")</f>
        <v>토</v>
      </c>
      <c r="N329" s="6" t="s">
        <v>266</v>
      </c>
      <c r="O329" s="3" t="s">
        <v>23</v>
      </c>
      <c r="P329" s="4" t="n">
        <v>46286</v>
      </c>
      <c r="Q329" s="3"/>
    </row>
    <row r="330" customFormat="false" ht="35.05" hidden="false" customHeight="false" outlineLevel="0" collapsed="false">
      <c r="A330" s="3" t="s">
        <v>279</v>
      </c>
      <c r="B330" s="3" t="s">
        <v>18</v>
      </c>
      <c r="C330" s="3" t="s">
        <v>43</v>
      </c>
      <c r="D330" s="4" t="n">
        <v>46298</v>
      </c>
      <c r="E330" s="5" t="n">
        <v>0.5625</v>
      </c>
      <c r="F330" s="5" t="n">
        <v>0.583333333333333</v>
      </c>
      <c r="G330" s="3" t="s">
        <v>20</v>
      </c>
      <c r="H330" s="3" t="s">
        <v>20</v>
      </c>
      <c r="I330" s="3" t="str">
        <f aca="false">IF(E330&gt;=TIME(18,0,0),"Y","")</f>
        <v/>
      </c>
      <c r="J330" s="3" t="str">
        <f aca="false">IF(AND(ISNUMBER(F330),F330&gt;TIME(21,0,0)),"Y","")</f>
        <v/>
      </c>
      <c r="K330" s="3" t="s">
        <v>29</v>
      </c>
      <c r="L330" s="3" t="s">
        <v>44</v>
      </c>
      <c r="M330" s="3" t="str">
        <f aca="false">CHOOSE(WEEKDAY(D330),"일","월","화","수","목","금","토")</f>
        <v>토</v>
      </c>
      <c r="N330" s="6" t="s">
        <v>266</v>
      </c>
      <c r="O330" s="3" t="s">
        <v>23</v>
      </c>
      <c r="P330" s="4" t="n">
        <v>46286</v>
      </c>
      <c r="Q330" s="3"/>
    </row>
    <row r="331" customFormat="false" ht="35.05" hidden="false" customHeight="false" outlineLevel="0" collapsed="false">
      <c r="A331" s="3" t="s">
        <v>280</v>
      </c>
      <c r="B331" s="3" t="s">
        <v>18</v>
      </c>
      <c r="C331" s="3" t="s">
        <v>43</v>
      </c>
      <c r="D331" s="4" t="n">
        <v>46298</v>
      </c>
      <c r="E331" s="5" t="n">
        <v>0.583333333333333</v>
      </c>
      <c r="F331" s="5" t="n">
        <v>0.604166666666667</v>
      </c>
      <c r="G331" s="3" t="s">
        <v>20</v>
      </c>
      <c r="H331" s="3" t="s">
        <v>20</v>
      </c>
      <c r="I331" s="3" t="str">
        <f aca="false">IF(E331&gt;=TIME(18,0,0),"Y","")</f>
        <v/>
      </c>
      <c r="J331" s="3" t="str">
        <f aca="false">IF(AND(ISNUMBER(F331),F331&gt;TIME(21,0,0)),"Y","")</f>
        <v/>
      </c>
      <c r="K331" s="3" t="s">
        <v>75</v>
      </c>
      <c r="L331" s="3" t="s">
        <v>44</v>
      </c>
      <c r="M331" s="3" t="str">
        <f aca="false">CHOOSE(WEEKDAY(D331),"일","월","화","수","목","금","토")</f>
        <v>토</v>
      </c>
      <c r="N331" s="6" t="s">
        <v>266</v>
      </c>
      <c r="O331" s="3" t="s">
        <v>23</v>
      </c>
      <c r="P331" s="4" t="n">
        <v>46286</v>
      </c>
      <c r="Q331" s="3"/>
    </row>
    <row r="332" customFormat="false" ht="35.05" hidden="false" customHeight="false" outlineLevel="0" collapsed="false">
      <c r="A332" s="3" t="s">
        <v>56</v>
      </c>
      <c r="B332" s="3" t="s">
        <v>18</v>
      </c>
      <c r="C332" s="3" t="s">
        <v>57</v>
      </c>
      <c r="D332" s="4" t="n">
        <v>46298</v>
      </c>
      <c r="E332" s="5" t="n">
        <v>0.583333333333333</v>
      </c>
      <c r="F332" s="5" t="n">
        <v>0.625</v>
      </c>
      <c r="G332" s="3" t="s">
        <v>20</v>
      </c>
      <c r="H332" s="3" t="s">
        <v>20</v>
      </c>
      <c r="I332" s="3" t="str">
        <f aca="false">IF(E332&gt;=TIME(18,0,0),"Y","")</f>
        <v/>
      </c>
      <c r="J332" s="3" t="str">
        <f aca="false">IF(AND(ISNUMBER(F332),F332&gt;TIME(21,0,0)),"Y","")</f>
        <v/>
      </c>
      <c r="K332" s="3" t="s">
        <v>48</v>
      </c>
      <c r="L332" s="3" t="s">
        <v>47</v>
      </c>
      <c r="M332" s="3" t="str">
        <f aca="false">CHOOSE(WEEKDAY(D332),"일","월","화","수","목","금","토")</f>
        <v>토</v>
      </c>
      <c r="N332" s="6" t="s">
        <v>266</v>
      </c>
      <c r="O332" s="3" t="s">
        <v>23</v>
      </c>
      <c r="P332" s="4" t="n">
        <v>46286</v>
      </c>
      <c r="Q332" s="3" t="s">
        <v>49</v>
      </c>
    </row>
    <row r="333" customFormat="false" ht="35.05" hidden="false" customHeight="false" outlineLevel="0" collapsed="false">
      <c r="A333" s="3" t="s">
        <v>134</v>
      </c>
      <c r="B333" s="3" t="s">
        <v>18</v>
      </c>
      <c r="C333" s="3" t="s">
        <v>52</v>
      </c>
      <c r="D333" s="4" t="n">
        <v>46298</v>
      </c>
      <c r="E333" s="5" t="n">
        <v>0.583333333333333</v>
      </c>
      <c r="F333" s="5" t="n">
        <v>0.666666666666667</v>
      </c>
      <c r="G333" s="3" t="s">
        <v>20</v>
      </c>
      <c r="H333" s="3" t="s">
        <v>20</v>
      </c>
      <c r="I333" s="3" t="str">
        <f aca="false">IF(E333&gt;=TIME(18,0,0),"Y","")</f>
        <v/>
      </c>
      <c r="J333" s="3" t="str">
        <f aca="false">IF(AND(ISNUMBER(F333),F333&gt;TIME(21,0,0)),"Y","")</f>
        <v/>
      </c>
      <c r="K333" s="3" t="s">
        <v>21</v>
      </c>
      <c r="L333" s="3" t="s">
        <v>19</v>
      </c>
      <c r="M333" s="3" t="str">
        <f aca="false">CHOOSE(WEEKDAY(D333),"일","월","화","수","목","금","토")</f>
        <v>토</v>
      </c>
      <c r="N333" s="6" t="s">
        <v>266</v>
      </c>
      <c r="O333" s="3" t="s">
        <v>23</v>
      </c>
      <c r="P333" s="4" t="n">
        <v>46286</v>
      </c>
      <c r="Q333" s="3"/>
    </row>
    <row r="334" customFormat="false" ht="35.05" hidden="false" customHeight="false" outlineLevel="0" collapsed="false">
      <c r="A334" s="7" t="s">
        <v>281</v>
      </c>
      <c r="B334" s="3" t="s">
        <v>18</v>
      </c>
      <c r="C334" s="3" t="s">
        <v>28</v>
      </c>
      <c r="D334" s="4" t="n">
        <v>46298</v>
      </c>
      <c r="E334" s="5" t="n">
        <v>0.583333333333333</v>
      </c>
      <c r="F334" s="5" t="n">
        <v>0.666666666666667</v>
      </c>
      <c r="G334" s="3" t="s">
        <v>20</v>
      </c>
      <c r="H334" s="3" t="s">
        <v>20</v>
      </c>
      <c r="I334" s="3" t="str">
        <f aca="false">IF(E334&gt;=TIME(18,0,0),"Y","")</f>
        <v/>
      </c>
      <c r="J334" s="3" t="str">
        <f aca="false">IF(AND(ISNUMBER(F334),F334&gt;TIME(21,0,0)),"Y","")</f>
        <v/>
      </c>
      <c r="K334" s="3" t="s">
        <v>40</v>
      </c>
      <c r="L334" s="3" t="s">
        <v>19</v>
      </c>
      <c r="M334" s="3" t="str">
        <f aca="false">CHOOSE(WEEKDAY(D334),"일","월","화","수","목","금","토")</f>
        <v>토</v>
      </c>
      <c r="N334" s="6" t="s">
        <v>266</v>
      </c>
      <c r="O334" s="3" t="s">
        <v>23</v>
      </c>
      <c r="P334" s="4" t="n">
        <v>46286</v>
      </c>
      <c r="Q334" s="3"/>
    </row>
    <row r="335" customFormat="false" ht="35.05" hidden="false" customHeight="false" outlineLevel="0" collapsed="false">
      <c r="A335" s="3" t="s">
        <v>282</v>
      </c>
      <c r="B335" s="3" t="s">
        <v>18</v>
      </c>
      <c r="C335" s="3" t="s">
        <v>43</v>
      </c>
      <c r="D335" s="4" t="n">
        <v>46298</v>
      </c>
      <c r="E335" s="5" t="n">
        <v>0.604166666666667</v>
      </c>
      <c r="F335" s="5" t="n">
        <v>0.625</v>
      </c>
      <c r="G335" s="3" t="s">
        <v>20</v>
      </c>
      <c r="H335" s="3" t="s">
        <v>20</v>
      </c>
      <c r="I335" s="3" t="str">
        <f aca="false">IF(E335&gt;=TIME(18,0,0),"Y","")</f>
        <v/>
      </c>
      <c r="J335" s="3" t="str">
        <f aca="false">IF(AND(ISNUMBER(F335),F335&gt;TIME(21,0,0)),"Y","")</f>
        <v/>
      </c>
      <c r="K335" s="3" t="s">
        <v>29</v>
      </c>
      <c r="L335" s="3" t="s">
        <v>44</v>
      </c>
      <c r="M335" s="3" t="str">
        <f aca="false">CHOOSE(WEEKDAY(D335),"일","월","화","수","목","금","토")</f>
        <v>토</v>
      </c>
      <c r="N335" s="6" t="s">
        <v>266</v>
      </c>
      <c r="O335" s="3" t="s">
        <v>23</v>
      </c>
      <c r="P335" s="4" t="n">
        <v>46286</v>
      </c>
      <c r="Q335" s="3"/>
    </row>
    <row r="336" customFormat="false" ht="46.25" hidden="false" customHeight="false" outlineLevel="0" collapsed="false">
      <c r="A336" s="3" t="s">
        <v>283</v>
      </c>
      <c r="B336" s="3" t="s">
        <v>18</v>
      </c>
      <c r="C336" s="3" t="s">
        <v>59</v>
      </c>
      <c r="D336" s="4" t="n">
        <v>46298</v>
      </c>
      <c r="E336" s="5" t="n">
        <v>0.604166666666667</v>
      </c>
      <c r="F336" s="5" t="n">
        <v>0.645833333333333</v>
      </c>
      <c r="G336" s="3" t="s">
        <v>60</v>
      </c>
      <c r="H336" s="3" t="s">
        <v>61</v>
      </c>
      <c r="I336" s="3" t="str">
        <f aca="false">IF(E336&gt;=TIME(18,0,0),"Y","")</f>
        <v/>
      </c>
      <c r="J336" s="3" t="str">
        <f aca="false">IF(AND(ISNUMBER(F336),F336&gt;TIME(21,0,0)),"Y","")</f>
        <v/>
      </c>
      <c r="K336" s="3" t="s">
        <v>75</v>
      </c>
      <c r="L336" s="3" t="s">
        <v>19</v>
      </c>
      <c r="M336" s="3" t="str">
        <f aca="false">CHOOSE(WEEKDAY(D336),"일","월","화","수","목","금","토")</f>
        <v>토</v>
      </c>
      <c r="N336" s="6" t="s">
        <v>266</v>
      </c>
      <c r="O336" s="3" t="s">
        <v>23</v>
      </c>
      <c r="P336" s="4" t="n">
        <v>46286</v>
      </c>
      <c r="Q336" s="3" t="s">
        <v>63</v>
      </c>
    </row>
    <row r="337" customFormat="false" ht="35.05" hidden="false" customHeight="false" outlineLevel="0" collapsed="false">
      <c r="A337" s="3" t="s">
        <v>284</v>
      </c>
      <c r="B337" s="3" t="s">
        <v>18</v>
      </c>
      <c r="C337" s="3" t="s">
        <v>43</v>
      </c>
      <c r="D337" s="4" t="n">
        <v>46298</v>
      </c>
      <c r="E337" s="5" t="n">
        <v>0.625</v>
      </c>
      <c r="F337" s="5" t="n">
        <v>0.645833333333333</v>
      </c>
      <c r="G337" s="3" t="s">
        <v>20</v>
      </c>
      <c r="H337" s="3" t="s">
        <v>20</v>
      </c>
      <c r="I337" s="3" t="str">
        <f aca="false">IF(E337&gt;=TIME(18,0,0),"Y","")</f>
        <v/>
      </c>
      <c r="J337" s="3" t="str">
        <f aca="false">IF(AND(ISNUMBER(F337),F337&gt;TIME(21,0,0)),"Y","")</f>
        <v/>
      </c>
      <c r="K337" s="3" t="s">
        <v>75</v>
      </c>
      <c r="L337" s="3" t="s">
        <v>44</v>
      </c>
      <c r="M337" s="3" t="str">
        <f aca="false">CHOOSE(WEEKDAY(D337),"일","월","화","수","목","금","토")</f>
        <v>토</v>
      </c>
      <c r="N337" s="6" t="s">
        <v>266</v>
      </c>
      <c r="O337" s="3" t="s">
        <v>23</v>
      </c>
      <c r="P337" s="4" t="n">
        <v>46286</v>
      </c>
      <c r="Q337" s="3"/>
    </row>
    <row r="338" customFormat="false" ht="35.05" hidden="false" customHeight="false" outlineLevel="0" collapsed="false">
      <c r="A338" s="3" t="s">
        <v>17</v>
      </c>
      <c r="B338" s="3" t="s">
        <v>18</v>
      </c>
      <c r="C338" s="3" t="s">
        <v>19</v>
      </c>
      <c r="D338" s="4" t="n">
        <v>46298</v>
      </c>
      <c r="E338" s="5" t="n">
        <v>0.625</v>
      </c>
      <c r="F338" s="5" t="n">
        <v>0.666666666666667</v>
      </c>
      <c r="G338" s="3" t="s">
        <v>20</v>
      </c>
      <c r="H338" s="3" t="s">
        <v>20</v>
      </c>
      <c r="I338" s="3" t="str">
        <f aca="false">IF(E338&gt;=TIME(18,0,0),"Y","")</f>
        <v/>
      </c>
      <c r="J338" s="3" t="str">
        <f aca="false">IF(AND(ISNUMBER(F338),F338&gt;TIME(21,0,0)),"Y","")</f>
        <v/>
      </c>
      <c r="K338" s="3" t="s">
        <v>21</v>
      </c>
      <c r="L338" s="3" t="s">
        <v>19</v>
      </c>
      <c r="M338" s="3" t="str">
        <f aca="false">CHOOSE(WEEKDAY(D338),"일","월","화","수","목","금","토")</f>
        <v>토</v>
      </c>
      <c r="N338" s="6" t="s">
        <v>266</v>
      </c>
      <c r="O338" s="3" t="s">
        <v>23</v>
      </c>
      <c r="P338" s="4" t="n">
        <v>46286</v>
      </c>
      <c r="Q338" s="3"/>
    </row>
    <row r="339" customFormat="false" ht="35.05" hidden="false" customHeight="false" outlineLevel="0" collapsed="false">
      <c r="A339" s="3" t="s">
        <v>91</v>
      </c>
      <c r="B339" s="3" t="s">
        <v>18</v>
      </c>
      <c r="C339" s="3" t="s">
        <v>87</v>
      </c>
      <c r="D339" s="4" t="n">
        <v>46298</v>
      </c>
      <c r="E339" s="5" t="n">
        <v>0.625</v>
      </c>
      <c r="F339" s="5" t="n">
        <v>0.666666666666667</v>
      </c>
      <c r="G339" s="3" t="s">
        <v>20</v>
      </c>
      <c r="H339" s="3" t="s">
        <v>20</v>
      </c>
      <c r="I339" s="3" t="str">
        <f aca="false">IF(E339&gt;=TIME(18,0,0),"Y","")</f>
        <v/>
      </c>
      <c r="J339" s="3" t="str">
        <f aca="false">IF(AND(ISNUMBER(F339),F339&gt;TIME(21,0,0)),"Y","")</f>
        <v/>
      </c>
      <c r="K339" s="3" t="s">
        <v>66</v>
      </c>
      <c r="L339" s="3" t="s">
        <v>26</v>
      </c>
      <c r="M339" s="3" t="str">
        <f aca="false">CHOOSE(WEEKDAY(D339),"일","월","화","수","목","금","토")</f>
        <v>토</v>
      </c>
      <c r="N339" s="6" t="s">
        <v>266</v>
      </c>
      <c r="O339" s="3" t="s">
        <v>23</v>
      </c>
      <c r="P339" s="4" t="n">
        <v>46286</v>
      </c>
      <c r="Q339" s="3"/>
    </row>
    <row r="340" customFormat="false" ht="35.05" hidden="false" customHeight="false" outlineLevel="0" collapsed="false">
      <c r="A340" s="3" t="s">
        <v>285</v>
      </c>
      <c r="B340" s="3" t="s">
        <v>85</v>
      </c>
      <c r="C340" s="3" t="s">
        <v>33</v>
      </c>
      <c r="D340" s="4" t="n">
        <v>46298</v>
      </c>
      <c r="E340" s="5" t="n">
        <v>0.625</v>
      </c>
      <c r="F340" s="5" t="n">
        <v>0.75</v>
      </c>
      <c r="G340" s="3" t="s">
        <v>20</v>
      </c>
      <c r="H340" s="3" t="s">
        <v>20</v>
      </c>
      <c r="I340" s="3" t="str">
        <f aca="false">IF(E340&gt;=TIME(18,0,0),"Y","")</f>
        <v/>
      </c>
      <c r="J340" s="3" t="str">
        <f aca="false">IF(AND(ISNUMBER(F340),F340&gt;TIME(21,0,0)),"Y","")</f>
        <v/>
      </c>
      <c r="K340" s="3" t="s">
        <v>86</v>
      </c>
      <c r="L340" s="3" t="s">
        <v>35</v>
      </c>
      <c r="M340" s="3" t="str">
        <f aca="false">CHOOSE(WEEKDAY(D340),"일","월","화","수","목","금","토")</f>
        <v>토</v>
      </c>
      <c r="N340" s="6" t="s">
        <v>266</v>
      </c>
      <c r="O340" s="3" t="s">
        <v>23</v>
      </c>
      <c r="P340" s="4" t="n">
        <v>46286</v>
      </c>
      <c r="Q340" s="3"/>
    </row>
    <row r="341" customFormat="false" ht="35.05" hidden="false" customHeight="false" outlineLevel="0" collapsed="false">
      <c r="A341" s="3" t="s">
        <v>286</v>
      </c>
      <c r="B341" s="3" t="s">
        <v>18</v>
      </c>
      <c r="C341" s="3" t="s">
        <v>43</v>
      </c>
      <c r="D341" s="4" t="n">
        <v>46298</v>
      </c>
      <c r="E341" s="5" t="n">
        <v>0.645833333333333</v>
      </c>
      <c r="F341" s="5" t="n">
        <v>0.666666666666667</v>
      </c>
      <c r="G341" s="3" t="s">
        <v>20</v>
      </c>
      <c r="H341" s="3" t="s">
        <v>20</v>
      </c>
      <c r="I341" s="3" t="str">
        <f aca="false">IF(E341&gt;=TIME(18,0,0),"Y","")</f>
        <v/>
      </c>
      <c r="J341" s="3" t="str">
        <f aca="false">IF(AND(ISNUMBER(F341),F341&gt;TIME(21,0,0)),"Y","")</f>
        <v/>
      </c>
      <c r="K341" s="3" t="s">
        <v>75</v>
      </c>
      <c r="L341" s="3" t="s">
        <v>44</v>
      </c>
      <c r="M341" s="3" t="str">
        <f aca="false">CHOOSE(WEEKDAY(D341),"일","월","화","수","목","금","토")</f>
        <v>토</v>
      </c>
      <c r="N341" s="6" t="s">
        <v>266</v>
      </c>
      <c r="O341" s="3" t="s">
        <v>23</v>
      </c>
      <c r="P341" s="4" t="n">
        <v>46286</v>
      </c>
      <c r="Q341" s="3"/>
    </row>
    <row r="342" customFormat="false" ht="35.05" hidden="false" customHeight="false" outlineLevel="0" collapsed="false">
      <c r="A342" s="3" t="s">
        <v>287</v>
      </c>
      <c r="B342" s="3" t="s">
        <v>18</v>
      </c>
      <c r="C342" s="3" t="s">
        <v>57</v>
      </c>
      <c r="D342" s="4" t="n">
        <v>46298</v>
      </c>
      <c r="E342" s="5" t="n">
        <v>0.645833333333333</v>
      </c>
      <c r="F342" s="5" t="n">
        <v>0.6875</v>
      </c>
      <c r="G342" s="3" t="s">
        <v>20</v>
      </c>
      <c r="H342" s="3" t="s">
        <v>20</v>
      </c>
      <c r="I342" s="3" t="str">
        <f aca="false">IF(E342&gt;=TIME(18,0,0),"Y","")</f>
        <v/>
      </c>
      <c r="J342" s="3" t="str">
        <f aca="false">IF(AND(ISNUMBER(F342),F342&gt;TIME(21,0,0)),"Y","")</f>
        <v/>
      </c>
      <c r="K342" s="3" t="s">
        <v>48</v>
      </c>
      <c r="L342" s="3" t="s">
        <v>47</v>
      </c>
      <c r="M342" s="3" t="str">
        <f aca="false">CHOOSE(WEEKDAY(D342),"일","월","화","수","목","금","토")</f>
        <v>토</v>
      </c>
      <c r="N342" s="6" t="s">
        <v>266</v>
      </c>
      <c r="O342" s="3" t="s">
        <v>23</v>
      </c>
      <c r="P342" s="4" t="n">
        <v>46286</v>
      </c>
      <c r="Q342" s="3" t="s">
        <v>49</v>
      </c>
    </row>
    <row r="343" customFormat="false" ht="35.05" hidden="false" customHeight="false" outlineLevel="0" collapsed="false">
      <c r="A343" s="3" t="s">
        <v>50</v>
      </c>
      <c r="B343" s="3" t="s">
        <v>51</v>
      </c>
      <c r="C343" s="3" t="s">
        <v>52</v>
      </c>
      <c r="D343" s="4" t="n">
        <v>46298</v>
      </c>
      <c r="E343" s="5" t="n">
        <v>0.666666666666667</v>
      </c>
      <c r="F343" s="5" t="n">
        <v>0.6875</v>
      </c>
      <c r="G343" s="3" t="s">
        <v>20</v>
      </c>
      <c r="H343" s="3" t="s">
        <v>20</v>
      </c>
      <c r="I343" s="3" t="str">
        <f aca="false">IF(E343&gt;=TIME(18,0,0),"Y","")</f>
        <v/>
      </c>
      <c r="J343" s="3" t="str">
        <f aca="false">IF(AND(ISNUMBER(F343),F343&gt;TIME(21,0,0)),"Y","")</f>
        <v/>
      </c>
      <c r="K343" s="3" t="s">
        <v>51</v>
      </c>
      <c r="L343" s="3" t="s">
        <v>19</v>
      </c>
      <c r="M343" s="3" t="str">
        <f aca="false">CHOOSE(WEEKDAY(D343),"일","월","화","수","목","금","토")</f>
        <v>토</v>
      </c>
      <c r="N343" s="6" t="s">
        <v>266</v>
      </c>
      <c r="O343" s="3" t="s">
        <v>23</v>
      </c>
      <c r="P343" s="4" t="n">
        <v>46286</v>
      </c>
      <c r="Q343" s="3"/>
    </row>
    <row r="344" customFormat="false" ht="35.05" hidden="false" customHeight="false" outlineLevel="0" collapsed="false">
      <c r="A344" s="3" t="s">
        <v>161</v>
      </c>
      <c r="B344" s="3" t="s">
        <v>18</v>
      </c>
      <c r="C344" s="3" t="s">
        <v>43</v>
      </c>
      <c r="D344" s="4" t="n">
        <v>46298</v>
      </c>
      <c r="E344" s="5" t="n">
        <v>0.666666666666667</v>
      </c>
      <c r="F344" s="5" t="n">
        <v>0.6875</v>
      </c>
      <c r="G344" s="3" t="s">
        <v>20</v>
      </c>
      <c r="H344" s="3" t="s">
        <v>20</v>
      </c>
      <c r="I344" s="3" t="str">
        <f aca="false">IF(E344&gt;=TIME(18,0,0),"Y","")</f>
        <v/>
      </c>
      <c r="J344" s="3" t="str">
        <f aca="false">IF(AND(ISNUMBER(F344),F344&gt;TIME(21,0,0)),"Y","")</f>
        <v/>
      </c>
      <c r="K344" s="3" t="s">
        <v>75</v>
      </c>
      <c r="L344" s="3" t="s">
        <v>44</v>
      </c>
      <c r="M344" s="3" t="str">
        <f aca="false">CHOOSE(WEEKDAY(D344),"일","월","화","수","목","금","토")</f>
        <v>토</v>
      </c>
      <c r="N344" s="6" t="s">
        <v>266</v>
      </c>
      <c r="O344" s="3" t="s">
        <v>23</v>
      </c>
      <c r="P344" s="4" t="n">
        <v>46286</v>
      </c>
      <c r="Q344" s="3"/>
    </row>
    <row r="345" customFormat="false" ht="35.05" hidden="false" customHeight="false" outlineLevel="0" collapsed="false">
      <c r="A345" s="3" t="s">
        <v>288</v>
      </c>
      <c r="B345" s="3" t="s">
        <v>32</v>
      </c>
      <c r="C345" s="3" t="s">
        <v>28</v>
      </c>
      <c r="D345" s="4" t="n">
        <v>46298</v>
      </c>
      <c r="E345" s="5" t="n">
        <v>0.666666666666667</v>
      </c>
      <c r="F345" s="5" t="n">
        <v>0.708333333333333</v>
      </c>
      <c r="G345" s="3" t="s">
        <v>20</v>
      </c>
      <c r="H345" s="3" t="s">
        <v>20</v>
      </c>
      <c r="I345" s="3" t="str">
        <f aca="false">IF(E345&gt;=TIME(18,0,0),"Y","")</f>
        <v/>
      </c>
      <c r="J345" s="3" t="str">
        <f aca="false">IF(AND(ISNUMBER(F345),F345&gt;TIME(21,0,0)),"Y","")</f>
        <v/>
      </c>
      <c r="K345" s="3" t="s">
        <v>34</v>
      </c>
      <c r="L345" s="3" t="s">
        <v>19</v>
      </c>
      <c r="M345" s="3" t="str">
        <f aca="false">CHOOSE(WEEKDAY(D345),"일","월","화","수","목","금","토")</f>
        <v>토</v>
      </c>
      <c r="N345" s="6" t="s">
        <v>266</v>
      </c>
      <c r="O345" s="3" t="s">
        <v>23</v>
      </c>
      <c r="P345" s="4" t="n">
        <v>46286</v>
      </c>
      <c r="Q345" s="3"/>
    </row>
    <row r="346" customFormat="false" ht="46.25" hidden="false" customHeight="false" outlineLevel="0" collapsed="false">
      <c r="A346" s="3" t="s">
        <v>289</v>
      </c>
      <c r="B346" s="3" t="s">
        <v>18</v>
      </c>
      <c r="C346" s="3" t="s">
        <v>59</v>
      </c>
      <c r="D346" s="4" t="n">
        <v>46298</v>
      </c>
      <c r="E346" s="5" t="n">
        <v>0.666666666666667</v>
      </c>
      <c r="F346" s="5" t="n">
        <v>0.708333333333333</v>
      </c>
      <c r="G346" s="3" t="s">
        <v>60</v>
      </c>
      <c r="H346" s="3" t="s">
        <v>61</v>
      </c>
      <c r="I346" s="3" t="str">
        <f aca="false">IF(E346&gt;=TIME(18,0,0),"Y","")</f>
        <v/>
      </c>
      <c r="J346" s="3" t="str">
        <f aca="false">IF(AND(ISNUMBER(F346),F346&gt;TIME(21,0,0)),"Y","")</f>
        <v/>
      </c>
      <c r="K346" s="3" t="s">
        <v>62</v>
      </c>
      <c r="L346" s="3" t="s">
        <v>19</v>
      </c>
      <c r="M346" s="3" t="str">
        <f aca="false">CHOOSE(WEEKDAY(D346),"일","월","화","수","목","금","토")</f>
        <v>토</v>
      </c>
      <c r="N346" s="6" t="s">
        <v>266</v>
      </c>
      <c r="O346" s="3" t="s">
        <v>23</v>
      </c>
      <c r="P346" s="4" t="n">
        <v>46286</v>
      </c>
      <c r="Q346" s="3" t="s">
        <v>63</v>
      </c>
    </row>
    <row r="347" customFormat="false" ht="35.05" hidden="false" customHeight="false" outlineLevel="0" collapsed="false">
      <c r="A347" s="3" t="s">
        <v>141</v>
      </c>
      <c r="B347" s="3" t="s">
        <v>18</v>
      </c>
      <c r="C347" s="3" t="s">
        <v>52</v>
      </c>
      <c r="D347" s="4" t="n">
        <v>46298</v>
      </c>
      <c r="E347" s="5" t="n">
        <v>0.6875</v>
      </c>
      <c r="F347" s="5" t="n">
        <v>0.708333333333333</v>
      </c>
      <c r="G347" s="3" t="s">
        <v>20</v>
      </c>
      <c r="H347" s="3" t="s">
        <v>20</v>
      </c>
      <c r="I347" s="3" t="str">
        <f aca="false">IF(E347&gt;=TIME(18,0,0),"Y","")</f>
        <v/>
      </c>
      <c r="J347" s="3" t="str">
        <f aca="false">IF(AND(ISNUMBER(F347),F347&gt;TIME(21,0,0)),"Y","")</f>
        <v/>
      </c>
      <c r="K347" s="3" t="s">
        <v>29</v>
      </c>
      <c r="L347" s="3" t="s">
        <v>19</v>
      </c>
      <c r="M347" s="3" t="str">
        <f aca="false">CHOOSE(WEEKDAY(D347),"일","월","화","수","목","금","토")</f>
        <v>토</v>
      </c>
      <c r="N347" s="6" t="s">
        <v>266</v>
      </c>
      <c r="O347" s="3" t="s">
        <v>23</v>
      </c>
      <c r="P347" s="4" t="n">
        <v>46286</v>
      </c>
      <c r="Q347" s="3"/>
    </row>
    <row r="348" customFormat="false" ht="35.05" hidden="false" customHeight="false" outlineLevel="0" collapsed="false">
      <c r="A348" s="3" t="s">
        <v>282</v>
      </c>
      <c r="B348" s="3" t="s">
        <v>18</v>
      </c>
      <c r="C348" s="3" t="s">
        <v>43</v>
      </c>
      <c r="D348" s="4" t="n">
        <v>46298</v>
      </c>
      <c r="E348" s="5" t="n">
        <v>0.6875</v>
      </c>
      <c r="F348" s="5" t="n">
        <v>0.729166666666667</v>
      </c>
      <c r="G348" s="3" t="s">
        <v>20</v>
      </c>
      <c r="H348" s="3" t="s">
        <v>20</v>
      </c>
      <c r="I348" s="3" t="str">
        <f aca="false">IF(E348&gt;=TIME(18,0,0),"Y","")</f>
        <v/>
      </c>
      <c r="J348" s="3" t="str">
        <f aca="false">IF(AND(ISNUMBER(F348),F348&gt;TIME(21,0,0)),"Y","")</f>
        <v/>
      </c>
      <c r="K348" s="3" t="s">
        <v>29</v>
      </c>
      <c r="L348" s="3" t="s">
        <v>44</v>
      </c>
      <c r="M348" s="3" t="str">
        <f aca="false">CHOOSE(WEEKDAY(D348),"일","월","화","수","목","금","토")</f>
        <v>토</v>
      </c>
      <c r="N348" s="6" t="s">
        <v>266</v>
      </c>
      <c r="O348" s="3" t="s">
        <v>23</v>
      </c>
      <c r="P348" s="4" t="n">
        <v>46286</v>
      </c>
      <c r="Q348" s="3"/>
    </row>
    <row r="349" customFormat="false" ht="35.05" hidden="false" customHeight="false" outlineLevel="0" collapsed="false">
      <c r="A349" s="3" t="s">
        <v>55</v>
      </c>
      <c r="B349" s="3" t="s">
        <v>51</v>
      </c>
      <c r="C349" s="3" t="s">
        <v>52</v>
      </c>
      <c r="D349" s="4" t="n">
        <v>46298</v>
      </c>
      <c r="E349" s="5" t="n">
        <v>0.708333333333333</v>
      </c>
      <c r="F349" s="5" t="n">
        <v>0.729166666666667</v>
      </c>
      <c r="G349" s="3" t="s">
        <v>20</v>
      </c>
      <c r="H349" s="3" t="s">
        <v>20</v>
      </c>
      <c r="I349" s="3" t="str">
        <f aca="false">IF(E349&gt;=TIME(18,0,0),"Y","")</f>
        <v/>
      </c>
      <c r="J349" s="3" t="str">
        <f aca="false">IF(AND(ISNUMBER(F349),F349&gt;TIME(21,0,0)),"Y","")</f>
        <v/>
      </c>
      <c r="K349" s="3" t="s">
        <v>51</v>
      </c>
      <c r="L349" s="3" t="s">
        <v>19</v>
      </c>
      <c r="M349" s="3" t="str">
        <f aca="false">CHOOSE(WEEKDAY(D349),"일","월","화","수","목","금","토")</f>
        <v>토</v>
      </c>
      <c r="N349" s="6" t="s">
        <v>266</v>
      </c>
      <c r="O349" s="3" t="s">
        <v>23</v>
      </c>
      <c r="P349" s="4" t="n">
        <v>46286</v>
      </c>
      <c r="Q349" s="3"/>
    </row>
    <row r="350" customFormat="false" ht="35.05" hidden="false" customHeight="false" outlineLevel="0" collapsed="false">
      <c r="A350" s="3" t="s">
        <v>17</v>
      </c>
      <c r="B350" s="3" t="s">
        <v>18</v>
      </c>
      <c r="C350" s="3" t="s">
        <v>19</v>
      </c>
      <c r="D350" s="4" t="n">
        <v>46298</v>
      </c>
      <c r="E350" s="5" t="n">
        <v>0.708333333333333</v>
      </c>
      <c r="F350" s="5" t="n">
        <v>0.75</v>
      </c>
      <c r="G350" s="3" t="s">
        <v>20</v>
      </c>
      <c r="H350" s="3" t="s">
        <v>20</v>
      </c>
      <c r="I350" s="3" t="str">
        <f aca="false">IF(E350&gt;=TIME(18,0,0),"Y","")</f>
        <v/>
      </c>
      <c r="J350" s="3" t="str">
        <f aca="false">IF(AND(ISNUMBER(F350),F350&gt;TIME(21,0,0)),"Y","")</f>
        <v/>
      </c>
      <c r="K350" s="3" t="s">
        <v>21</v>
      </c>
      <c r="L350" s="3" t="s">
        <v>19</v>
      </c>
      <c r="M350" s="3" t="str">
        <f aca="false">CHOOSE(WEEKDAY(D350),"일","월","화","수","목","금","토")</f>
        <v>토</v>
      </c>
      <c r="N350" s="6" t="s">
        <v>266</v>
      </c>
      <c r="O350" s="3" t="s">
        <v>23</v>
      </c>
      <c r="P350" s="4" t="n">
        <v>46286</v>
      </c>
      <c r="Q350" s="3"/>
    </row>
    <row r="351" customFormat="false" ht="35.05" hidden="false" customHeight="false" outlineLevel="0" collapsed="false">
      <c r="A351" s="3" t="s">
        <v>290</v>
      </c>
      <c r="B351" s="3" t="s">
        <v>32</v>
      </c>
      <c r="C351" s="3" t="s">
        <v>28</v>
      </c>
      <c r="D351" s="4" t="n">
        <v>46298</v>
      </c>
      <c r="E351" s="5" t="n">
        <v>0.708333333333333</v>
      </c>
      <c r="F351" s="5" t="n">
        <v>0.75</v>
      </c>
      <c r="G351" s="3" t="s">
        <v>20</v>
      </c>
      <c r="H351" s="3" t="s">
        <v>20</v>
      </c>
      <c r="I351" s="3" t="str">
        <f aca="false">IF(E351&gt;=TIME(18,0,0),"Y","")</f>
        <v/>
      </c>
      <c r="J351" s="3" t="str">
        <f aca="false">IF(AND(ISNUMBER(F351),F351&gt;TIME(21,0,0)),"Y","")</f>
        <v/>
      </c>
      <c r="K351" s="3" t="s">
        <v>34</v>
      </c>
      <c r="L351" s="3" t="s">
        <v>19</v>
      </c>
      <c r="M351" s="3" t="str">
        <f aca="false">CHOOSE(WEEKDAY(D351),"일","월","화","수","목","금","토")</f>
        <v>토</v>
      </c>
      <c r="N351" s="6" t="s">
        <v>266</v>
      </c>
      <c r="O351" s="3" t="s">
        <v>23</v>
      </c>
      <c r="P351" s="4" t="n">
        <v>46286</v>
      </c>
      <c r="Q351" s="3"/>
    </row>
    <row r="352" customFormat="false" ht="35.05" hidden="false" customHeight="false" outlineLevel="0" collapsed="false">
      <c r="A352" s="3" t="s">
        <v>136</v>
      </c>
      <c r="B352" s="3" t="s">
        <v>32</v>
      </c>
      <c r="C352" s="3" t="s">
        <v>52</v>
      </c>
      <c r="D352" s="4" t="n">
        <v>46298</v>
      </c>
      <c r="E352" s="5" t="n">
        <v>0.729166666666667</v>
      </c>
      <c r="F352" s="5" t="n">
        <v>0.75</v>
      </c>
      <c r="G352" s="3" t="s">
        <v>20</v>
      </c>
      <c r="H352" s="3" t="s">
        <v>20</v>
      </c>
      <c r="I352" s="3" t="str">
        <f aca="false">IF(E352&gt;=TIME(18,0,0),"Y","")</f>
        <v/>
      </c>
      <c r="J352" s="3" t="str">
        <f aca="false">IF(AND(ISNUMBER(F352),F352&gt;TIME(21,0,0)),"Y","")</f>
        <v/>
      </c>
      <c r="K352" s="3" t="s">
        <v>34</v>
      </c>
      <c r="L352" s="3" t="s">
        <v>19</v>
      </c>
      <c r="M352" s="3" t="str">
        <f aca="false">CHOOSE(WEEKDAY(D352),"일","월","화","수","목","금","토")</f>
        <v>토</v>
      </c>
      <c r="N352" s="6" t="s">
        <v>266</v>
      </c>
      <c r="O352" s="3" t="s">
        <v>23</v>
      </c>
      <c r="P352" s="4" t="n">
        <v>46286</v>
      </c>
      <c r="Q352" s="3"/>
    </row>
    <row r="353" customFormat="false" ht="46.25" hidden="false" customHeight="false" outlineLevel="0" collapsed="false">
      <c r="A353" s="3" t="s">
        <v>291</v>
      </c>
      <c r="B353" s="3" t="s">
        <v>18</v>
      </c>
      <c r="C353" s="3" t="s">
        <v>59</v>
      </c>
      <c r="D353" s="4" t="n">
        <v>46298</v>
      </c>
      <c r="E353" s="5" t="n">
        <v>0.729166666666667</v>
      </c>
      <c r="F353" s="5" t="n">
        <v>0.770833333333333</v>
      </c>
      <c r="G353" s="3" t="s">
        <v>60</v>
      </c>
      <c r="H353" s="3" t="s">
        <v>61</v>
      </c>
      <c r="I353" s="3" t="str">
        <f aca="false">IF(E353&gt;=TIME(18,0,0),"Y","")</f>
        <v/>
      </c>
      <c r="J353" s="3" t="str">
        <f aca="false">IF(AND(ISNUMBER(F353),F353&gt;TIME(21,0,0)),"Y","")</f>
        <v/>
      </c>
      <c r="K353" s="3" t="s">
        <v>75</v>
      </c>
      <c r="L353" s="3" t="s">
        <v>19</v>
      </c>
      <c r="M353" s="3" t="str">
        <f aca="false">CHOOSE(WEEKDAY(D353),"일","월","화","수","목","금","토")</f>
        <v>토</v>
      </c>
      <c r="N353" s="6" t="s">
        <v>266</v>
      </c>
      <c r="O353" s="3" t="s">
        <v>23</v>
      </c>
      <c r="P353" s="4" t="n">
        <v>46286</v>
      </c>
      <c r="Q353" s="3" t="s">
        <v>63</v>
      </c>
    </row>
    <row r="354" customFormat="false" ht="35.05" hidden="false" customHeight="false" outlineLevel="0" collapsed="false">
      <c r="A354" s="3" t="s">
        <v>272</v>
      </c>
      <c r="B354" s="3" t="s">
        <v>18</v>
      </c>
      <c r="C354" s="3" t="s">
        <v>52</v>
      </c>
      <c r="D354" s="4" t="n">
        <v>46298</v>
      </c>
      <c r="E354" s="5" t="n">
        <v>0.75</v>
      </c>
      <c r="F354" s="5" t="n">
        <v>0.770833333333333</v>
      </c>
      <c r="G354" s="3" t="s">
        <v>20</v>
      </c>
      <c r="H354" s="3" t="s">
        <v>20</v>
      </c>
      <c r="I354" s="3" t="str">
        <f aca="false">IF(E354&gt;=TIME(18,0,0),"Y","")</f>
        <v>Y</v>
      </c>
      <c r="J354" s="3" t="str">
        <f aca="false">IF(AND(ISNUMBER(F354),F354&gt;TIME(21,0,0)),"Y","")</f>
        <v/>
      </c>
      <c r="K354" s="3" t="s">
        <v>29</v>
      </c>
      <c r="L354" s="3" t="s">
        <v>19</v>
      </c>
      <c r="M354" s="3" t="str">
        <f aca="false">CHOOSE(WEEKDAY(D354),"일","월","화","수","목","금","토")</f>
        <v>토</v>
      </c>
      <c r="N354" s="6" t="s">
        <v>266</v>
      </c>
      <c r="O354" s="3" t="s">
        <v>23</v>
      </c>
      <c r="P354" s="4" t="n">
        <v>46286</v>
      </c>
      <c r="Q354" s="3"/>
    </row>
    <row r="355" customFormat="false" ht="35.05" hidden="false" customHeight="false" outlineLevel="0" collapsed="false">
      <c r="A355" s="3" t="s">
        <v>292</v>
      </c>
      <c r="B355" s="3" t="s">
        <v>18</v>
      </c>
      <c r="C355" s="3" t="s">
        <v>28</v>
      </c>
      <c r="D355" s="4" t="n">
        <v>46298</v>
      </c>
      <c r="E355" s="5" t="n">
        <v>0.75</v>
      </c>
      <c r="F355" s="5" t="n">
        <v>0.770833333333333</v>
      </c>
      <c r="G355" s="3" t="s">
        <v>20</v>
      </c>
      <c r="H355" s="3" t="s">
        <v>20</v>
      </c>
      <c r="I355" s="3" t="str">
        <f aca="false">IF(E355&gt;=TIME(18,0,0),"Y","")</f>
        <v>Y</v>
      </c>
      <c r="J355" s="3" t="str">
        <f aca="false">IF(AND(ISNUMBER(F355),F355&gt;TIME(21,0,0)),"Y","")</f>
        <v/>
      </c>
      <c r="K355" s="3" t="s">
        <v>278</v>
      </c>
      <c r="L355" s="3" t="s">
        <v>19</v>
      </c>
      <c r="M355" s="3" t="str">
        <f aca="false">CHOOSE(WEEKDAY(D355),"일","월","화","수","목","금","토")</f>
        <v>토</v>
      </c>
      <c r="N355" s="6" t="s">
        <v>266</v>
      </c>
      <c r="O355" s="3" t="s">
        <v>23</v>
      </c>
      <c r="P355" s="4" t="n">
        <v>46286</v>
      </c>
      <c r="Q355" s="3"/>
    </row>
    <row r="356" customFormat="false" ht="35.05" hidden="false" customHeight="false" outlineLevel="0" collapsed="false">
      <c r="A356" s="3" t="s">
        <v>293</v>
      </c>
      <c r="B356" s="3" t="s">
        <v>18</v>
      </c>
      <c r="C356" s="3" t="s">
        <v>33</v>
      </c>
      <c r="D356" s="4" t="n">
        <v>46298</v>
      </c>
      <c r="E356" s="5" t="n">
        <v>0.75</v>
      </c>
      <c r="F356" s="5" t="n">
        <v>0.770833333333333</v>
      </c>
      <c r="G356" s="3" t="s">
        <v>20</v>
      </c>
      <c r="H356" s="3" t="s">
        <v>20</v>
      </c>
      <c r="I356" s="3" t="str">
        <f aca="false">IF(E356&gt;=TIME(18,0,0),"Y","")</f>
        <v>Y</v>
      </c>
      <c r="J356" s="3" t="str">
        <f aca="false">IF(AND(ISNUMBER(F356),F356&gt;TIME(21,0,0)),"Y","")</f>
        <v/>
      </c>
      <c r="K356" s="3" t="s">
        <v>29</v>
      </c>
      <c r="L356" s="3" t="s">
        <v>35</v>
      </c>
      <c r="M356" s="3" t="str">
        <f aca="false">CHOOSE(WEEKDAY(D356),"일","월","화","수","목","금","토")</f>
        <v>토</v>
      </c>
      <c r="N356" s="6" t="s">
        <v>266</v>
      </c>
      <c r="O356" s="3" t="s">
        <v>23</v>
      </c>
      <c r="P356" s="4" t="n">
        <v>46286</v>
      </c>
      <c r="Q356" s="3"/>
    </row>
    <row r="357" customFormat="false" ht="35.05" hidden="false" customHeight="false" outlineLevel="0" collapsed="false">
      <c r="A357" s="3" t="s">
        <v>65</v>
      </c>
      <c r="B357" s="3" t="s">
        <v>18</v>
      </c>
      <c r="C357" s="3" t="s">
        <v>43</v>
      </c>
      <c r="D357" s="4" t="n">
        <v>46298</v>
      </c>
      <c r="E357" s="5" t="n">
        <v>0.75</v>
      </c>
      <c r="F357" s="5" t="n">
        <v>0.791666666666667</v>
      </c>
      <c r="G357" s="3" t="s">
        <v>20</v>
      </c>
      <c r="H357" s="3" t="s">
        <v>20</v>
      </c>
      <c r="I357" s="3" t="str">
        <f aca="false">IF(E357&gt;=TIME(18,0,0),"Y","")</f>
        <v>Y</v>
      </c>
      <c r="J357" s="3" t="str">
        <f aca="false">IF(AND(ISNUMBER(F357),F357&gt;TIME(21,0,0)),"Y","")</f>
        <v/>
      </c>
      <c r="K357" s="3" t="s">
        <v>66</v>
      </c>
      <c r="L357" s="3" t="s">
        <v>44</v>
      </c>
      <c r="M357" s="3" t="str">
        <f aca="false">CHOOSE(WEEKDAY(D357),"일","월","화","수","목","금","토")</f>
        <v>토</v>
      </c>
      <c r="N357" s="6" t="s">
        <v>266</v>
      </c>
      <c r="O357" s="3" t="s">
        <v>23</v>
      </c>
      <c r="P357" s="4" t="n">
        <v>46286</v>
      </c>
      <c r="Q357" s="3"/>
    </row>
    <row r="358" customFormat="false" ht="35.05" hidden="false" customHeight="false" outlineLevel="0" collapsed="false">
      <c r="A358" s="3" t="s">
        <v>294</v>
      </c>
      <c r="B358" s="3" t="s">
        <v>18</v>
      </c>
      <c r="C358" s="3" t="s">
        <v>28</v>
      </c>
      <c r="D358" s="4" t="n">
        <v>46298</v>
      </c>
      <c r="E358" s="5" t="n">
        <v>0.770833333333333</v>
      </c>
      <c r="F358" s="5" t="n">
        <v>0.791666666666667</v>
      </c>
      <c r="G358" s="3" t="s">
        <v>20</v>
      </c>
      <c r="H358" s="3" t="s">
        <v>20</v>
      </c>
      <c r="I358" s="3" t="str">
        <f aca="false">IF(E358&gt;=TIME(18,0,0),"Y","")</f>
        <v>Y</v>
      </c>
      <c r="J358" s="3" t="str">
        <f aca="false">IF(AND(ISNUMBER(F358),F358&gt;TIME(21,0,0)),"Y","")</f>
        <v/>
      </c>
      <c r="K358" s="3" t="s">
        <v>29</v>
      </c>
      <c r="L358" s="3" t="s">
        <v>19</v>
      </c>
      <c r="M358" s="3" t="str">
        <f aca="false">CHOOSE(WEEKDAY(D358),"일","월","화","수","목","금","토")</f>
        <v>토</v>
      </c>
      <c r="N358" s="6" t="s">
        <v>266</v>
      </c>
      <c r="O358" s="3" t="s">
        <v>23</v>
      </c>
      <c r="P358" s="4" t="n">
        <v>46286</v>
      </c>
      <c r="Q358" s="3"/>
    </row>
    <row r="359" customFormat="false" ht="35.05" hidden="false" customHeight="false" outlineLevel="0" collapsed="false">
      <c r="A359" s="3" t="s">
        <v>102</v>
      </c>
      <c r="B359" s="3" t="s">
        <v>32</v>
      </c>
      <c r="C359" s="3" t="s">
        <v>28</v>
      </c>
      <c r="D359" s="4" t="n">
        <v>46298</v>
      </c>
      <c r="E359" s="5" t="n">
        <v>0.791666666666667</v>
      </c>
      <c r="F359" s="5" t="n">
        <v>0.8125</v>
      </c>
      <c r="G359" s="3" t="s">
        <v>20</v>
      </c>
      <c r="H359" s="3" t="s">
        <v>20</v>
      </c>
      <c r="I359" s="3" t="str">
        <f aca="false">IF(E359&gt;=TIME(18,0,0),"Y","")</f>
        <v>Y</v>
      </c>
      <c r="J359" s="3" t="str">
        <f aca="false">IF(AND(ISNUMBER(F359),F359&gt;TIME(21,0,0)),"Y","")</f>
        <v/>
      </c>
      <c r="K359" s="3" t="s">
        <v>34</v>
      </c>
      <c r="L359" s="3" t="s">
        <v>19</v>
      </c>
      <c r="M359" s="3" t="str">
        <f aca="false">CHOOSE(WEEKDAY(D359),"일","월","화","수","목","금","토")</f>
        <v>토</v>
      </c>
      <c r="N359" s="6" t="s">
        <v>266</v>
      </c>
      <c r="O359" s="3" t="s">
        <v>23</v>
      </c>
      <c r="P359" s="4" t="n">
        <v>46286</v>
      </c>
      <c r="Q359" s="3"/>
    </row>
    <row r="360" customFormat="false" ht="35.05" hidden="false" customHeight="false" outlineLevel="0" collapsed="false">
      <c r="A360" s="3" t="s">
        <v>104</v>
      </c>
      <c r="B360" s="3" t="s">
        <v>18</v>
      </c>
      <c r="C360" s="3" t="s">
        <v>33</v>
      </c>
      <c r="D360" s="4" t="n">
        <v>46298</v>
      </c>
      <c r="E360" s="5" t="n">
        <v>0.791666666666667</v>
      </c>
      <c r="F360" s="5" t="n">
        <v>0.8125</v>
      </c>
      <c r="G360" s="3" t="s">
        <v>20</v>
      </c>
      <c r="H360" s="3" t="s">
        <v>20</v>
      </c>
      <c r="I360" s="3" t="str">
        <f aca="false">IF(E360&gt;=TIME(18,0,0),"Y","")</f>
        <v>Y</v>
      </c>
      <c r="J360" s="3" t="str">
        <f aca="false">IF(AND(ISNUMBER(F360),F360&gt;TIME(21,0,0)),"Y","")</f>
        <v/>
      </c>
      <c r="K360" s="3" t="s">
        <v>105</v>
      </c>
      <c r="L360" s="3" t="s">
        <v>35</v>
      </c>
      <c r="M360" s="3" t="str">
        <f aca="false">CHOOSE(WEEKDAY(D360),"일","월","화","수","목","금","토")</f>
        <v>토</v>
      </c>
      <c r="N360" s="6" t="s">
        <v>266</v>
      </c>
      <c r="O360" s="3" t="s">
        <v>23</v>
      </c>
      <c r="P360" s="4" t="n">
        <v>46286</v>
      </c>
      <c r="Q360" s="3"/>
    </row>
    <row r="361" customFormat="false" ht="35.05" hidden="false" customHeight="false" outlineLevel="0" collapsed="false">
      <c r="A361" s="3" t="s">
        <v>106</v>
      </c>
      <c r="B361" s="3" t="s">
        <v>18</v>
      </c>
      <c r="C361" s="3" t="s">
        <v>52</v>
      </c>
      <c r="D361" s="4" t="n">
        <v>46298</v>
      </c>
      <c r="E361" s="5" t="n">
        <v>0.791666666666667</v>
      </c>
      <c r="F361" s="5" t="n">
        <v>0.833333333333333</v>
      </c>
      <c r="G361" s="3" t="s">
        <v>20</v>
      </c>
      <c r="H361" s="3" t="s">
        <v>20</v>
      </c>
      <c r="I361" s="3" t="str">
        <f aca="false">IF(E361&gt;=TIME(18,0,0),"Y","")</f>
        <v>Y</v>
      </c>
      <c r="J361" s="3" t="str">
        <f aca="false">IF(AND(ISNUMBER(F361),F361&gt;TIME(21,0,0)),"Y","")</f>
        <v/>
      </c>
      <c r="K361" s="3" t="s">
        <v>107</v>
      </c>
      <c r="L361" s="3" t="s">
        <v>19</v>
      </c>
      <c r="M361" s="3" t="str">
        <f aca="false">CHOOSE(WEEKDAY(D361),"일","월","화","수","목","금","토")</f>
        <v>토</v>
      </c>
      <c r="N361" s="6" t="s">
        <v>266</v>
      </c>
      <c r="O361" s="3" t="s">
        <v>23</v>
      </c>
      <c r="P361" s="4" t="n">
        <v>46286</v>
      </c>
      <c r="Q361" s="3"/>
    </row>
    <row r="362" customFormat="false" ht="46.25" hidden="false" customHeight="false" outlineLevel="0" collapsed="false">
      <c r="A362" s="3" t="s">
        <v>295</v>
      </c>
      <c r="B362" s="3" t="s">
        <v>18</v>
      </c>
      <c r="C362" s="3" t="s">
        <v>59</v>
      </c>
      <c r="D362" s="4" t="n">
        <v>46298</v>
      </c>
      <c r="E362" s="5" t="n">
        <v>0.791666666666667</v>
      </c>
      <c r="F362" s="5" t="n">
        <v>0.833333333333333</v>
      </c>
      <c r="G362" s="3" t="s">
        <v>60</v>
      </c>
      <c r="H362" s="3" t="s">
        <v>61</v>
      </c>
      <c r="I362" s="3" t="str">
        <f aca="false">IF(E362&gt;=TIME(18,0,0),"Y","")</f>
        <v>Y</v>
      </c>
      <c r="J362" s="3" t="str">
        <f aca="false">IF(AND(ISNUMBER(F362),F362&gt;TIME(21,0,0)),"Y","")</f>
        <v/>
      </c>
      <c r="K362" s="3" t="s">
        <v>75</v>
      </c>
      <c r="L362" s="3" t="s">
        <v>19</v>
      </c>
      <c r="M362" s="3" t="str">
        <f aca="false">CHOOSE(WEEKDAY(D362),"일","월","화","수","목","금","토")</f>
        <v>토</v>
      </c>
      <c r="N362" s="6" t="s">
        <v>266</v>
      </c>
      <c r="O362" s="3" t="s">
        <v>23</v>
      </c>
      <c r="P362" s="4" t="n">
        <v>46286</v>
      </c>
      <c r="Q362" s="3" t="s">
        <v>63</v>
      </c>
    </row>
    <row r="363" customFormat="false" ht="35.05" hidden="false" customHeight="false" outlineLevel="0" collapsed="false">
      <c r="A363" s="3" t="s">
        <v>111</v>
      </c>
      <c r="B363" s="3" t="s">
        <v>32</v>
      </c>
      <c r="C363" s="3" t="s">
        <v>43</v>
      </c>
      <c r="D363" s="4" t="n">
        <v>46298</v>
      </c>
      <c r="E363" s="5" t="n">
        <v>0.791666666666667</v>
      </c>
      <c r="F363" s="5" t="n">
        <v>0.833333333333333</v>
      </c>
      <c r="G363" s="3" t="s">
        <v>20</v>
      </c>
      <c r="H363" s="3" t="s">
        <v>20</v>
      </c>
      <c r="I363" s="3" t="str">
        <f aca="false">IF(E363&gt;=TIME(18,0,0),"Y","")</f>
        <v>Y</v>
      </c>
      <c r="J363" s="3" t="str">
        <f aca="false">IF(AND(ISNUMBER(F363),F363&gt;TIME(21,0,0)),"Y","")</f>
        <v/>
      </c>
      <c r="K363" s="3" t="s">
        <v>34</v>
      </c>
      <c r="L363" s="3" t="s">
        <v>44</v>
      </c>
      <c r="M363" s="3" t="str">
        <f aca="false">CHOOSE(WEEKDAY(D363),"일","월","화","수","목","금","토")</f>
        <v>토</v>
      </c>
      <c r="N363" s="6" t="s">
        <v>266</v>
      </c>
      <c r="O363" s="3" t="s">
        <v>23</v>
      </c>
      <c r="P363" s="4" t="n">
        <v>46286</v>
      </c>
      <c r="Q363" s="3"/>
    </row>
    <row r="364" customFormat="false" ht="35.05" hidden="false" customHeight="false" outlineLevel="0" collapsed="false">
      <c r="A364" s="3" t="s">
        <v>112</v>
      </c>
      <c r="B364" s="3" t="s">
        <v>18</v>
      </c>
      <c r="C364" s="3" t="s">
        <v>47</v>
      </c>
      <c r="D364" s="4" t="n">
        <v>46298</v>
      </c>
      <c r="E364" s="5" t="n">
        <v>0.791666666666667</v>
      </c>
      <c r="F364" s="5" t="n">
        <v>0.875</v>
      </c>
      <c r="G364" s="3" t="s">
        <v>20</v>
      </c>
      <c r="H364" s="3" t="s">
        <v>20</v>
      </c>
      <c r="I364" s="3" t="str">
        <f aca="false">IF(E364&gt;=TIME(18,0,0),"Y","")</f>
        <v>Y</v>
      </c>
      <c r="J364" s="3" t="str">
        <f aca="false">IF(AND(ISNUMBER(F364),F364&gt;TIME(21,0,0)),"Y","")</f>
        <v/>
      </c>
      <c r="K364" s="3" t="s">
        <v>48</v>
      </c>
      <c r="L364" s="3" t="s">
        <v>47</v>
      </c>
      <c r="M364" s="3" t="str">
        <f aca="false">CHOOSE(WEEKDAY(D364),"일","월","화","수","목","금","토")</f>
        <v>토</v>
      </c>
      <c r="N364" s="6" t="s">
        <v>266</v>
      </c>
      <c r="O364" s="3" t="s">
        <v>23</v>
      </c>
      <c r="P364" s="4" t="n">
        <v>46286</v>
      </c>
      <c r="Q364" s="3" t="s">
        <v>49</v>
      </c>
    </row>
    <row r="365" customFormat="false" ht="35.05" hidden="false" customHeight="false" outlineLevel="0" collapsed="false">
      <c r="A365" s="3" t="s">
        <v>296</v>
      </c>
      <c r="B365" s="3" t="s">
        <v>18</v>
      </c>
      <c r="C365" s="3" t="s">
        <v>28</v>
      </c>
      <c r="D365" s="4" t="n">
        <v>46298</v>
      </c>
      <c r="E365" s="5" t="n">
        <v>0.8125</v>
      </c>
      <c r="F365" s="5" t="n">
        <v>0.875</v>
      </c>
      <c r="G365" s="3" t="s">
        <v>20</v>
      </c>
      <c r="H365" s="3" t="s">
        <v>20</v>
      </c>
      <c r="I365" s="3" t="str">
        <f aca="false">IF(E365&gt;=TIME(18,0,0),"Y","")</f>
        <v>Y</v>
      </c>
      <c r="J365" s="3" t="str">
        <f aca="false">IF(AND(ISNUMBER(F365),F365&gt;TIME(21,0,0)),"Y","")</f>
        <v/>
      </c>
      <c r="K365" s="3" t="s">
        <v>107</v>
      </c>
      <c r="L365" s="3" t="s">
        <v>19</v>
      </c>
      <c r="M365" s="3" t="str">
        <f aca="false">CHOOSE(WEEKDAY(D365),"일","월","화","수","목","금","토")</f>
        <v>토</v>
      </c>
      <c r="N365" s="6" t="s">
        <v>266</v>
      </c>
      <c r="O365" s="3" t="s">
        <v>23</v>
      </c>
      <c r="P365" s="4" t="n">
        <v>46286</v>
      </c>
      <c r="Q365" s="3"/>
    </row>
    <row r="366" customFormat="false" ht="35.05" hidden="false" customHeight="false" outlineLevel="0" collapsed="false">
      <c r="A366" s="3" t="s">
        <v>223</v>
      </c>
      <c r="B366" s="3" t="s">
        <v>18</v>
      </c>
      <c r="C366" s="3" t="s">
        <v>33</v>
      </c>
      <c r="D366" s="4" t="n">
        <v>46298</v>
      </c>
      <c r="E366" s="5" t="n">
        <v>0.8125</v>
      </c>
      <c r="F366" s="5" t="n">
        <v>0.895833333333333</v>
      </c>
      <c r="G366" s="3" t="s">
        <v>20</v>
      </c>
      <c r="H366" s="3" t="s">
        <v>20</v>
      </c>
      <c r="I366" s="3" t="str">
        <f aca="false">IF(E366&gt;=TIME(18,0,0),"Y","")</f>
        <v>Y</v>
      </c>
      <c r="J366" s="3" t="str">
        <f aca="false">IF(AND(ISNUMBER(F366),F366&gt;TIME(21,0,0)),"Y","")</f>
        <v>Y</v>
      </c>
      <c r="K366" s="3" t="s">
        <v>107</v>
      </c>
      <c r="L366" s="3" t="s">
        <v>35</v>
      </c>
      <c r="M366" s="3" t="str">
        <f aca="false">CHOOSE(WEEKDAY(D366),"일","월","화","수","목","금","토")</f>
        <v>토</v>
      </c>
      <c r="N366" s="6" t="s">
        <v>266</v>
      </c>
      <c r="O366" s="3" t="s">
        <v>23</v>
      </c>
      <c r="P366" s="4" t="n">
        <v>46286</v>
      </c>
      <c r="Q366" s="3"/>
    </row>
    <row r="367" customFormat="false" ht="46.25" hidden="false" customHeight="false" outlineLevel="0" collapsed="false">
      <c r="A367" s="3" t="s">
        <v>297</v>
      </c>
      <c r="B367" s="3" t="s">
        <v>18</v>
      </c>
      <c r="C367" s="3" t="s">
        <v>59</v>
      </c>
      <c r="D367" s="4" t="n">
        <v>46298</v>
      </c>
      <c r="E367" s="5" t="n">
        <v>0.854166666666667</v>
      </c>
      <c r="F367" s="5" t="n">
        <v>0.895833333333333</v>
      </c>
      <c r="G367" s="3" t="s">
        <v>60</v>
      </c>
      <c r="H367" s="3" t="s">
        <v>61</v>
      </c>
      <c r="I367" s="3" t="str">
        <f aca="false">IF(E367&gt;=TIME(18,0,0),"Y","")</f>
        <v>Y</v>
      </c>
      <c r="J367" s="3" t="str">
        <f aca="false">IF(AND(ISNUMBER(F367),F367&gt;TIME(21,0,0)),"Y","")</f>
        <v>Y</v>
      </c>
      <c r="K367" s="3" t="s">
        <v>75</v>
      </c>
      <c r="L367" s="3" t="s">
        <v>19</v>
      </c>
      <c r="M367" s="3" t="str">
        <f aca="false">CHOOSE(WEEKDAY(D367),"일","월","화","수","목","금","토")</f>
        <v>토</v>
      </c>
      <c r="N367" s="6" t="s">
        <v>266</v>
      </c>
      <c r="O367" s="3" t="s">
        <v>23</v>
      </c>
      <c r="P367" s="4" t="n">
        <v>46286</v>
      </c>
      <c r="Q367" s="3" t="s">
        <v>63</v>
      </c>
    </row>
    <row r="368" customFormat="false" ht="35.05" hidden="false" customHeight="false" outlineLevel="0" collapsed="false">
      <c r="A368" s="3" t="s">
        <v>298</v>
      </c>
      <c r="B368" s="3" t="s">
        <v>18</v>
      </c>
      <c r="C368" s="3" t="s">
        <v>33</v>
      </c>
      <c r="D368" s="4" t="n">
        <v>46299</v>
      </c>
      <c r="E368" s="5" t="n">
        <v>0.416666666666667</v>
      </c>
      <c r="F368" s="5" t="n">
        <v>0.458333333333333</v>
      </c>
      <c r="G368" s="3" t="s">
        <v>20</v>
      </c>
      <c r="H368" s="3" t="s">
        <v>20</v>
      </c>
      <c r="I368" s="3" t="str">
        <f aca="false">IF(E368&gt;=TIME(18,0,0),"Y","")</f>
        <v/>
      </c>
      <c r="J368" s="3" t="str">
        <f aca="false">IF(AND(ISNUMBER(F368),F368&gt;TIME(21,0,0)),"Y","")</f>
        <v/>
      </c>
      <c r="K368" s="3" t="s">
        <v>75</v>
      </c>
      <c r="L368" s="3" t="s">
        <v>35</v>
      </c>
      <c r="M368" s="3" t="str">
        <f aca="false">CHOOSE(WEEKDAY(D368),"일","월","화","수","목","금","토")</f>
        <v>일</v>
      </c>
      <c r="N368" s="6" t="s">
        <v>299</v>
      </c>
      <c r="O368" s="3" t="s">
        <v>23</v>
      </c>
      <c r="P368" s="4" t="n">
        <v>46286</v>
      </c>
      <c r="Q368" s="3"/>
    </row>
    <row r="369" customFormat="false" ht="46.25" hidden="false" customHeight="false" outlineLevel="0" collapsed="false">
      <c r="A369" s="3" t="s">
        <v>300</v>
      </c>
      <c r="B369" s="3" t="s">
        <v>18</v>
      </c>
      <c r="C369" s="3" t="s">
        <v>59</v>
      </c>
      <c r="D369" s="4" t="n">
        <v>46299</v>
      </c>
      <c r="E369" s="5" t="n">
        <v>0.4375</v>
      </c>
      <c r="F369" s="5" t="n">
        <v>0.479166666666667</v>
      </c>
      <c r="G369" s="3" t="s">
        <v>60</v>
      </c>
      <c r="H369" s="3" t="s">
        <v>61</v>
      </c>
      <c r="I369" s="3" t="str">
        <f aca="false">IF(E369&gt;=TIME(18,0,0),"Y","")</f>
        <v/>
      </c>
      <c r="J369" s="3" t="str">
        <f aca="false">IF(AND(ISNUMBER(F369),F369&gt;TIME(21,0,0)),"Y","")</f>
        <v/>
      </c>
      <c r="K369" s="3" t="s">
        <v>75</v>
      </c>
      <c r="L369" s="3" t="s">
        <v>19</v>
      </c>
      <c r="M369" s="3" t="str">
        <f aca="false">CHOOSE(WEEKDAY(D369),"일","월","화","수","목","금","토")</f>
        <v>일</v>
      </c>
      <c r="N369" s="6" t="s">
        <v>299</v>
      </c>
      <c r="O369" s="3" t="s">
        <v>23</v>
      </c>
      <c r="P369" s="4" t="n">
        <v>46286</v>
      </c>
      <c r="Q369" s="3" t="s">
        <v>63</v>
      </c>
    </row>
    <row r="370" customFormat="false" ht="35.05" hidden="false" customHeight="false" outlineLevel="0" collapsed="false">
      <c r="A370" s="3" t="s">
        <v>55</v>
      </c>
      <c r="B370" s="3" t="s">
        <v>51</v>
      </c>
      <c r="C370" s="3" t="s">
        <v>52</v>
      </c>
      <c r="D370" s="4" t="n">
        <v>46299</v>
      </c>
      <c r="E370" s="5" t="n">
        <v>0.458333333333333</v>
      </c>
      <c r="F370" s="5" t="n">
        <v>0.479166666666667</v>
      </c>
      <c r="G370" s="3" t="s">
        <v>20</v>
      </c>
      <c r="H370" s="3" t="s">
        <v>20</v>
      </c>
      <c r="I370" s="3" t="str">
        <f aca="false">IF(E370&gt;=TIME(18,0,0),"Y","")</f>
        <v/>
      </c>
      <c r="J370" s="3" t="str">
        <f aca="false">IF(AND(ISNUMBER(F370),F370&gt;TIME(21,0,0)),"Y","")</f>
        <v/>
      </c>
      <c r="K370" s="3" t="s">
        <v>51</v>
      </c>
      <c r="L370" s="3" t="s">
        <v>19</v>
      </c>
      <c r="M370" s="3" t="str">
        <f aca="false">CHOOSE(WEEKDAY(D370),"일","월","화","수","목","금","토")</f>
        <v>일</v>
      </c>
      <c r="N370" s="6" t="s">
        <v>299</v>
      </c>
      <c r="O370" s="3" t="s">
        <v>23</v>
      </c>
      <c r="P370" s="4" t="n">
        <v>46286</v>
      </c>
      <c r="Q370" s="3"/>
    </row>
    <row r="371" customFormat="false" ht="35.05" hidden="false" customHeight="false" outlineLevel="0" collapsed="false">
      <c r="A371" s="3" t="s">
        <v>301</v>
      </c>
      <c r="B371" s="3" t="s">
        <v>18</v>
      </c>
      <c r="C371" s="3" t="s">
        <v>33</v>
      </c>
      <c r="D371" s="4" t="n">
        <v>46299</v>
      </c>
      <c r="E371" s="5" t="n">
        <v>0.458333333333333</v>
      </c>
      <c r="F371" s="5" t="n">
        <v>0.479166666666667</v>
      </c>
      <c r="G371" s="3" t="s">
        <v>20</v>
      </c>
      <c r="H371" s="3" t="s">
        <v>20</v>
      </c>
      <c r="I371" s="3" t="str">
        <f aca="false">IF(E371&gt;=TIME(18,0,0),"Y","")</f>
        <v/>
      </c>
      <c r="J371" s="3" t="str">
        <f aca="false">IF(AND(ISNUMBER(F371),F371&gt;TIME(21,0,0)),"Y","")</f>
        <v/>
      </c>
      <c r="K371" s="3" t="s">
        <v>29</v>
      </c>
      <c r="L371" s="3" t="s">
        <v>35</v>
      </c>
      <c r="M371" s="3" t="str">
        <f aca="false">CHOOSE(WEEKDAY(D371),"일","월","화","수","목","금","토")</f>
        <v>일</v>
      </c>
      <c r="N371" s="6" t="s">
        <v>299</v>
      </c>
      <c r="O371" s="3" t="s">
        <v>23</v>
      </c>
      <c r="P371" s="4" t="n">
        <v>46286</v>
      </c>
      <c r="Q371" s="3"/>
    </row>
    <row r="372" customFormat="false" ht="35.05" hidden="false" customHeight="false" outlineLevel="0" collapsed="false">
      <c r="A372" s="3" t="s">
        <v>302</v>
      </c>
      <c r="B372" s="3" t="s">
        <v>18</v>
      </c>
      <c r="C372" s="3" t="s">
        <v>28</v>
      </c>
      <c r="D372" s="4" t="n">
        <v>46299</v>
      </c>
      <c r="E372" s="5" t="n">
        <v>0.458333333333333</v>
      </c>
      <c r="F372" s="5" t="n">
        <v>0.5</v>
      </c>
      <c r="G372" s="3" t="s">
        <v>20</v>
      </c>
      <c r="H372" s="3" t="s">
        <v>20</v>
      </c>
      <c r="I372" s="3" t="str">
        <f aca="false">IF(E372&gt;=TIME(18,0,0),"Y","")</f>
        <v/>
      </c>
      <c r="J372" s="3" t="str">
        <f aca="false">IF(AND(ISNUMBER(F372),F372&gt;TIME(21,0,0)),"Y","")</f>
        <v/>
      </c>
      <c r="K372" s="3" t="s">
        <v>29</v>
      </c>
      <c r="L372" s="3" t="s">
        <v>19</v>
      </c>
      <c r="M372" s="3" t="str">
        <f aca="false">CHOOSE(WEEKDAY(D372),"일","월","화","수","목","금","토")</f>
        <v>일</v>
      </c>
      <c r="N372" s="6" t="s">
        <v>299</v>
      </c>
      <c r="O372" s="3" t="s">
        <v>23</v>
      </c>
      <c r="P372" s="4" t="n">
        <v>46286</v>
      </c>
      <c r="Q372" s="3"/>
    </row>
    <row r="373" customFormat="false" ht="35.05" hidden="false" customHeight="false" outlineLevel="0" collapsed="false">
      <c r="A373" s="3" t="s">
        <v>42</v>
      </c>
      <c r="B373" s="3" t="s">
        <v>32</v>
      </c>
      <c r="C373" s="3" t="s">
        <v>43</v>
      </c>
      <c r="D373" s="4" t="n">
        <v>46299</v>
      </c>
      <c r="E373" s="5" t="n">
        <v>0.458333333333333</v>
      </c>
      <c r="F373" s="5" t="n">
        <v>0.5</v>
      </c>
      <c r="G373" s="3" t="s">
        <v>20</v>
      </c>
      <c r="H373" s="3" t="s">
        <v>20</v>
      </c>
      <c r="I373" s="3" t="str">
        <f aca="false">IF(E373&gt;=TIME(18,0,0),"Y","")</f>
        <v/>
      </c>
      <c r="J373" s="3" t="str">
        <f aca="false">IF(AND(ISNUMBER(F373),F373&gt;TIME(21,0,0)),"Y","")</f>
        <v/>
      </c>
      <c r="K373" s="3" t="s">
        <v>34</v>
      </c>
      <c r="L373" s="3" t="s">
        <v>44</v>
      </c>
      <c r="M373" s="3" t="str">
        <f aca="false">CHOOSE(WEEKDAY(D373),"일","월","화","수","목","금","토")</f>
        <v>일</v>
      </c>
      <c r="N373" s="6" t="s">
        <v>299</v>
      </c>
      <c r="O373" s="3" t="s">
        <v>23</v>
      </c>
      <c r="P373" s="4" t="n">
        <v>46286</v>
      </c>
      <c r="Q373" s="3"/>
    </row>
    <row r="374" customFormat="false" ht="35.05" hidden="false" customHeight="false" outlineLevel="0" collapsed="false">
      <c r="A374" s="3" t="s">
        <v>50</v>
      </c>
      <c r="B374" s="3" t="s">
        <v>51</v>
      </c>
      <c r="C374" s="3" t="s">
        <v>52</v>
      </c>
      <c r="D374" s="4" t="n">
        <v>46299</v>
      </c>
      <c r="E374" s="5" t="n">
        <v>0.479166666666667</v>
      </c>
      <c r="F374" s="5" t="n">
        <v>0.5</v>
      </c>
      <c r="G374" s="3" t="s">
        <v>20</v>
      </c>
      <c r="H374" s="3" t="s">
        <v>20</v>
      </c>
      <c r="I374" s="3" t="str">
        <f aca="false">IF(E374&gt;=TIME(18,0,0),"Y","")</f>
        <v/>
      </c>
      <c r="J374" s="3" t="str">
        <f aca="false">IF(AND(ISNUMBER(F374),F374&gt;TIME(21,0,0)),"Y","")</f>
        <v/>
      </c>
      <c r="K374" s="3" t="s">
        <v>51</v>
      </c>
      <c r="L374" s="3" t="s">
        <v>19</v>
      </c>
      <c r="M374" s="3" t="str">
        <f aca="false">CHOOSE(WEEKDAY(D374),"일","월","화","수","목","금","토")</f>
        <v>일</v>
      </c>
      <c r="N374" s="6" t="s">
        <v>299</v>
      </c>
      <c r="O374" s="3" t="s">
        <v>23</v>
      </c>
      <c r="P374" s="4" t="n">
        <v>46286</v>
      </c>
      <c r="Q374" s="3"/>
    </row>
    <row r="375" customFormat="false" ht="35.05" hidden="false" customHeight="false" outlineLevel="0" collapsed="false">
      <c r="A375" s="3" t="s">
        <v>282</v>
      </c>
      <c r="B375" s="3" t="s">
        <v>18</v>
      </c>
      <c r="C375" s="3" t="s">
        <v>33</v>
      </c>
      <c r="D375" s="4" t="n">
        <v>46299</v>
      </c>
      <c r="E375" s="5" t="n">
        <v>0.479166666666667</v>
      </c>
      <c r="F375" s="5" t="n">
        <v>0.5</v>
      </c>
      <c r="G375" s="3" t="s">
        <v>20</v>
      </c>
      <c r="H375" s="3" t="s">
        <v>20</v>
      </c>
      <c r="I375" s="3" t="str">
        <f aca="false">IF(E375&gt;=TIME(18,0,0),"Y","")</f>
        <v/>
      </c>
      <c r="J375" s="3" t="str">
        <f aca="false">IF(AND(ISNUMBER(F375),F375&gt;TIME(21,0,0)),"Y","")</f>
        <v/>
      </c>
      <c r="K375" s="3" t="s">
        <v>29</v>
      </c>
      <c r="L375" s="3" t="s">
        <v>35</v>
      </c>
      <c r="M375" s="3" t="str">
        <f aca="false">CHOOSE(WEEKDAY(D375),"일","월","화","수","목","금","토")</f>
        <v>일</v>
      </c>
      <c r="N375" s="6" t="s">
        <v>299</v>
      </c>
      <c r="O375" s="3" t="s">
        <v>23</v>
      </c>
      <c r="P375" s="4" t="n">
        <v>46286</v>
      </c>
      <c r="Q375" s="3"/>
    </row>
    <row r="376" customFormat="false" ht="35.05" hidden="false" customHeight="false" outlineLevel="0" collapsed="false">
      <c r="A376" s="3" t="s">
        <v>303</v>
      </c>
      <c r="B376" s="3" t="s">
        <v>18</v>
      </c>
      <c r="C376" s="3" t="s">
        <v>28</v>
      </c>
      <c r="D376" s="4" t="n">
        <v>46299</v>
      </c>
      <c r="E376" s="5" t="n">
        <v>0.5</v>
      </c>
      <c r="F376" s="5" t="n">
        <v>0.520833333333333</v>
      </c>
      <c r="G376" s="3" t="s">
        <v>20</v>
      </c>
      <c r="H376" s="3" t="s">
        <v>20</v>
      </c>
      <c r="I376" s="3" t="str">
        <f aca="false">IF(E376&gt;=TIME(18,0,0),"Y","")</f>
        <v/>
      </c>
      <c r="J376" s="3" t="str">
        <f aca="false">IF(AND(ISNUMBER(F376),F376&gt;TIME(21,0,0)),"Y","")</f>
        <v/>
      </c>
      <c r="K376" s="3" t="s">
        <v>29</v>
      </c>
      <c r="L376" s="3" t="s">
        <v>19</v>
      </c>
      <c r="M376" s="3" t="str">
        <f aca="false">CHOOSE(WEEKDAY(D376),"일","월","화","수","목","금","토")</f>
        <v>일</v>
      </c>
      <c r="N376" s="6" t="s">
        <v>299</v>
      </c>
      <c r="O376" s="3" t="s">
        <v>23</v>
      </c>
      <c r="P376" s="4" t="n">
        <v>46286</v>
      </c>
      <c r="Q376" s="3"/>
    </row>
    <row r="377" customFormat="false" ht="35.05" hidden="false" customHeight="false" outlineLevel="0" collapsed="false">
      <c r="A377" s="3" t="s">
        <v>304</v>
      </c>
      <c r="B377" s="3" t="s">
        <v>32</v>
      </c>
      <c r="C377" s="3" t="s">
        <v>33</v>
      </c>
      <c r="D377" s="4" t="n">
        <v>46299</v>
      </c>
      <c r="E377" s="5" t="n">
        <v>0.5</v>
      </c>
      <c r="F377" s="5" t="n">
        <v>0.625</v>
      </c>
      <c r="G377" s="3" t="s">
        <v>20</v>
      </c>
      <c r="H377" s="3" t="s">
        <v>20</v>
      </c>
      <c r="I377" s="3" t="str">
        <f aca="false">IF(E377&gt;=TIME(18,0,0),"Y","")</f>
        <v/>
      </c>
      <c r="J377" s="3" t="str">
        <f aca="false">IF(AND(ISNUMBER(F377),F377&gt;TIME(21,0,0)),"Y","")</f>
        <v/>
      </c>
      <c r="K377" s="3" t="s">
        <v>34</v>
      </c>
      <c r="L377" s="3" t="s">
        <v>35</v>
      </c>
      <c r="M377" s="3" t="str">
        <f aca="false">CHOOSE(WEEKDAY(D377),"일","월","화","수","목","금","토")</f>
        <v>일</v>
      </c>
      <c r="N377" s="6" t="s">
        <v>299</v>
      </c>
      <c r="O377" s="3" t="s">
        <v>23</v>
      </c>
      <c r="P377" s="4" t="n">
        <v>46286</v>
      </c>
      <c r="Q377" s="3"/>
    </row>
    <row r="378" customFormat="false" ht="46.25" hidden="false" customHeight="false" outlineLevel="0" collapsed="false">
      <c r="A378" s="3" t="s">
        <v>305</v>
      </c>
      <c r="B378" s="3" t="s">
        <v>18</v>
      </c>
      <c r="C378" s="3" t="s">
        <v>59</v>
      </c>
      <c r="D378" s="4" t="n">
        <v>46299</v>
      </c>
      <c r="E378" s="5" t="n">
        <v>0.520833333333333</v>
      </c>
      <c r="F378" s="5" t="n">
        <v>0.5625</v>
      </c>
      <c r="G378" s="3" t="s">
        <v>60</v>
      </c>
      <c r="H378" s="3" t="s">
        <v>61</v>
      </c>
      <c r="I378" s="3" t="str">
        <f aca="false">IF(E378&gt;=TIME(18,0,0),"Y","")</f>
        <v/>
      </c>
      <c r="J378" s="3" t="str">
        <f aca="false">IF(AND(ISNUMBER(F378),F378&gt;TIME(21,0,0)),"Y","")</f>
        <v/>
      </c>
      <c r="K378" s="3" t="s">
        <v>75</v>
      </c>
      <c r="L378" s="3" t="s">
        <v>19</v>
      </c>
      <c r="M378" s="3" t="str">
        <f aca="false">CHOOSE(WEEKDAY(D378),"일","월","화","수","목","금","토")</f>
        <v>일</v>
      </c>
      <c r="N378" s="6" t="s">
        <v>299</v>
      </c>
      <c r="O378" s="3" t="s">
        <v>23</v>
      </c>
      <c r="P378" s="4" t="n">
        <v>46286</v>
      </c>
      <c r="Q378" s="3" t="s">
        <v>63</v>
      </c>
    </row>
    <row r="379" customFormat="false" ht="35.05" hidden="false" customHeight="false" outlineLevel="0" collapsed="false">
      <c r="A379" s="3" t="s">
        <v>50</v>
      </c>
      <c r="B379" s="3" t="s">
        <v>51</v>
      </c>
      <c r="C379" s="3" t="s">
        <v>52</v>
      </c>
      <c r="D379" s="4" t="n">
        <v>46299</v>
      </c>
      <c r="E379" s="5" t="n">
        <v>0.541666666666667</v>
      </c>
      <c r="F379" s="5" t="n">
        <v>0.5625</v>
      </c>
      <c r="G379" s="3" t="s">
        <v>20</v>
      </c>
      <c r="H379" s="3" t="s">
        <v>20</v>
      </c>
      <c r="I379" s="3" t="str">
        <f aca="false">IF(E379&gt;=TIME(18,0,0),"Y","")</f>
        <v/>
      </c>
      <c r="J379" s="3" t="str">
        <f aca="false">IF(AND(ISNUMBER(F379),F379&gt;TIME(21,0,0)),"Y","")</f>
        <v/>
      </c>
      <c r="K379" s="3" t="s">
        <v>51</v>
      </c>
      <c r="L379" s="3" t="s">
        <v>19</v>
      </c>
      <c r="M379" s="3" t="str">
        <f aca="false">CHOOSE(WEEKDAY(D379),"일","월","화","수","목","금","토")</f>
        <v>일</v>
      </c>
      <c r="N379" s="6" t="s">
        <v>299</v>
      </c>
      <c r="O379" s="3" t="s">
        <v>23</v>
      </c>
      <c r="P379" s="4" t="n">
        <v>46286</v>
      </c>
      <c r="Q379" s="3"/>
    </row>
    <row r="380" customFormat="false" ht="35.05" hidden="false" customHeight="false" outlineLevel="0" collapsed="false">
      <c r="A380" s="3" t="s">
        <v>17</v>
      </c>
      <c r="B380" s="3" t="s">
        <v>18</v>
      </c>
      <c r="C380" s="3" t="s">
        <v>19</v>
      </c>
      <c r="D380" s="4" t="n">
        <v>46299</v>
      </c>
      <c r="E380" s="5" t="n">
        <v>0.541666666666667</v>
      </c>
      <c r="F380" s="5" t="n">
        <v>0.583333333333333</v>
      </c>
      <c r="G380" s="3" t="s">
        <v>20</v>
      </c>
      <c r="H380" s="3" t="s">
        <v>20</v>
      </c>
      <c r="I380" s="3" t="str">
        <f aca="false">IF(E380&gt;=TIME(18,0,0),"Y","")</f>
        <v/>
      </c>
      <c r="J380" s="3" t="str">
        <f aca="false">IF(AND(ISNUMBER(F380),F380&gt;TIME(21,0,0)),"Y","")</f>
        <v/>
      </c>
      <c r="K380" s="3" t="s">
        <v>21</v>
      </c>
      <c r="L380" s="3" t="s">
        <v>19</v>
      </c>
      <c r="M380" s="3" t="str">
        <f aca="false">CHOOSE(WEEKDAY(D380),"일","월","화","수","목","금","토")</f>
        <v>일</v>
      </c>
      <c r="N380" s="6" t="s">
        <v>299</v>
      </c>
      <c r="O380" s="3" t="s">
        <v>23</v>
      </c>
      <c r="P380" s="4" t="n">
        <v>46286</v>
      </c>
      <c r="Q380" s="3"/>
    </row>
    <row r="381" customFormat="false" ht="35.05" hidden="false" customHeight="false" outlineLevel="0" collapsed="false">
      <c r="A381" s="3" t="s">
        <v>279</v>
      </c>
      <c r="B381" s="3" t="s">
        <v>18</v>
      </c>
      <c r="C381" s="3" t="s">
        <v>28</v>
      </c>
      <c r="D381" s="4" t="n">
        <v>46299</v>
      </c>
      <c r="E381" s="5" t="n">
        <v>0.541666666666667</v>
      </c>
      <c r="F381" s="5" t="n">
        <v>0.583333333333333</v>
      </c>
      <c r="G381" s="3" t="s">
        <v>20</v>
      </c>
      <c r="H381" s="3" t="s">
        <v>20</v>
      </c>
      <c r="I381" s="3" t="str">
        <f aca="false">IF(E381&gt;=TIME(18,0,0),"Y","")</f>
        <v/>
      </c>
      <c r="J381" s="3" t="str">
        <f aca="false">IF(AND(ISNUMBER(F381),F381&gt;TIME(21,0,0)),"Y","")</f>
        <v/>
      </c>
      <c r="K381" s="3" t="s">
        <v>29</v>
      </c>
      <c r="L381" s="3" t="s">
        <v>19</v>
      </c>
      <c r="M381" s="3" t="str">
        <f aca="false">CHOOSE(WEEKDAY(D381),"일","월","화","수","목","금","토")</f>
        <v>일</v>
      </c>
      <c r="N381" s="6" t="s">
        <v>299</v>
      </c>
      <c r="O381" s="3" t="s">
        <v>23</v>
      </c>
      <c r="P381" s="4" t="n">
        <v>46286</v>
      </c>
      <c r="Q381" s="3"/>
    </row>
    <row r="382" customFormat="false" ht="35.05" hidden="false" customHeight="false" outlineLevel="0" collapsed="false">
      <c r="A382" s="3" t="s">
        <v>252</v>
      </c>
      <c r="B382" s="3" t="s">
        <v>18</v>
      </c>
      <c r="C382" s="3" t="s">
        <v>253</v>
      </c>
      <c r="D382" s="4" t="n">
        <v>46299</v>
      </c>
      <c r="E382" s="5" t="n">
        <v>0.541666666666667</v>
      </c>
      <c r="F382" s="5" t="n">
        <v>0.583333333333333</v>
      </c>
      <c r="G382" s="3" t="s">
        <v>20</v>
      </c>
      <c r="H382" s="3" t="s">
        <v>20</v>
      </c>
      <c r="I382" s="3" t="str">
        <f aca="false">IF(E382&gt;=TIME(18,0,0),"Y","")</f>
        <v/>
      </c>
      <c r="J382" s="3" t="str">
        <f aca="false">IF(AND(ISNUMBER(F382),F382&gt;TIME(21,0,0)),"Y","")</f>
        <v/>
      </c>
      <c r="K382" s="3" t="s">
        <v>66</v>
      </c>
      <c r="L382" s="3" t="s">
        <v>26</v>
      </c>
      <c r="M382" s="3" t="str">
        <f aca="false">CHOOSE(WEEKDAY(D382),"일","월","화","수","목","금","토")</f>
        <v>일</v>
      </c>
      <c r="N382" s="6" t="s">
        <v>299</v>
      </c>
      <c r="O382" s="3" t="s">
        <v>23</v>
      </c>
      <c r="P382" s="4" t="n">
        <v>46286</v>
      </c>
      <c r="Q382" s="3"/>
    </row>
    <row r="383" customFormat="false" ht="35.05" hidden="false" customHeight="false" outlineLevel="0" collapsed="false">
      <c r="A383" s="3" t="s">
        <v>24</v>
      </c>
      <c r="B383" s="3" t="s">
        <v>18</v>
      </c>
      <c r="C383" s="3" t="s">
        <v>87</v>
      </c>
      <c r="D383" s="4" t="n">
        <v>46299</v>
      </c>
      <c r="E383" s="5" t="n">
        <v>0.541666666666667</v>
      </c>
      <c r="F383" s="5" t="n">
        <v>0.625</v>
      </c>
      <c r="G383" s="3" t="s">
        <v>20</v>
      </c>
      <c r="H383" s="3" t="s">
        <v>20</v>
      </c>
      <c r="I383" s="3" t="str">
        <f aca="false">IF(E383&gt;=TIME(18,0,0),"Y","")</f>
        <v/>
      </c>
      <c r="J383" s="3" t="str">
        <f aca="false">IF(AND(ISNUMBER(F383),F383&gt;TIME(21,0,0)),"Y","")</f>
        <v/>
      </c>
      <c r="K383" s="3" t="s">
        <v>21</v>
      </c>
      <c r="L383" s="3" t="s">
        <v>26</v>
      </c>
      <c r="M383" s="3" t="str">
        <f aca="false">CHOOSE(WEEKDAY(D383),"일","월","화","수","목","금","토")</f>
        <v>일</v>
      </c>
      <c r="N383" s="6" t="s">
        <v>299</v>
      </c>
      <c r="O383" s="3" t="s">
        <v>23</v>
      </c>
      <c r="P383" s="4" t="n">
        <v>46286</v>
      </c>
      <c r="Q383" s="3"/>
    </row>
    <row r="384" customFormat="false" ht="35.05" hidden="false" customHeight="false" outlineLevel="0" collapsed="false">
      <c r="A384" s="3" t="s">
        <v>306</v>
      </c>
      <c r="B384" s="3" t="s">
        <v>18</v>
      </c>
      <c r="C384" s="3" t="s">
        <v>43</v>
      </c>
      <c r="D384" s="4" t="n">
        <v>46299</v>
      </c>
      <c r="E384" s="5" t="n">
        <v>0.583333333333333</v>
      </c>
      <c r="F384" s="5" t="n">
        <v>0.604166666666667</v>
      </c>
      <c r="G384" s="3" t="s">
        <v>20</v>
      </c>
      <c r="H384" s="3" t="s">
        <v>20</v>
      </c>
      <c r="I384" s="3" t="str">
        <f aca="false">IF(E384&gt;=TIME(18,0,0),"Y","")</f>
        <v/>
      </c>
      <c r="J384" s="3" t="str">
        <f aca="false">IF(AND(ISNUMBER(F384),F384&gt;TIME(21,0,0)),"Y","")</f>
        <v/>
      </c>
      <c r="K384" s="3" t="s">
        <v>75</v>
      </c>
      <c r="L384" s="3" t="s">
        <v>44</v>
      </c>
      <c r="M384" s="3" t="str">
        <f aca="false">CHOOSE(WEEKDAY(D384),"일","월","화","수","목","금","토")</f>
        <v>일</v>
      </c>
      <c r="N384" s="6" t="s">
        <v>299</v>
      </c>
      <c r="O384" s="3" t="s">
        <v>23</v>
      </c>
      <c r="P384" s="4" t="n">
        <v>46286</v>
      </c>
      <c r="Q384" s="3"/>
    </row>
    <row r="385" customFormat="false" ht="35.05" hidden="false" customHeight="false" outlineLevel="0" collapsed="false">
      <c r="A385" s="3" t="s">
        <v>307</v>
      </c>
      <c r="B385" s="3" t="s">
        <v>32</v>
      </c>
      <c r="C385" s="3" t="s">
        <v>28</v>
      </c>
      <c r="D385" s="4" t="n">
        <v>46299</v>
      </c>
      <c r="E385" s="5" t="n">
        <v>0.583333333333333</v>
      </c>
      <c r="F385" s="5" t="n">
        <v>0.625</v>
      </c>
      <c r="G385" s="3" t="s">
        <v>20</v>
      </c>
      <c r="H385" s="3" t="s">
        <v>20</v>
      </c>
      <c r="I385" s="3" t="str">
        <f aca="false">IF(E385&gt;=TIME(18,0,0),"Y","")</f>
        <v/>
      </c>
      <c r="J385" s="3" t="str">
        <f aca="false">IF(AND(ISNUMBER(F385),F385&gt;TIME(21,0,0)),"Y","")</f>
        <v/>
      </c>
      <c r="K385" s="3" t="s">
        <v>34</v>
      </c>
      <c r="L385" s="3" t="s">
        <v>19</v>
      </c>
      <c r="M385" s="3" t="str">
        <f aca="false">CHOOSE(WEEKDAY(D385),"일","월","화","수","목","금","토")</f>
        <v>일</v>
      </c>
      <c r="N385" s="6" t="s">
        <v>299</v>
      </c>
      <c r="O385" s="3" t="s">
        <v>23</v>
      </c>
      <c r="P385" s="4" t="n">
        <v>46286</v>
      </c>
      <c r="Q385" s="3"/>
    </row>
    <row r="386" customFormat="false" ht="46.25" hidden="false" customHeight="false" outlineLevel="0" collapsed="false">
      <c r="A386" s="3" t="s">
        <v>308</v>
      </c>
      <c r="B386" s="3" t="s">
        <v>18</v>
      </c>
      <c r="C386" s="3" t="s">
        <v>59</v>
      </c>
      <c r="D386" s="4" t="n">
        <v>46299</v>
      </c>
      <c r="E386" s="5" t="n">
        <v>0.583333333333333</v>
      </c>
      <c r="F386" s="5" t="n">
        <v>0.625</v>
      </c>
      <c r="G386" s="3" t="s">
        <v>60</v>
      </c>
      <c r="H386" s="3" t="s">
        <v>61</v>
      </c>
      <c r="I386" s="3" t="str">
        <f aca="false">IF(E386&gt;=TIME(18,0,0),"Y","")</f>
        <v/>
      </c>
      <c r="J386" s="3" t="str">
        <f aca="false">IF(AND(ISNUMBER(F386),F386&gt;TIME(21,0,0)),"Y","")</f>
        <v/>
      </c>
      <c r="K386" s="3" t="s">
        <v>62</v>
      </c>
      <c r="L386" s="3" t="s">
        <v>19</v>
      </c>
      <c r="M386" s="3" t="str">
        <f aca="false">CHOOSE(WEEKDAY(D386),"일","월","화","수","목","금","토")</f>
        <v>일</v>
      </c>
      <c r="N386" s="6" t="s">
        <v>299</v>
      </c>
      <c r="O386" s="3" t="s">
        <v>23</v>
      </c>
      <c r="P386" s="4" t="n">
        <v>46286</v>
      </c>
      <c r="Q386" s="3" t="s">
        <v>63</v>
      </c>
    </row>
    <row r="387" customFormat="false" ht="35.05" hidden="false" customHeight="false" outlineLevel="0" collapsed="false">
      <c r="A387" s="3" t="s">
        <v>56</v>
      </c>
      <c r="B387" s="3" t="s">
        <v>18</v>
      </c>
      <c r="C387" s="3" t="s">
        <v>57</v>
      </c>
      <c r="D387" s="4" t="n">
        <v>46299</v>
      </c>
      <c r="E387" s="5" t="n">
        <v>0.583333333333333</v>
      </c>
      <c r="F387" s="5" t="n">
        <v>0.625</v>
      </c>
      <c r="G387" s="3" t="s">
        <v>20</v>
      </c>
      <c r="H387" s="3" t="s">
        <v>20</v>
      </c>
      <c r="I387" s="3" t="str">
        <f aca="false">IF(E387&gt;=TIME(18,0,0),"Y","")</f>
        <v/>
      </c>
      <c r="J387" s="3" t="str">
        <f aca="false">IF(AND(ISNUMBER(F387),F387&gt;TIME(21,0,0)),"Y","")</f>
        <v/>
      </c>
      <c r="K387" s="3" t="s">
        <v>48</v>
      </c>
      <c r="L387" s="3" t="s">
        <v>47</v>
      </c>
      <c r="M387" s="3" t="str">
        <f aca="false">CHOOSE(WEEKDAY(D387),"일","월","화","수","목","금","토")</f>
        <v>일</v>
      </c>
      <c r="N387" s="6" t="s">
        <v>299</v>
      </c>
      <c r="O387" s="3" t="s">
        <v>23</v>
      </c>
      <c r="P387" s="4" t="n">
        <v>46286</v>
      </c>
      <c r="Q387" s="3" t="s">
        <v>49</v>
      </c>
    </row>
    <row r="388" customFormat="false" ht="35.05" hidden="false" customHeight="false" outlineLevel="0" collapsed="false">
      <c r="A388" s="3" t="s">
        <v>134</v>
      </c>
      <c r="B388" s="3" t="s">
        <v>18</v>
      </c>
      <c r="C388" s="3" t="s">
        <v>52</v>
      </c>
      <c r="D388" s="4" t="n">
        <v>46299</v>
      </c>
      <c r="E388" s="5" t="n">
        <v>0.583333333333333</v>
      </c>
      <c r="F388" s="5" t="n">
        <v>0.666666666666667</v>
      </c>
      <c r="G388" s="3" t="s">
        <v>20</v>
      </c>
      <c r="H388" s="3" t="s">
        <v>20</v>
      </c>
      <c r="I388" s="3" t="str">
        <f aca="false">IF(E388&gt;=TIME(18,0,0),"Y","")</f>
        <v/>
      </c>
      <c r="J388" s="3" t="str">
        <f aca="false">IF(AND(ISNUMBER(F388),F388&gt;TIME(21,0,0)),"Y","")</f>
        <v/>
      </c>
      <c r="K388" s="3" t="s">
        <v>21</v>
      </c>
      <c r="L388" s="3" t="s">
        <v>19</v>
      </c>
      <c r="M388" s="3" t="str">
        <f aca="false">CHOOSE(WEEKDAY(D388),"일","월","화","수","목","금","토")</f>
        <v>일</v>
      </c>
      <c r="N388" s="6" t="s">
        <v>299</v>
      </c>
      <c r="O388" s="3" t="s">
        <v>23</v>
      </c>
      <c r="P388" s="4" t="n">
        <v>46286</v>
      </c>
      <c r="Q388" s="3"/>
    </row>
    <row r="389" customFormat="false" ht="35.05" hidden="false" customHeight="false" outlineLevel="0" collapsed="false">
      <c r="A389" s="3" t="s">
        <v>309</v>
      </c>
      <c r="B389" s="3" t="s">
        <v>18</v>
      </c>
      <c r="C389" s="3" t="s">
        <v>43</v>
      </c>
      <c r="D389" s="4" t="n">
        <v>46299</v>
      </c>
      <c r="E389" s="5" t="n">
        <v>0.604166666666667</v>
      </c>
      <c r="F389" s="5" t="n">
        <v>0.625</v>
      </c>
      <c r="G389" s="3" t="s">
        <v>20</v>
      </c>
      <c r="H389" s="3" t="s">
        <v>20</v>
      </c>
      <c r="I389" s="3" t="str">
        <f aca="false">IF(E389&gt;=TIME(18,0,0),"Y","")</f>
        <v/>
      </c>
      <c r="J389" s="3" t="str">
        <f aca="false">IF(AND(ISNUMBER(F389),F389&gt;TIME(21,0,0)),"Y","")</f>
        <v/>
      </c>
      <c r="K389" s="3" t="s">
        <v>75</v>
      </c>
      <c r="L389" s="3" t="s">
        <v>44</v>
      </c>
      <c r="M389" s="3" t="str">
        <f aca="false">CHOOSE(WEEKDAY(D389),"일","월","화","수","목","금","토")</f>
        <v>일</v>
      </c>
      <c r="N389" s="6" t="s">
        <v>299</v>
      </c>
      <c r="O389" s="3" t="s">
        <v>23</v>
      </c>
      <c r="P389" s="4" t="n">
        <v>46286</v>
      </c>
      <c r="Q389" s="3"/>
    </row>
    <row r="390" customFormat="false" ht="35.05" hidden="false" customHeight="false" outlineLevel="0" collapsed="false">
      <c r="A390" s="3" t="s">
        <v>310</v>
      </c>
      <c r="B390" s="3" t="s">
        <v>32</v>
      </c>
      <c r="C390" s="3" t="s">
        <v>43</v>
      </c>
      <c r="D390" s="4" t="n">
        <v>46299</v>
      </c>
      <c r="E390" s="5" t="n">
        <v>0.625</v>
      </c>
      <c r="F390" s="5" t="n">
        <v>0.645833333333333</v>
      </c>
      <c r="G390" s="3" t="s">
        <v>20</v>
      </c>
      <c r="H390" s="3" t="s">
        <v>20</v>
      </c>
      <c r="I390" s="3" t="str">
        <f aca="false">IF(E390&gt;=TIME(18,0,0),"Y","")</f>
        <v/>
      </c>
      <c r="J390" s="3" t="str">
        <f aca="false">IF(AND(ISNUMBER(F390),F390&gt;TIME(21,0,0)),"Y","")</f>
        <v/>
      </c>
      <c r="K390" s="3" t="s">
        <v>34</v>
      </c>
      <c r="L390" s="3" t="s">
        <v>44</v>
      </c>
      <c r="M390" s="3" t="str">
        <f aca="false">CHOOSE(WEEKDAY(D390),"일","월","화","수","목","금","토")</f>
        <v>일</v>
      </c>
      <c r="N390" s="6" t="s">
        <v>299</v>
      </c>
      <c r="O390" s="3" t="s">
        <v>23</v>
      </c>
      <c r="P390" s="4" t="n">
        <v>46286</v>
      </c>
      <c r="Q390" s="3"/>
    </row>
    <row r="391" customFormat="false" ht="35.05" hidden="false" customHeight="false" outlineLevel="0" collapsed="false">
      <c r="A391" s="3" t="s">
        <v>17</v>
      </c>
      <c r="B391" s="3" t="s">
        <v>18</v>
      </c>
      <c r="C391" s="3" t="s">
        <v>19</v>
      </c>
      <c r="D391" s="4" t="n">
        <v>46299</v>
      </c>
      <c r="E391" s="5" t="n">
        <v>0.625</v>
      </c>
      <c r="F391" s="5" t="n">
        <v>0.666666666666667</v>
      </c>
      <c r="G391" s="3" t="s">
        <v>20</v>
      </c>
      <c r="H391" s="3" t="s">
        <v>20</v>
      </c>
      <c r="I391" s="3" t="str">
        <f aca="false">IF(E391&gt;=TIME(18,0,0),"Y","")</f>
        <v/>
      </c>
      <c r="J391" s="3" t="str">
        <f aca="false">IF(AND(ISNUMBER(F391),F391&gt;TIME(21,0,0)),"Y","")</f>
        <v/>
      </c>
      <c r="K391" s="3" t="s">
        <v>21</v>
      </c>
      <c r="L391" s="3" t="s">
        <v>19</v>
      </c>
      <c r="M391" s="3" t="str">
        <f aca="false">CHOOSE(WEEKDAY(D391),"일","월","화","수","목","금","토")</f>
        <v>일</v>
      </c>
      <c r="N391" s="6" t="s">
        <v>299</v>
      </c>
      <c r="O391" s="3" t="s">
        <v>23</v>
      </c>
      <c r="P391" s="4" t="n">
        <v>46286</v>
      </c>
      <c r="Q391" s="3"/>
    </row>
    <row r="392" customFormat="false" ht="35.05" hidden="false" customHeight="false" outlineLevel="0" collapsed="false">
      <c r="A392" s="3" t="s">
        <v>311</v>
      </c>
      <c r="B392" s="3" t="s">
        <v>18</v>
      </c>
      <c r="C392" s="3" t="s">
        <v>33</v>
      </c>
      <c r="D392" s="4" t="n">
        <v>46299</v>
      </c>
      <c r="E392" s="5" t="n">
        <v>0.625</v>
      </c>
      <c r="F392" s="5" t="n">
        <v>0.666666666666667</v>
      </c>
      <c r="G392" s="3" t="s">
        <v>20</v>
      </c>
      <c r="H392" s="3" t="s">
        <v>20</v>
      </c>
      <c r="I392" s="3" t="str">
        <f aca="false">IF(E392&gt;=TIME(18,0,0),"Y","")</f>
        <v/>
      </c>
      <c r="J392" s="3" t="str">
        <f aca="false">IF(AND(ISNUMBER(F392),F392&gt;TIME(21,0,0)),"Y","")</f>
        <v/>
      </c>
      <c r="K392" s="3" t="s">
        <v>29</v>
      </c>
      <c r="L392" s="3" t="s">
        <v>35</v>
      </c>
      <c r="M392" s="3" t="str">
        <f aca="false">CHOOSE(WEEKDAY(D392),"일","월","화","수","목","금","토")</f>
        <v>일</v>
      </c>
      <c r="N392" s="6" t="s">
        <v>299</v>
      </c>
      <c r="O392" s="3" t="s">
        <v>23</v>
      </c>
      <c r="P392" s="4" t="n">
        <v>46286</v>
      </c>
      <c r="Q392" s="3"/>
    </row>
    <row r="393" customFormat="false" ht="35.05" hidden="false" customHeight="false" outlineLevel="0" collapsed="false">
      <c r="A393" s="3" t="s">
        <v>81</v>
      </c>
      <c r="B393" s="3" t="s">
        <v>18</v>
      </c>
      <c r="C393" s="3" t="s">
        <v>54</v>
      </c>
      <c r="D393" s="4" t="n">
        <v>46299</v>
      </c>
      <c r="E393" s="5" t="n">
        <v>0.625</v>
      </c>
      <c r="F393" s="5" t="n">
        <v>0.666666666666667</v>
      </c>
      <c r="G393" s="3" t="s">
        <v>20</v>
      </c>
      <c r="H393" s="3" t="s">
        <v>20</v>
      </c>
      <c r="I393" s="3" t="str">
        <f aca="false">IF(E393&gt;=TIME(18,0,0),"Y","")</f>
        <v/>
      </c>
      <c r="J393" s="3" t="str">
        <f aca="false">IF(AND(ISNUMBER(F393),F393&gt;TIME(21,0,0)),"Y","")</f>
        <v/>
      </c>
      <c r="K393" s="3" t="s">
        <v>66</v>
      </c>
      <c r="L393" s="3" t="s">
        <v>26</v>
      </c>
      <c r="M393" s="3" t="str">
        <f aca="false">CHOOSE(WEEKDAY(D393),"일","월","화","수","목","금","토")</f>
        <v>일</v>
      </c>
      <c r="N393" s="6" t="s">
        <v>299</v>
      </c>
      <c r="O393" s="3" t="s">
        <v>23</v>
      </c>
      <c r="P393" s="4" t="n">
        <v>46286</v>
      </c>
      <c r="Q393" s="3"/>
    </row>
    <row r="394" customFormat="false" ht="35.05" hidden="false" customHeight="false" outlineLevel="0" collapsed="false">
      <c r="A394" s="3" t="s">
        <v>312</v>
      </c>
      <c r="B394" s="3" t="s">
        <v>32</v>
      </c>
      <c r="C394" s="3" t="s">
        <v>43</v>
      </c>
      <c r="D394" s="4" t="n">
        <v>46299</v>
      </c>
      <c r="E394" s="5" t="n">
        <v>0.645833333333333</v>
      </c>
      <c r="F394" s="5" t="n">
        <v>0.666666666666667</v>
      </c>
      <c r="G394" s="3" t="s">
        <v>20</v>
      </c>
      <c r="H394" s="3" t="s">
        <v>20</v>
      </c>
      <c r="I394" s="3" t="str">
        <f aca="false">IF(E394&gt;=TIME(18,0,0),"Y","")</f>
        <v/>
      </c>
      <c r="J394" s="3" t="str">
        <f aca="false">IF(AND(ISNUMBER(F394),F394&gt;TIME(21,0,0)),"Y","")</f>
        <v/>
      </c>
      <c r="K394" s="3" t="s">
        <v>34</v>
      </c>
      <c r="L394" s="3" t="s">
        <v>44</v>
      </c>
      <c r="M394" s="3" t="str">
        <f aca="false">CHOOSE(WEEKDAY(D394),"일","월","화","수","목","금","토")</f>
        <v>일</v>
      </c>
      <c r="N394" s="6" t="s">
        <v>299</v>
      </c>
      <c r="O394" s="3" t="s">
        <v>23</v>
      </c>
      <c r="P394" s="4" t="n">
        <v>46286</v>
      </c>
      <c r="Q394" s="3"/>
    </row>
    <row r="395" customFormat="false" ht="35.05" hidden="false" customHeight="false" outlineLevel="0" collapsed="false">
      <c r="A395" s="3" t="s">
        <v>313</v>
      </c>
      <c r="B395" s="3" t="s">
        <v>32</v>
      </c>
      <c r="C395" s="3" t="s">
        <v>28</v>
      </c>
      <c r="D395" s="4" t="n">
        <v>46299</v>
      </c>
      <c r="E395" s="5" t="n">
        <v>0.645833333333333</v>
      </c>
      <c r="F395" s="5" t="n">
        <v>0.6875</v>
      </c>
      <c r="G395" s="3" t="s">
        <v>20</v>
      </c>
      <c r="H395" s="3" t="s">
        <v>20</v>
      </c>
      <c r="I395" s="3" t="str">
        <f aca="false">IF(E395&gt;=TIME(18,0,0),"Y","")</f>
        <v/>
      </c>
      <c r="J395" s="3" t="str">
        <f aca="false">IF(AND(ISNUMBER(F395),F395&gt;TIME(21,0,0)),"Y","")</f>
        <v/>
      </c>
      <c r="K395" s="3" t="s">
        <v>34</v>
      </c>
      <c r="L395" s="3" t="s">
        <v>19</v>
      </c>
      <c r="M395" s="3" t="str">
        <f aca="false">CHOOSE(WEEKDAY(D395),"일","월","화","수","목","금","토")</f>
        <v>일</v>
      </c>
      <c r="N395" s="6" t="s">
        <v>299</v>
      </c>
      <c r="O395" s="3" t="s">
        <v>23</v>
      </c>
      <c r="P395" s="4" t="n">
        <v>46286</v>
      </c>
      <c r="Q395" s="3"/>
    </row>
    <row r="396" customFormat="false" ht="46.25" hidden="false" customHeight="false" outlineLevel="0" collapsed="false">
      <c r="A396" s="3" t="s">
        <v>314</v>
      </c>
      <c r="B396" s="3" t="s">
        <v>18</v>
      </c>
      <c r="C396" s="3" t="s">
        <v>59</v>
      </c>
      <c r="D396" s="4" t="n">
        <v>46299</v>
      </c>
      <c r="E396" s="5" t="n">
        <v>0.645833333333333</v>
      </c>
      <c r="F396" s="5" t="n">
        <v>0.6875</v>
      </c>
      <c r="G396" s="3" t="s">
        <v>60</v>
      </c>
      <c r="H396" s="3" t="s">
        <v>61</v>
      </c>
      <c r="I396" s="3" t="str">
        <f aca="false">IF(E396&gt;=TIME(18,0,0),"Y","")</f>
        <v/>
      </c>
      <c r="J396" s="3" t="str">
        <f aca="false">IF(AND(ISNUMBER(F396),F396&gt;TIME(21,0,0)),"Y","")</f>
        <v/>
      </c>
      <c r="K396" s="3" t="s">
        <v>75</v>
      </c>
      <c r="L396" s="3" t="s">
        <v>19</v>
      </c>
      <c r="M396" s="3" t="str">
        <f aca="false">CHOOSE(WEEKDAY(D396),"일","월","화","수","목","금","토")</f>
        <v>일</v>
      </c>
      <c r="N396" s="6" t="s">
        <v>299</v>
      </c>
      <c r="O396" s="3" t="s">
        <v>23</v>
      </c>
      <c r="P396" s="4" t="n">
        <v>46286</v>
      </c>
      <c r="Q396" s="3" t="s">
        <v>63</v>
      </c>
    </row>
    <row r="397" customFormat="false" ht="35.05" hidden="false" customHeight="false" outlineLevel="0" collapsed="false">
      <c r="A397" s="3" t="s">
        <v>315</v>
      </c>
      <c r="B397" s="3" t="s">
        <v>18</v>
      </c>
      <c r="C397" s="3" t="s">
        <v>57</v>
      </c>
      <c r="D397" s="4" t="n">
        <v>46299</v>
      </c>
      <c r="E397" s="5" t="n">
        <v>0.645833333333333</v>
      </c>
      <c r="F397" s="5" t="n">
        <v>0.6875</v>
      </c>
      <c r="G397" s="3" t="s">
        <v>20</v>
      </c>
      <c r="H397" s="3" t="s">
        <v>20</v>
      </c>
      <c r="I397" s="3" t="str">
        <f aca="false">IF(E397&gt;=TIME(18,0,0),"Y","")</f>
        <v/>
      </c>
      <c r="J397" s="3" t="str">
        <f aca="false">IF(AND(ISNUMBER(F397),F397&gt;TIME(21,0,0)),"Y","")</f>
        <v/>
      </c>
      <c r="K397" s="3" t="s">
        <v>48</v>
      </c>
      <c r="L397" s="3" t="s">
        <v>47</v>
      </c>
      <c r="M397" s="3" t="str">
        <f aca="false">CHOOSE(WEEKDAY(D397),"일","월","화","수","목","금","토")</f>
        <v>일</v>
      </c>
      <c r="N397" s="6" t="s">
        <v>299</v>
      </c>
      <c r="O397" s="3" t="s">
        <v>23</v>
      </c>
      <c r="P397" s="4" t="n">
        <v>46286</v>
      </c>
      <c r="Q397" s="3" t="s">
        <v>49</v>
      </c>
    </row>
    <row r="398" customFormat="false" ht="35.05" hidden="false" customHeight="false" outlineLevel="0" collapsed="false">
      <c r="A398" s="3" t="s">
        <v>50</v>
      </c>
      <c r="B398" s="3" t="s">
        <v>51</v>
      </c>
      <c r="C398" s="3" t="s">
        <v>52</v>
      </c>
      <c r="D398" s="4" t="n">
        <v>46299</v>
      </c>
      <c r="E398" s="5" t="n">
        <v>0.666666666666667</v>
      </c>
      <c r="F398" s="5" t="n">
        <v>0.6875</v>
      </c>
      <c r="G398" s="3" t="s">
        <v>20</v>
      </c>
      <c r="H398" s="3" t="s">
        <v>20</v>
      </c>
      <c r="I398" s="3" t="str">
        <f aca="false">IF(E398&gt;=TIME(18,0,0),"Y","")</f>
        <v/>
      </c>
      <c r="J398" s="3" t="str">
        <f aca="false">IF(AND(ISNUMBER(F398),F398&gt;TIME(21,0,0)),"Y","")</f>
        <v/>
      </c>
      <c r="K398" s="3" t="s">
        <v>51</v>
      </c>
      <c r="L398" s="3" t="s">
        <v>19</v>
      </c>
      <c r="M398" s="3" t="str">
        <f aca="false">CHOOSE(WEEKDAY(D398),"일","월","화","수","목","금","토")</f>
        <v>일</v>
      </c>
      <c r="N398" s="6" t="s">
        <v>299</v>
      </c>
      <c r="O398" s="3" t="s">
        <v>23</v>
      </c>
      <c r="P398" s="4" t="n">
        <v>46286</v>
      </c>
      <c r="Q398" s="3"/>
    </row>
    <row r="399" customFormat="false" ht="35.05" hidden="false" customHeight="false" outlineLevel="0" collapsed="false">
      <c r="A399" s="3" t="s">
        <v>83</v>
      </c>
      <c r="B399" s="3" t="s">
        <v>18</v>
      </c>
      <c r="C399" s="3" t="s">
        <v>43</v>
      </c>
      <c r="D399" s="4" t="n">
        <v>46299</v>
      </c>
      <c r="E399" s="5" t="n">
        <v>0.666666666666667</v>
      </c>
      <c r="F399" s="5" t="n">
        <v>0.708333333333333</v>
      </c>
      <c r="G399" s="3" t="s">
        <v>20</v>
      </c>
      <c r="H399" s="3" t="s">
        <v>20</v>
      </c>
      <c r="I399" s="3" t="str">
        <f aca="false">IF(E399&gt;=TIME(18,0,0),"Y","")</f>
        <v/>
      </c>
      <c r="J399" s="3" t="str">
        <f aca="false">IF(AND(ISNUMBER(F399),F399&gt;TIME(21,0,0)),"Y","")</f>
        <v/>
      </c>
      <c r="K399" s="3" t="s">
        <v>40</v>
      </c>
      <c r="L399" s="3" t="s">
        <v>44</v>
      </c>
      <c r="M399" s="3" t="str">
        <f aca="false">CHOOSE(WEEKDAY(D399),"일","월","화","수","목","금","토")</f>
        <v>일</v>
      </c>
      <c r="N399" s="6" t="s">
        <v>299</v>
      </c>
      <c r="O399" s="3" t="s">
        <v>23</v>
      </c>
      <c r="P399" s="4" t="n">
        <v>46286</v>
      </c>
      <c r="Q399" s="3"/>
    </row>
    <row r="400" customFormat="false" ht="35.05" hidden="false" customHeight="false" outlineLevel="0" collapsed="false">
      <c r="A400" s="3" t="s">
        <v>55</v>
      </c>
      <c r="B400" s="3" t="s">
        <v>51</v>
      </c>
      <c r="C400" s="3" t="s">
        <v>52</v>
      </c>
      <c r="D400" s="4" t="n">
        <v>46299</v>
      </c>
      <c r="E400" s="5" t="n">
        <v>0.6875</v>
      </c>
      <c r="F400" s="5" t="n">
        <v>0.708333333333333</v>
      </c>
      <c r="G400" s="3" t="s">
        <v>20</v>
      </c>
      <c r="H400" s="3" t="s">
        <v>20</v>
      </c>
      <c r="I400" s="3" t="str">
        <f aca="false">IF(E400&gt;=TIME(18,0,0),"Y","")</f>
        <v/>
      </c>
      <c r="J400" s="3" t="str">
        <f aca="false">IF(AND(ISNUMBER(F400),F400&gt;TIME(21,0,0)),"Y","")</f>
        <v/>
      </c>
      <c r="K400" s="3" t="s">
        <v>51</v>
      </c>
      <c r="L400" s="3" t="s">
        <v>19</v>
      </c>
      <c r="M400" s="3" t="str">
        <f aca="false">CHOOSE(WEEKDAY(D400),"일","월","화","수","목","금","토")</f>
        <v>일</v>
      </c>
      <c r="N400" s="6" t="s">
        <v>299</v>
      </c>
      <c r="O400" s="3" t="s">
        <v>23</v>
      </c>
      <c r="P400" s="4" t="n">
        <v>46286</v>
      </c>
      <c r="Q400" s="3"/>
    </row>
    <row r="401" customFormat="false" ht="35.05" hidden="false" customHeight="false" outlineLevel="0" collapsed="false">
      <c r="A401" s="3" t="s">
        <v>316</v>
      </c>
      <c r="B401" s="3" t="s">
        <v>18</v>
      </c>
      <c r="C401" s="3" t="s">
        <v>33</v>
      </c>
      <c r="D401" s="4" t="n">
        <v>46299</v>
      </c>
      <c r="E401" s="5" t="n">
        <v>0.6875</v>
      </c>
      <c r="F401" s="5" t="n">
        <v>0.708333333333333</v>
      </c>
      <c r="G401" s="3" t="s">
        <v>20</v>
      </c>
      <c r="H401" s="3" t="s">
        <v>20</v>
      </c>
      <c r="I401" s="3" t="str">
        <f aca="false">IF(E401&gt;=TIME(18,0,0),"Y","")</f>
        <v/>
      </c>
      <c r="J401" s="3" t="str">
        <f aca="false">IF(AND(ISNUMBER(F401),F401&gt;TIME(21,0,0)),"Y","")</f>
        <v/>
      </c>
      <c r="K401" s="3" t="s">
        <v>29</v>
      </c>
      <c r="L401" s="3" t="s">
        <v>35</v>
      </c>
      <c r="M401" s="3" t="str">
        <f aca="false">CHOOSE(WEEKDAY(D401),"일","월","화","수","목","금","토")</f>
        <v>일</v>
      </c>
      <c r="N401" s="6" t="s">
        <v>299</v>
      </c>
      <c r="O401" s="3" t="s">
        <v>23</v>
      </c>
      <c r="P401" s="4" t="n">
        <v>46286</v>
      </c>
      <c r="Q401" s="3"/>
    </row>
    <row r="402" customFormat="false" ht="35.05" hidden="false" customHeight="false" outlineLevel="0" collapsed="false">
      <c r="A402" s="3" t="s">
        <v>17</v>
      </c>
      <c r="B402" s="3" t="s">
        <v>18</v>
      </c>
      <c r="C402" s="3" t="s">
        <v>19</v>
      </c>
      <c r="D402" s="4" t="n">
        <v>46299</v>
      </c>
      <c r="E402" s="5" t="n">
        <v>0.708333333333333</v>
      </c>
      <c r="F402" s="5" t="n">
        <v>0.75</v>
      </c>
      <c r="G402" s="3" t="s">
        <v>20</v>
      </c>
      <c r="H402" s="3" t="s">
        <v>20</v>
      </c>
      <c r="I402" s="3" t="str">
        <f aca="false">IF(E402&gt;=TIME(18,0,0),"Y","")</f>
        <v/>
      </c>
      <c r="J402" s="3" t="str">
        <f aca="false">IF(AND(ISNUMBER(F402),F402&gt;TIME(21,0,0)),"Y","")</f>
        <v/>
      </c>
      <c r="K402" s="3" t="s">
        <v>21</v>
      </c>
      <c r="L402" s="3" t="s">
        <v>19</v>
      </c>
      <c r="M402" s="3" t="str">
        <f aca="false">CHOOSE(WEEKDAY(D402),"일","월","화","수","목","금","토")</f>
        <v>일</v>
      </c>
      <c r="N402" s="6" t="s">
        <v>299</v>
      </c>
      <c r="O402" s="3" t="s">
        <v>23</v>
      </c>
      <c r="P402" s="4" t="n">
        <v>46286</v>
      </c>
      <c r="Q402" s="3"/>
    </row>
    <row r="403" customFormat="false" ht="46.25" hidden="false" customHeight="false" outlineLevel="0" collapsed="false">
      <c r="A403" s="3" t="s">
        <v>317</v>
      </c>
      <c r="B403" s="3" t="s">
        <v>18</v>
      </c>
      <c r="C403" s="3" t="s">
        <v>59</v>
      </c>
      <c r="D403" s="4" t="n">
        <v>46299</v>
      </c>
      <c r="E403" s="5" t="n">
        <v>0.708333333333333</v>
      </c>
      <c r="F403" s="5" t="n">
        <v>0.75</v>
      </c>
      <c r="G403" s="3" t="s">
        <v>60</v>
      </c>
      <c r="H403" s="3" t="s">
        <v>61</v>
      </c>
      <c r="I403" s="3" t="str">
        <f aca="false">IF(E403&gt;=TIME(18,0,0),"Y","")</f>
        <v/>
      </c>
      <c r="J403" s="3" t="str">
        <f aca="false">IF(AND(ISNUMBER(F403),F403&gt;TIME(21,0,0)),"Y","")</f>
        <v/>
      </c>
      <c r="K403" s="3" t="s">
        <v>110</v>
      </c>
      <c r="L403" s="3" t="s">
        <v>19</v>
      </c>
      <c r="M403" s="3" t="str">
        <f aca="false">CHOOSE(WEEKDAY(D403),"일","월","화","수","목","금","토")</f>
        <v>일</v>
      </c>
      <c r="N403" s="6" t="s">
        <v>299</v>
      </c>
      <c r="O403" s="3" t="s">
        <v>23</v>
      </c>
      <c r="P403" s="4" t="n">
        <v>46286</v>
      </c>
      <c r="Q403" s="3" t="s">
        <v>63</v>
      </c>
    </row>
    <row r="404" customFormat="false" ht="35.05" hidden="false" customHeight="false" outlineLevel="0" collapsed="false">
      <c r="A404" s="3" t="s">
        <v>318</v>
      </c>
      <c r="B404" s="3" t="s">
        <v>18</v>
      </c>
      <c r="C404" s="3" t="s">
        <v>33</v>
      </c>
      <c r="D404" s="4" t="n">
        <v>46299</v>
      </c>
      <c r="E404" s="5" t="n">
        <v>0.708333333333333</v>
      </c>
      <c r="F404" s="5" t="n">
        <v>0.75</v>
      </c>
      <c r="G404" s="3" t="s">
        <v>20</v>
      </c>
      <c r="H404" s="3" t="s">
        <v>20</v>
      </c>
      <c r="I404" s="3" t="str">
        <f aca="false">IF(E404&gt;=TIME(18,0,0),"Y","")</f>
        <v/>
      </c>
      <c r="J404" s="3" t="str">
        <f aca="false">IF(AND(ISNUMBER(F404),F404&gt;TIME(21,0,0)),"Y","")</f>
        <v/>
      </c>
      <c r="K404" s="3" t="s">
        <v>29</v>
      </c>
      <c r="L404" s="3" t="s">
        <v>35</v>
      </c>
      <c r="M404" s="3" t="str">
        <f aca="false">CHOOSE(WEEKDAY(D404),"일","월","화","수","목","금","토")</f>
        <v>일</v>
      </c>
      <c r="N404" s="6" t="s">
        <v>299</v>
      </c>
      <c r="O404" s="3" t="s">
        <v>23</v>
      </c>
      <c r="P404" s="4" t="n">
        <v>46286</v>
      </c>
      <c r="Q404" s="3"/>
    </row>
    <row r="405" customFormat="false" ht="35.05" hidden="false" customHeight="false" outlineLevel="0" collapsed="false">
      <c r="A405" s="3" t="s">
        <v>91</v>
      </c>
      <c r="B405" s="3" t="s">
        <v>18</v>
      </c>
      <c r="C405" s="3" t="s">
        <v>87</v>
      </c>
      <c r="D405" s="4" t="n">
        <v>46299</v>
      </c>
      <c r="E405" s="5" t="n">
        <v>0.708333333333333</v>
      </c>
      <c r="F405" s="5" t="n">
        <v>0.75</v>
      </c>
      <c r="G405" s="3" t="s">
        <v>20</v>
      </c>
      <c r="H405" s="3" t="s">
        <v>20</v>
      </c>
      <c r="I405" s="3" t="str">
        <f aca="false">IF(E405&gt;=TIME(18,0,0),"Y","")</f>
        <v/>
      </c>
      <c r="J405" s="3" t="str">
        <f aca="false">IF(AND(ISNUMBER(F405),F405&gt;TIME(21,0,0)),"Y","")</f>
        <v/>
      </c>
      <c r="K405" s="3" t="s">
        <v>66</v>
      </c>
      <c r="L405" s="3" t="s">
        <v>26</v>
      </c>
      <c r="M405" s="3" t="str">
        <f aca="false">CHOOSE(WEEKDAY(D405),"일","월","화","수","목","금","토")</f>
        <v>일</v>
      </c>
      <c r="N405" s="6" t="s">
        <v>299</v>
      </c>
      <c r="O405" s="3" t="s">
        <v>23</v>
      </c>
      <c r="P405" s="4" t="n">
        <v>46286</v>
      </c>
      <c r="Q405" s="3"/>
    </row>
    <row r="406" customFormat="false" ht="35.05" hidden="false" customHeight="false" outlineLevel="0" collapsed="false">
      <c r="A406" s="7" t="s">
        <v>319</v>
      </c>
      <c r="B406" s="3" t="s">
        <v>18</v>
      </c>
      <c r="C406" s="3" t="s">
        <v>28</v>
      </c>
      <c r="D406" s="4" t="n">
        <v>46299</v>
      </c>
      <c r="E406" s="5" t="n">
        <v>0.708333333333333</v>
      </c>
      <c r="F406" s="5" t="n">
        <v>0.770833333333333</v>
      </c>
      <c r="G406" s="3" t="s">
        <v>20</v>
      </c>
      <c r="H406" s="3" t="s">
        <v>20</v>
      </c>
      <c r="I406" s="3" t="str">
        <f aca="false">IF(E406&gt;=TIME(18,0,0),"Y","")</f>
        <v/>
      </c>
      <c r="J406" s="3" t="str">
        <f aca="false">IF(AND(ISNUMBER(F406),F406&gt;TIME(21,0,0)),"Y","")</f>
        <v/>
      </c>
      <c r="K406" s="3" t="s">
        <v>107</v>
      </c>
      <c r="L406" s="3" t="s">
        <v>19</v>
      </c>
      <c r="M406" s="3" t="str">
        <f aca="false">CHOOSE(WEEKDAY(D406),"일","월","화","수","목","금","토")</f>
        <v>일</v>
      </c>
      <c r="N406" s="6" t="s">
        <v>299</v>
      </c>
      <c r="O406" s="3" t="s">
        <v>23</v>
      </c>
      <c r="P406" s="4" t="n">
        <v>46286</v>
      </c>
      <c r="Q406" s="3"/>
    </row>
    <row r="407" customFormat="false" ht="35.05" hidden="false" customHeight="false" outlineLevel="0" collapsed="false">
      <c r="A407" s="3" t="s">
        <v>166</v>
      </c>
      <c r="B407" s="3" t="s">
        <v>18</v>
      </c>
      <c r="C407" s="3" t="s">
        <v>43</v>
      </c>
      <c r="D407" s="4" t="n">
        <v>46299</v>
      </c>
      <c r="E407" s="5" t="n">
        <v>0.708333333333333</v>
      </c>
      <c r="F407" s="5" t="n">
        <v>0.770833333333333</v>
      </c>
      <c r="G407" s="3" t="s">
        <v>20</v>
      </c>
      <c r="H407" s="3" t="s">
        <v>20</v>
      </c>
      <c r="I407" s="3" t="str">
        <f aca="false">IF(E407&gt;=TIME(18,0,0),"Y","")</f>
        <v/>
      </c>
      <c r="J407" s="3" t="str">
        <f aca="false">IF(AND(ISNUMBER(F407),F407&gt;TIME(21,0,0)),"Y","")</f>
        <v/>
      </c>
      <c r="K407" s="3" t="s">
        <v>29</v>
      </c>
      <c r="L407" s="3" t="s">
        <v>44</v>
      </c>
      <c r="M407" s="3" t="str">
        <f aca="false">CHOOSE(WEEKDAY(D407),"일","월","화","수","목","금","토")</f>
        <v>일</v>
      </c>
      <c r="N407" s="6" t="s">
        <v>299</v>
      </c>
      <c r="O407" s="3" t="s">
        <v>23</v>
      </c>
      <c r="P407" s="4" t="n">
        <v>46286</v>
      </c>
      <c r="Q407" s="3"/>
    </row>
    <row r="408" customFormat="false" ht="35.05" hidden="false" customHeight="false" outlineLevel="0" collapsed="false">
      <c r="A408" s="3" t="s">
        <v>125</v>
      </c>
      <c r="B408" s="3" t="s">
        <v>18</v>
      </c>
      <c r="C408" s="3" t="s">
        <v>52</v>
      </c>
      <c r="D408" s="4" t="n">
        <v>46299</v>
      </c>
      <c r="E408" s="5" t="n">
        <v>0.729166666666667</v>
      </c>
      <c r="F408" s="5" t="n">
        <v>0.75</v>
      </c>
      <c r="G408" s="3" t="s">
        <v>20</v>
      </c>
      <c r="H408" s="3" t="s">
        <v>20</v>
      </c>
      <c r="I408" s="3" t="str">
        <f aca="false">IF(E408&gt;=TIME(18,0,0),"Y","")</f>
        <v/>
      </c>
      <c r="J408" s="3" t="str">
        <f aca="false">IF(AND(ISNUMBER(F408),F408&gt;TIME(21,0,0)),"Y","")</f>
        <v/>
      </c>
      <c r="K408" s="3" t="s">
        <v>29</v>
      </c>
      <c r="L408" s="3" t="s">
        <v>19</v>
      </c>
      <c r="M408" s="3" t="str">
        <f aca="false">CHOOSE(WEEKDAY(D408),"일","월","화","수","목","금","토")</f>
        <v>일</v>
      </c>
      <c r="N408" s="6" t="s">
        <v>299</v>
      </c>
      <c r="O408" s="3" t="s">
        <v>23</v>
      </c>
      <c r="P408" s="4" t="n">
        <v>46286</v>
      </c>
      <c r="Q408" s="3"/>
    </row>
    <row r="409" customFormat="false" ht="35.05" hidden="false" customHeight="false" outlineLevel="0" collapsed="false">
      <c r="A409" s="3" t="s">
        <v>316</v>
      </c>
      <c r="B409" s="3" t="s">
        <v>18</v>
      </c>
      <c r="C409" s="3" t="s">
        <v>52</v>
      </c>
      <c r="D409" s="4" t="n">
        <v>46299</v>
      </c>
      <c r="E409" s="5" t="n">
        <v>0.75</v>
      </c>
      <c r="F409" s="5" t="n">
        <v>0.770833333333333</v>
      </c>
      <c r="G409" s="3" t="s">
        <v>20</v>
      </c>
      <c r="H409" s="3" t="s">
        <v>20</v>
      </c>
      <c r="I409" s="3" t="str">
        <f aca="false">IF(E409&gt;=TIME(18,0,0),"Y","")</f>
        <v>Y</v>
      </c>
      <c r="J409" s="3" t="str">
        <f aca="false">IF(AND(ISNUMBER(F409),F409&gt;TIME(21,0,0)),"Y","")</f>
        <v/>
      </c>
      <c r="K409" s="3" t="s">
        <v>29</v>
      </c>
      <c r="L409" s="3" t="s">
        <v>19</v>
      </c>
      <c r="M409" s="3" t="str">
        <f aca="false">CHOOSE(WEEKDAY(D409),"일","월","화","수","목","금","토")</f>
        <v>일</v>
      </c>
      <c r="N409" s="6" t="s">
        <v>299</v>
      </c>
      <c r="O409" s="3" t="s">
        <v>23</v>
      </c>
      <c r="P409" s="4" t="n">
        <v>46286</v>
      </c>
      <c r="Q409" s="3"/>
    </row>
    <row r="410" customFormat="false" ht="35.05" hidden="false" customHeight="false" outlineLevel="0" collapsed="false">
      <c r="A410" s="3" t="s">
        <v>320</v>
      </c>
      <c r="B410" s="3" t="s">
        <v>18</v>
      </c>
      <c r="C410" s="3" t="s">
        <v>33</v>
      </c>
      <c r="D410" s="4" t="n">
        <v>46299</v>
      </c>
      <c r="E410" s="5" t="n">
        <v>0.75</v>
      </c>
      <c r="F410" s="5" t="n">
        <v>0.895833333333333</v>
      </c>
      <c r="G410" s="3" t="s">
        <v>20</v>
      </c>
      <c r="H410" s="3" t="s">
        <v>20</v>
      </c>
      <c r="I410" s="3" t="str">
        <f aca="false">IF(E410&gt;=TIME(18,0,0),"Y","")</f>
        <v>Y</v>
      </c>
      <c r="J410" s="3" t="str">
        <f aca="false">IF(AND(ISNUMBER(F410),F410&gt;TIME(21,0,0)),"Y","")</f>
        <v>Y</v>
      </c>
      <c r="K410" s="3" t="s">
        <v>70</v>
      </c>
      <c r="L410" s="3" t="s">
        <v>35</v>
      </c>
      <c r="M410" s="3" t="str">
        <f aca="false">CHOOSE(WEEKDAY(D410),"일","월","화","수","목","금","토")</f>
        <v>일</v>
      </c>
      <c r="N410" s="6" t="s">
        <v>299</v>
      </c>
      <c r="O410" s="3" t="s">
        <v>23</v>
      </c>
      <c r="P410" s="4" t="n">
        <v>46286</v>
      </c>
      <c r="Q410" s="3"/>
    </row>
    <row r="411" customFormat="false" ht="35.05" hidden="false" customHeight="false" outlineLevel="0" collapsed="false">
      <c r="A411" s="3" t="s">
        <v>158</v>
      </c>
      <c r="B411" s="3" t="s">
        <v>18</v>
      </c>
      <c r="C411" s="3" t="s">
        <v>28</v>
      </c>
      <c r="D411" s="4" t="n">
        <v>46299</v>
      </c>
      <c r="E411" s="5" t="n">
        <v>0.770833333333333</v>
      </c>
      <c r="F411" s="5" t="n">
        <v>0.791666666666667</v>
      </c>
      <c r="G411" s="3" t="s">
        <v>20</v>
      </c>
      <c r="H411" s="3" t="s">
        <v>20</v>
      </c>
      <c r="I411" s="3" t="str">
        <f aca="false">IF(E411&gt;=TIME(18,0,0),"Y","")</f>
        <v>Y</v>
      </c>
      <c r="J411" s="3" t="str">
        <f aca="false">IF(AND(ISNUMBER(F411),F411&gt;TIME(21,0,0)),"Y","")</f>
        <v/>
      </c>
      <c r="K411" s="3" t="s">
        <v>66</v>
      </c>
      <c r="L411" s="3" t="s">
        <v>19</v>
      </c>
      <c r="M411" s="3" t="str">
        <f aca="false">CHOOSE(WEEKDAY(D411),"일","월","화","수","목","금","토")</f>
        <v>일</v>
      </c>
      <c r="N411" s="6" t="s">
        <v>299</v>
      </c>
      <c r="O411" s="3" t="s">
        <v>23</v>
      </c>
      <c r="P411" s="4" t="n">
        <v>46286</v>
      </c>
      <c r="Q411" s="3"/>
    </row>
    <row r="412" customFormat="false" ht="35.05" hidden="false" customHeight="false" outlineLevel="0" collapsed="false">
      <c r="A412" s="3" t="s">
        <v>321</v>
      </c>
      <c r="B412" s="3" t="s">
        <v>18</v>
      </c>
      <c r="C412" s="3" t="s">
        <v>28</v>
      </c>
      <c r="D412" s="4" t="n">
        <v>46299</v>
      </c>
      <c r="E412" s="5" t="n">
        <v>0.791666666666667</v>
      </c>
      <c r="F412" s="5" t="n">
        <v>0.833333333333333</v>
      </c>
      <c r="G412" s="3" t="s">
        <v>20</v>
      </c>
      <c r="H412" s="3" t="s">
        <v>20</v>
      </c>
      <c r="I412" s="3" t="str">
        <f aca="false">IF(E412&gt;=TIME(18,0,0),"Y","")</f>
        <v>Y</v>
      </c>
      <c r="J412" s="3" t="str">
        <f aca="false">IF(AND(ISNUMBER(F412),F412&gt;TIME(21,0,0)),"Y","")</f>
        <v/>
      </c>
      <c r="K412" s="3" t="s">
        <v>29</v>
      </c>
      <c r="L412" s="3" t="s">
        <v>19</v>
      </c>
      <c r="M412" s="3" t="str">
        <f aca="false">CHOOSE(WEEKDAY(D412),"일","월","화","수","목","금","토")</f>
        <v>일</v>
      </c>
      <c r="N412" s="6" t="s">
        <v>299</v>
      </c>
      <c r="O412" s="3" t="s">
        <v>23</v>
      </c>
      <c r="P412" s="4" t="n">
        <v>46286</v>
      </c>
      <c r="Q412" s="3"/>
    </row>
    <row r="413" customFormat="false" ht="46.25" hidden="false" customHeight="false" outlineLevel="0" collapsed="false">
      <c r="A413" s="3" t="s">
        <v>56</v>
      </c>
      <c r="B413" s="3" t="s">
        <v>18</v>
      </c>
      <c r="C413" s="3" t="s">
        <v>59</v>
      </c>
      <c r="D413" s="4" t="n">
        <v>46299</v>
      </c>
      <c r="E413" s="5" t="n">
        <v>0.791666666666667</v>
      </c>
      <c r="F413" s="5" t="n">
        <v>0.833333333333333</v>
      </c>
      <c r="G413" s="3" t="s">
        <v>60</v>
      </c>
      <c r="H413" s="3" t="s">
        <v>61</v>
      </c>
      <c r="I413" s="3" t="str">
        <f aca="false">IF(E413&gt;=TIME(18,0,0),"Y","")</f>
        <v>Y</v>
      </c>
      <c r="J413" s="3" t="str">
        <f aca="false">IF(AND(ISNUMBER(F413),F413&gt;TIME(21,0,0)),"Y","")</f>
        <v/>
      </c>
      <c r="K413" s="3" t="s">
        <v>62</v>
      </c>
      <c r="L413" s="3" t="s">
        <v>19</v>
      </c>
      <c r="M413" s="3" t="str">
        <f aca="false">CHOOSE(WEEKDAY(D413),"일","월","화","수","목","금","토")</f>
        <v>일</v>
      </c>
      <c r="N413" s="6" t="s">
        <v>299</v>
      </c>
      <c r="O413" s="3" t="s">
        <v>23</v>
      </c>
      <c r="P413" s="4" t="n">
        <v>46286</v>
      </c>
      <c r="Q413" s="3" t="s">
        <v>63</v>
      </c>
    </row>
    <row r="414" customFormat="false" ht="35.05" hidden="false" customHeight="false" outlineLevel="0" collapsed="false">
      <c r="A414" s="3" t="s">
        <v>112</v>
      </c>
      <c r="B414" s="3" t="s">
        <v>18</v>
      </c>
      <c r="C414" s="3" t="s">
        <v>47</v>
      </c>
      <c r="D414" s="4" t="n">
        <v>46299</v>
      </c>
      <c r="E414" s="5" t="n">
        <v>0.791666666666667</v>
      </c>
      <c r="F414" s="5" t="n">
        <v>0.875</v>
      </c>
      <c r="G414" s="3" t="s">
        <v>20</v>
      </c>
      <c r="H414" s="3" t="s">
        <v>20</v>
      </c>
      <c r="I414" s="3" t="str">
        <f aca="false">IF(E414&gt;=TIME(18,0,0),"Y","")</f>
        <v>Y</v>
      </c>
      <c r="J414" s="3" t="str">
        <f aca="false">IF(AND(ISNUMBER(F414),F414&gt;TIME(21,0,0)),"Y","")</f>
        <v/>
      </c>
      <c r="K414" s="3" t="s">
        <v>48</v>
      </c>
      <c r="L414" s="3" t="s">
        <v>47</v>
      </c>
      <c r="M414" s="3" t="str">
        <f aca="false">CHOOSE(WEEKDAY(D414),"일","월","화","수","목","금","토")</f>
        <v>일</v>
      </c>
      <c r="N414" s="6" t="s">
        <v>299</v>
      </c>
      <c r="O414" s="3" t="s">
        <v>23</v>
      </c>
      <c r="P414" s="4" t="n">
        <v>46286</v>
      </c>
      <c r="Q414" s="3" t="s">
        <v>49</v>
      </c>
    </row>
  </sheetData>
  <autoFilter ref="A1:Q414"/>
  <hyperlinks>
    <hyperlink ref="N2" r:id="rId1" display="https://www.maskdance.com/2024/sub7/sub1.asp?ymd=20260924"/>
    <hyperlink ref="N3" r:id="rId2" display="https://www.maskdance.com/2024/sub7/sub1.asp?ymd=20260924"/>
    <hyperlink ref="N4" r:id="rId3" display="https://www.maskdance.com/2024/sub7/sub1.asp?ymd=20260924"/>
    <hyperlink ref="N5" r:id="rId4" display="https://www.maskdance.com/2024/sub7/sub1.asp?ymd=20260924"/>
    <hyperlink ref="N6" r:id="rId5" display="https://www.maskdance.com/2024/sub7/sub1.asp?ymd=20260924"/>
    <hyperlink ref="N7" r:id="rId6" display="https://www.maskdance.com/2024/sub7/sub1.asp?ymd=20260924"/>
    <hyperlink ref="N8" r:id="rId7" display="https://www.maskdance.com/2024/sub7/sub1.asp?ymd=20260924"/>
    <hyperlink ref="N9" r:id="rId8" display="https://www.maskdance.com/2024/sub7/sub1.asp?ymd=20260924"/>
    <hyperlink ref="N10" r:id="rId9" display="https://www.maskdance.com/2024/sub7/sub1.asp?ymd=20260924"/>
    <hyperlink ref="N11" r:id="rId10" display="https://www.maskdance.com/2024/sub7/sub1.asp?ymd=20260924"/>
    <hyperlink ref="N12" r:id="rId11" display="https://www.maskdance.com/2024/sub7/sub1.asp?ymd=20260924"/>
    <hyperlink ref="N13" r:id="rId12" display="https://www.maskdance.com/2024/sub7/sub1.asp?ymd=20260924"/>
    <hyperlink ref="N14" r:id="rId13" display="https://www.maskdance.com/2024/sub7/sub1.asp?ymd=20260925"/>
    <hyperlink ref="N15" r:id="rId14" display="https://www.maskdance.com/2024/sub7/sub1.asp?ymd=20260925"/>
    <hyperlink ref="N16" r:id="rId15" display="https://www.maskdance.com/2024/sub7/sub1.asp?ymd=20260925"/>
    <hyperlink ref="N17" r:id="rId16" display="https://www.maskdance.com/2024/sub7/sub1.asp?ymd=20260925"/>
    <hyperlink ref="N18" r:id="rId17" display="https://www.maskdance.com/2024/sub7/sub1.asp?ymd=20260925"/>
    <hyperlink ref="N19" r:id="rId18" display="https://www.maskdance.com/2024/sub7/sub1.asp?ymd=20260925"/>
    <hyperlink ref="N20" r:id="rId19" display="https://www.maskdance.com/2024/sub7/sub1.asp?ymd=20260925"/>
    <hyperlink ref="N21" r:id="rId20" display="https://www.maskdance.com/2024/sub7/sub1.asp?ymd=20260925"/>
    <hyperlink ref="N22" r:id="rId21" display="https://www.maskdance.com/2024/sub7/sub1.asp?ymd=20260925"/>
    <hyperlink ref="N23" r:id="rId22" display="https://www.maskdance.com/2024/sub7/sub1.asp?ymd=20260925"/>
    <hyperlink ref="N24" r:id="rId23" display="https://www.maskdance.com/2024/sub7/sub1.asp?ymd=20260925"/>
    <hyperlink ref="N25" r:id="rId24" display="https://www.maskdance.com/2024/sub7/sub1.asp?ymd=20260925"/>
    <hyperlink ref="N26" r:id="rId25" display="https://www.maskdance.com/2024/sub7/sub1.asp?ymd=20260925"/>
    <hyperlink ref="N27" r:id="rId26" display="https://www.maskdance.com/2024/sub7/sub1.asp?ymd=20260925"/>
    <hyperlink ref="N28" r:id="rId27" display="https://www.maskdance.com/2024/sub7/sub1.asp?ymd=20260925"/>
    <hyperlink ref="N29" r:id="rId28" display="https://www.maskdance.com/2024/sub7/sub1.asp?ymd=20260925"/>
    <hyperlink ref="N30" r:id="rId29" display="https://www.maskdance.com/2024/sub7/sub1.asp?ymd=20260925"/>
    <hyperlink ref="N31" r:id="rId30" display="https://www.maskdance.com/2024/sub7/sub1.asp?ymd=20260925"/>
    <hyperlink ref="N32" r:id="rId31" display="https://www.maskdance.com/2024/sub7/sub1.asp?ymd=20260926"/>
    <hyperlink ref="N33" r:id="rId32" display="https://www.maskdance.com/2024/sub7/sub1.asp?ymd=20260926"/>
    <hyperlink ref="N34" r:id="rId33" display="https://www.maskdance.com/2024/sub7/sub1.asp?ymd=20260926"/>
    <hyperlink ref="N35" r:id="rId34" display="https://www.maskdance.com/2024/sub7/sub1.asp?ymd=20260926"/>
    <hyperlink ref="N36" r:id="rId35" display="https://www.maskdance.com/2024/sub7/sub1.asp?ymd=20260926"/>
    <hyperlink ref="N37" r:id="rId36" display="https://www.maskdance.com/2024/sub7/sub1.asp?ymd=20260926"/>
    <hyperlink ref="N38" r:id="rId37" display="https://www.maskdance.com/2024/sub7/sub1.asp?ymd=20260926"/>
    <hyperlink ref="N39" r:id="rId38" display="https://www.maskdance.com/2024/sub7/sub1.asp?ymd=20260926"/>
    <hyperlink ref="N40" r:id="rId39" display="https://www.maskdance.com/2024/sub7/sub1.asp?ymd=20260926"/>
    <hyperlink ref="N41" r:id="rId40" display="https://www.maskdance.com/2024/sub7/sub1.asp?ymd=20260926"/>
    <hyperlink ref="N42" r:id="rId41" display="https://www.maskdance.com/2024/sub7/sub1.asp?ymd=20260926"/>
    <hyperlink ref="N43" r:id="rId42" display="https://www.maskdance.com/2024/sub7/sub1.asp?ymd=20260926"/>
    <hyperlink ref="N44" r:id="rId43" display="https://www.maskdance.com/2024/sub7/sub1.asp?ymd=20260926"/>
    <hyperlink ref="N45" r:id="rId44" display="https://www.maskdance.com/2024/sub7/sub1.asp?ymd=20260926"/>
    <hyperlink ref="N46" r:id="rId45" display="https://www.maskdance.com/2024/sub7/sub1.asp?ymd=20260926"/>
    <hyperlink ref="N47" r:id="rId46" display="https://www.maskdance.com/2024/sub7/sub1.asp?ymd=20260926"/>
    <hyperlink ref="N48" r:id="rId47" display="https://www.maskdance.com/2024/sub7/sub1.asp?ymd=20260926"/>
    <hyperlink ref="N49" r:id="rId48" display="https://www.maskdance.com/2024/sub7/sub1.asp?ymd=20260926"/>
    <hyperlink ref="N50" r:id="rId49" display="https://www.maskdance.com/2024/sub7/sub1.asp?ymd=20260926"/>
    <hyperlink ref="N51" r:id="rId50" display="https://www.maskdance.com/2024/sub7/sub1.asp?ymd=20260926"/>
    <hyperlink ref="N52" r:id="rId51" display="https://www.maskdance.com/2024/sub7/sub1.asp?ymd=20260926"/>
    <hyperlink ref="N53" r:id="rId52" display="https://www.maskdance.com/2024/sub7/sub1.asp?ymd=20260926"/>
    <hyperlink ref="N54" r:id="rId53" display="https://www.maskdance.com/2024/sub7/sub1.asp?ymd=20260926"/>
    <hyperlink ref="N55" r:id="rId54" display="https://www.maskdance.com/2024/sub7/sub1.asp?ymd=20260926"/>
    <hyperlink ref="N56" r:id="rId55" display="https://www.maskdance.com/2024/sub7/sub1.asp?ymd=20260926"/>
    <hyperlink ref="N57" r:id="rId56" display="https://www.maskdance.com/2024/sub7/sub1.asp?ymd=20260926"/>
    <hyperlink ref="N58" r:id="rId57" display="https://www.maskdance.com/2024/sub7/sub1.asp?ymd=20260926"/>
    <hyperlink ref="N59" r:id="rId58" display="https://www.maskdance.com/2024/sub7/sub1.asp?ymd=20260926"/>
    <hyperlink ref="N60" r:id="rId59" display="https://www.maskdance.com/2024/sub7/sub1.asp?ymd=20260926"/>
    <hyperlink ref="N61" r:id="rId60" display="https://www.maskdance.com/2024/sub7/sub1.asp?ymd=20260926"/>
    <hyperlink ref="N62" r:id="rId61" display="https://www.maskdance.com/2024/sub7/sub1.asp?ymd=20260926"/>
    <hyperlink ref="N63" r:id="rId62" display="https://www.maskdance.com/2024/sub7/sub1.asp?ymd=20260926"/>
    <hyperlink ref="N64" r:id="rId63" display="https://www.maskdance.com/2024/sub7/sub1.asp?ymd=20260926"/>
    <hyperlink ref="N65" r:id="rId64" display="https://www.maskdance.com/2024/sub7/sub1.asp?ymd=20260926"/>
    <hyperlink ref="N66" r:id="rId65" display="https://www.maskdance.com/2024/sub7/sub1.asp?ymd=20260926"/>
    <hyperlink ref="N67" r:id="rId66" display="https://www.maskdance.com/2024/sub7/sub1.asp?ymd=20260926"/>
    <hyperlink ref="N68" r:id="rId67" display="https://www.maskdance.com/2024/sub7/sub1.asp?ymd=20260926"/>
    <hyperlink ref="N69" r:id="rId68" display="https://www.maskdance.com/2024/sub7/sub1.asp?ymd=20260926"/>
    <hyperlink ref="N70" r:id="rId69" display="https://www.maskdance.com/2024/sub7/sub1.asp?ymd=20260926"/>
    <hyperlink ref="N71" r:id="rId70" display="https://www.maskdance.com/2024/sub7/sub1.asp?ymd=20260926"/>
    <hyperlink ref="N72" r:id="rId71" display="https://www.maskdance.com/2024/sub7/sub1.asp?ymd=20260926"/>
    <hyperlink ref="N73" r:id="rId72" display="https://www.maskdance.com/2024/sub7/sub1.asp?ymd=20260926"/>
    <hyperlink ref="N74" r:id="rId73" display="https://www.maskdance.com/2024/sub7/sub1.asp?ymd=20260926"/>
    <hyperlink ref="N75" r:id="rId74" display="https://www.maskdance.com/2024/sub7/sub1.asp?ymd=20260926"/>
    <hyperlink ref="N76" r:id="rId75" display="https://www.maskdance.com/2024/sub7/sub1.asp?ymd=20260926"/>
    <hyperlink ref="N77" r:id="rId76" display="https://www.maskdance.com/2024/sub7/sub1.asp?ymd=20260926"/>
    <hyperlink ref="N78" r:id="rId77" display="https://www.maskdance.com/2024/sub7/sub1.asp?ymd=20260926"/>
    <hyperlink ref="N79" r:id="rId78" display="https://www.maskdance.com/2024/sub7/sub1.asp?ymd=20260926"/>
    <hyperlink ref="N80" r:id="rId79" display="https://www.maskdance.com/2024/sub7/sub1.asp?ymd=20260926"/>
    <hyperlink ref="N81" r:id="rId80" display="https://www.maskdance.com/2024/sub7/sub1.asp?ymd=20260926"/>
    <hyperlink ref="N82" r:id="rId81" display="https://www.maskdance.com/2024/sub7/sub1.asp?ymd=20260926"/>
    <hyperlink ref="N83" r:id="rId82" display="https://www.maskdance.com/2024/sub7/sub1.asp?ymd=20260926"/>
    <hyperlink ref="N84" r:id="rId83" display="https://www.maskdance.com/2024/sub7/sub1.asp?ymd=20260926"/>
    <hyperlink ref="N85" r:id="rId84" display="https://www.maskdance.com/2024/sub7/sub1.asp?ymd=20260926"/>
    <hyperlink ref="N86" r:id="rId85" display="https://www.maskdance.com/2024/sub7/sub1.asp?ymd=20260926"/>
    <hyperlink ref="N87" r:id="rId86" display="https://www.maskdance.com/2024/sub7/sub1.asp?ymd=20260927"/>
    <hyperlink ref="N88" r:id="rId87" display="https://www.maskdance.com/2024/sub7/sub1.asp?ymd=20260927"/>
    <hyperlink ref="N89" r:id="rId88" display="https://www.maskdance.com/2024/sub7/sub1.asp?ymd=20260927"/>
    <hyperlink ref="N90" r:id="rId89" display="https://www.maskdance.com/2024/sub7/sub1.asp?ymd=20260927"/>
    <hyperlink ref="N91" r:id="rId90" display="https://www.maskdance.com/2024/sub7/sub1.asp?ymd=20260927"/>
    <hyperlink ref="N92" r:id="rId91" display="https://www.maskdance.com/2024/sub7/sub1.asp?ymd=20260927"/>
    <hyperlink ref="N93" r:id="rId92" display="https://www.maskdance.com/2024/sub7/sub1.asp?ymd=20260927"/>
    <hyperlink ref="N94" r:id="rId93" display="https://www.maskdance.com/2024/sub7/sub1.asp?ymd=20260927"/>
    <hyperlink ref="N95" r:id="rId94" display="https://www.maskdance.com/2024/sub7/sub1.asp?ymd=20260927"/>
    <hyperlink ref="N96" r:id="rId95" display="https://www.maskdance.com/2024/sub7/sub1.asp?ymd=20260927"/>
    <hyperlink ref="N97" r:id="rId96" display="https://www.maskdance.com/2024/sub7/sub1.asp?ymd=20260927"/>
    <hyperlink ref="N98" r:id="rId97" display="https://www.maskdance.com/2024/sub7/sub1.asp?ymd=20260927"/>
    <hyperlink ref="N99" r:id="rId98" display="https://www.maskdance.com/2024/sub7/sub1.asp?ymd=20260927"/>
    <hyperlink ref="N100" r:id="rId99" display="https://www.maskdance.com/2024/sub7/sub1.asp?ymd=20260927"/>
    <hyperlink ref="N101" r:id="rId100" display="https://www.maskdance.com/2024/sub7/sub1.asp?ymd=20260927"/>
    <hyperlink ref="N102" r:id="rId101" display="https://www.maskdance.com/2024/sub7/sub1.asp?ymd=20260927"/>
    <hyperlink ref="N103" r:id="rId102" display="https://www.maskdance.com/2024/sub7/sub1.asp?ymd=20260927"/>
    <hyperlink ref="N104" r:id="rId103" display="https://www.maskdance.com/2024/sub7/sub1.asp?ymd=20260927"/>
    <hyperlink ref="N105" r:id="rId104" display="https://www.maskdance.com/2024/sub7/sub1.asp?ymd=20260927"/>
    <hyperlink ref="N106" r:id="rId105" display="https://www.maskdance.com/2024/sub7/sub1.asp?ymd=20260927"/>
    <hyperlink ref="N107" r:id="rId106" display="https://www.maskdance.com/2024/sub7/sub1.asp?ymd=20260927"/>
    <hyperlink ref="N108" r:id="rId107" display="https://www.maskdance.com/2024/sub7/sub1.asp?ymd=20260927"/>
    <hyperlink ref="N109" r:id="rId108" display="https://www.maskdance.com/2024/sub7/sub1.asp?ymd=20260927"/>
    <hyperlink ref="N110" r:id="rId109" display="https://www.maskdance.com/2024/sub7/sub1.asp?ymd=20260927"/>
    <hyperlink ref="N111" r:id="rId110" display="https://www.maskdance.com/2024/sub7/sub1.asp?ymd=20260927"/>
    <hyperlink ref="N112" r:id="rId111" display="https://www.maskdance.com/2024/sub7/sub1.asp?ymd=20260927"/>
    <hyperlink ref="N113" r:id="rId112" display="https://www.maskdance.com/2024/sub7/sub1.asp?ymd=20260927"/>
    <hyperlink ref="N114" r:id="rId113" display="https://www.maskdance.com/2024/sub7/sub1.asp?ymd=20260927"/>
    <hyperlink ref="N115" r:id="rId114" display="https://www.maskdance.com/2024/sub7/sub1.asp?ymd=20260927"/>
    <hyperlink ref="N116" r:id="rId115" display="https://www.maskdance.com/2024/sub7/sub1.asp?ymd=20260927"/>
    <hyperlink ref="N117" r:id="rId116" display="https://www.maskdance.com/2024/sub7/sub1.asp?ymd=20260927"/>
    <hyperlink ref="N118" r:id="rId117" display="https://www.maskdance.com/2024/sub7/sub1.asp?ymd=20260927"/>
    <hyperlink ref="N119" r:id="rId118" display="https://www.maskdance.com/2024/sub7/sub1.asp?ymd=20260927"/>
    <hyperlink ref="N120" r:id="rId119" display="https://www.maskdance.com/2024/sub7/sub1.asp?ymd=20260927"/>
    <hyperlink ref="N121" r:id="rId120" display="https://www.maskdance.com/2024/sub7/sub1.asp?ymd=20260927"/>
    <hyperlink ref="N122" r:id="rId121" display="https://www.maskdance.com/2024/sub7/sub1.asp?ymd=20260927"/>
    <hyperlink ref="N123" r:id="rId122" display="https://www.maskdance.com/2024/sub7/sub1.asp?ymd=20260927"/>
    <hyperlink ref="N124" r:id="rId123" display="https://www.maskdance.com/2024/sub7/sub1.asp?ymd=20260927"/>
    <hyperlink ref="N125" r:id="rId124" display="https://www.maskdance.com/2024/sub7/sub1.asp?ymd=20260927"/>
    <hyperlink ref="N126" r:id="rId125" display="https://www.maskdance.com/2024/sub7/sub1.asp?ymd=20260927"/>
    <hyperlink ref="N127" r:id="rId126" display="https://www.maskdance.com/2024/sub7/sub1.asp?ymd=20260927"/>
    <hyperlink ref="N128" r:id="rId127" display="https://www.maskdance.com/2024/sub7/sub1.asp?ymd=20260927"/>
    <hyperlink ref="N129" r:id="rId128" display="https://www.maskdance.com/2024/sub7/sub1.asp?ymd=20260927"/>
    <hyperlink ref="N130" r:id="rId129" display="https://www.maskdance.com/2024/sub7/sub1.asp?ymd=20260927"/>
    <hyperlink ref="N131" r:id="rId130" display="https://www.maskdance.com/2024/sub7/sub1.asp?ymd=20260927"/>
    <hyperlink ref="N132" r:id="rId131" display="https://www.maskdance.com/2024/sub7/sub1.asp?ymd=20260927"/>
    <hyperlink ref="N133" r:id="rId132" display="https://www.maskdance.com/2024/sub7/sub1.asp?ymd=20260927"/>
    <hyperlink ref="N134" r:id="rId133" display="https://www.maskdance.com/2024/sub7/sub1.asp?ymd=20260927"/>
    <hyperlink ref="N135" r:id="rId134" display="https://www.maskdance.com/2024/sub7/sub1.asp?ymd=20260927"/>
    <hyperlink ref="N136" r:id="rId135" display="https://www.maskdance.com/2024/sub7/sub1.asp?ymd=20260927"/>
    <hyperlink ref="N137" r:id="rId136" display="https://www.maskdance.com/2024/sub7/sub1.asp?ymd=20260927"/>
    <hyperlink ref="N138" r:id="rId137" display="https://www.maskdance.com/2024/sub7/sub1.asp?ymd=20260927"/>
    <hyperlink ref="N139" r:id="rId138" display="https://www.maskdance.com/2024/sub7/sub1.asp?ymd=20260927"/>
    <hyperlink ref="N140" r:id="rId139" display="https://www.maskdance.com/2024/sub7/sub1.asp?ymd=20260927"/>
    <hyperlink ref="N141" r:id="rId140" display="https://www.maskdance.com/2024/sub7/sub1.asp?ymd=20260927"/>
    <hyperlink ref="N142" r:id="rId141" display="https://www.maskdance.com/2024/sub7/sub1.asp?ymd=20260927"/>
    <hyperlink ref="N143" r:id="rId142" display="https://www.maskdance.com/2024/sub7/sub1.asp?ymd=20260928"/>
    <hyperlink ref="N144" r:id="rId143" display="https://www.maskdance.com/2024/sub7/sub1.asp?ymd=20260928"/>
    <hyperlink ref="N145" r:id="rId144" display="https://www.maskdance.com/2024/sub7/sub1.asp?ymd=20260928"/>
    <hyperlink ref="N146" r:id="rId145" display="https://www.maskdance.com/2024/sub7/sub1.asp?ymd=20260928"/>
    <hyperlink ref="N147" r:id="rId146" display="https://www.maskdance.com/2024/sub7/sub1.asp?ymd=20260928"/>
    <hyperlink ref="N148" r:id="rId147" display="https://www.maskdance.com/2024/sub7/sub1.asp?ymd=20260928"/>
    <hyperlink ref="N149" r:id="rId148" display="https://www.maskdance.com/2024/sub7/sub1.asp?ymd=20260928"/>
    <hyperlink ref="N150" r:id="rId149" display="https://www.maskdance.com/2024/sub7/sub1.asp?ymd=20260928"/>
    <hyperlink ref="N151" r:id="rId150" display="https://www.maskdance.com/2024/sub7/sub1.asp?ymd=20260928"/>
    <hyperlink ref="N152" r:id="rId151" display="https://www.maskdance.com/2024/sub7/sub1.asp?ymd=20260928"/>
    <hyperlink ref="N153" r:id="rId152" display="https://www.maskdance.com/2024/sub7/sub1.asp?ymd=20260928"/>
    <hyperlink ref="N154" r:id="rId153" display="https://www.maskdance.com/2024/sub7/sub1.asp?ymd=20260928"/>
    <hyperlink ref="N155" r:id="rId154" display="https://www.maskdance.com/2024/sub7/sub1.asp?ymd=20260928"/>
    <hyperlink ref="N156" r:id="rId155" display="https://www.maskdance.com/2024/sub7/sub1.asp?ymd=20260928"/>
    <hyperlink ref="N157" r:id="rId156" display="https://www.maskdance.com/2024/sub7/sub1.asp?ymd=20260928"/>
    <hyperlink ref="N158" r:id="rId157" display="https://www.maskdance.com/2024/sub7/sub1.asp?ymd=20260928"/>
    <hyperlink ref="N159" r:id="rId158" display="https://www.maskdance.com/2024/sub7/sub1.asp?ymd=20260928"/>
    <hyperlink ref="N160" r:id="rId159" display="https://www.maskdance.com/2024/sub7/sub1.asp?ymd=20260928"/>
    <hyperlink ref="N161" r:id="rId160" display="https://www.maskdance.com/2024/sub7/sub1.asp?ymd=20260928"/>
    <hyperlink ref="N162" r:id="rId161" display="https://www.maskdance.com/2024/sub7/sub1.asp?ymd=20260928"/>
    <hyperlink ref="N163" r:id="rId162" display="https://www.maskdance.com/2024/sub7/sub1.asp?ymd=20260928"/>
    <hyperlink ref="N164" r:id="rId163" display="https://www.maskdance.com/2024/sub7/sub1.asp?ymd=20260928"/>
    <hyperlink ref="N165" r:id="rId164" display="https://www.maskdance.com/2024/sub7/sub1.asp?ymd=20260928"/>
    <hyperlink ref="N166" r:id="rId165" display="https://www.maskdance.com/2024/sub7/sub1.asp?ymd=20260928"/>
    <hyperlink ref="N167" r:id="rId166" display="https://www.maskdance.com/2024/sub7/sub1.asp?ymd=20260928"/>
    <hyperlink ref="N168" r:id="rId167" display="https://www.maskdance.com/2024/sub7/sub1.asp?ymd=20260928"/>
    <hyperlink ref="N169" r:id="rId168" display="https://www.maskdance.com/2024/sub7/sub1.asp?ymd=20260928"/>
    <hyperlink ref="N170" r:id="rId169" display="https://www.maskdance.com/2024/sub7/sub1.asp?ymd=20260928"/>
    <hyperlink ref="N171" r:id="rId170" display="https://www.maskdance.com/2024/sub7/sub1.asp?ymd=20260928"/>
    <hyperlink ref="N172" r:id="rId171" display="https://www.maskdance.com/2024/sub7/sub1.asp?ymd=20260928"/>
    <hyperlink ref="N173" r:id="rId172" display="https://www.maskdance.com/2024/sub7/sub1.asp?ymd=20260929"/>
    <hyperlink ref="N174" r:id="rId173" display="https://www.maskdance.com/2024/sub7/sub1.asp?ymd=20260929"/>
    <hyperlink ref="N175" r:id="rId174" display="https://www.maskdance.com/2024/sub7/sub1.asp?ymd=20260929"/>
    <hyperlink ref="N176" r:id="rId175" display="https://www.maskdance.com/2024/sub7/sub1.asp?ymd=20260929"/>
    <hyperlink ref="N177" r:id="rId176" display="https://www.maskdance.com/2024/sub7/sub1.asp?ymd=20260929"/>
    <hyperlink ref="N178" r:id="rId177" display="https://www.maskdance.com/2024/sub7/sub1.asp?ymd=20260929"/>
    <hyperlink ref="N179" r:id="rId178" display="https://www.maskdance.com/2024/sub7/sub1.asp?ymd=20260929"/>
    <hyperlink ref="N180" r:id="rId179" display="https://www.maskdance.com/2024/sub7/sub1.asp?ymd=20260929"/>
    <hyperlink ref="N181" r:id="rId180" display="https://www.maskdance.com/2024/sub7/sub1.asp?ymd=20260929"/>
    <hyperlink ref="N182" r:id="rId181" display="https://www.maskdance.com/2024/sub7/sub1.asp?ymd=20260929"/>
    <hyperlink ref="N183" r:id="rId182" display="https://www.maskdance.com/2024/sub7/sub1.asp?ymd=20260929"/>
    <hyperlink ref="N184" r:id="rId183" display="https://www.maskdance.com/2024/sub7/sub1.asp?ymd=20260929"/>
    <hyperlink ref="N185" r:id="rId184" display="https://www.maskdance.com/2024/sub7/sub1.asp?ymd=20260929"/>
    <hyperlink ref="N186" r:id="rId185" display="https://www.maskdance.com/2024/sub7/sub1.asp?ymd=20260929"/>
    <hyperlink ref="N187" r:id="rId186" display="https://www.maskdance.com/2024/sub7/sub1.asp?ymd=20260929"/>
    <hyperlink ref="N188" r:id="rId187" display="https://www.maskdance.com/2024/sub7/sub1.asp?ymd=20260929"/>
    <hyperlink ref="N189" r:id="rId188" display="https://www.maskdance.com/2024/sub7/sub1.asp?ymd=20260929"/>
    <hyperlink ref="N190" r:id="rId189" display="https://www.maskdance.com/2024/sub7/sub1.asp?ymd=20260929"/>
    <hyperlink ref="N191" r:id="rId190" display="https://www.maskdance.com/2024/sub7/sub1.asp?ymd=20260929"/>
    <hyperlink ref="N192" r:id="rId191" display="https://www.maskdance.com/2024/sub7/sub1.asp?ymd=20260929"/>
    <hyperlink ref="N193" r:id="rId192" display="https://www.maskdance.com/2024/sub7/sub1.asp?ymd=20260929"/>
    <hyperlink ref="N194" r:id="rId193" display="https://www.maskdance.com/2024/sub7/sub1.asp?ymd=20260929"/>
    <hyperlink ref="N195" r:id="rId194" display="https://www.maskdance.com/2024/sub7/sub1.asp?ymd=20260929"/>
    <hyperlink ref="N196" r:id="rId195" display="https://www.maskdance.com/2024/sub7/sub1.asp?ymd=20260929"/>
    <hyperlink ref="N197" r:id="rId196" display="https://www.maskdance.com/2024/sub7/sub1.asp?ymd=20260929"/>
    <hyperlink ref="N198" r:id="rId197" display="https://www.maskdance.com/2024/sub7/sub1.asp?ymd=20260929"/>
    <hyperlink ref="N199" r:id="rId198" display="https://www.maskdance.com/2024/sub7/sub1.asp?ymd=20260929"/>
    <hyperlink ref="N200" r:id="rId199" display="https://www.maskdance.com/2024/sub7/sub1.asp?ymd=20260929"/>
    <hyperlink ref="N201" r:id="rId200" display="https://www.maskdance.com/2024/sub7/sub1.asp?ymd=20260929"/>
    <hyperlink ref="N202" r:id="rId201" display="https://www.maskdance.com/2024/sub7/sub1.asp?ymd=20260929"/>
    <hyperlink ref="N203" r:id="rId202" display="https://www.maskdance.com/2024/sub7/sub1.asp?ymd=20260929"/>
    <hyperlink ref="N204" r:id="rId203" display="https://www.maskdance.com/2024/sub7/sub1.asp?ymd=20260929"/>
    <hyperlink ref="N205" r:id="rId204" display="https://www.maskdance.com/2024/sub7/sub1.asp?ymd=20260929"/>
    <hyperlink ref="N206" r:id="rId205" display="https://www.maskdance.com/2024/sub7/sub1.asp?ymd=20260929"/>
    <hyperlink ref="N207" r:id="rId206" display="https://www.maskdance.com/2024/sub7/sub1.asp?ymd=20260929"/>
    <hyperlink ref="N208" r:id="rId207" display="https://www.maskdance.com/2024/sub7/sub1.asp?ymd=20260929"/>
    <hyperlink ref="N209" r:id="rId208" display="https://www.maskdance.com/2024/sub7/sub1.asp?ymd=20260930"/>
    <hyperlink ref="N210" r:id="rId209" display="https://www.maskdance.com/2024/sub7/sub1.asp?ymd=20260930"/>
    <hyperlink ref="N211" r:id="rId210" display="https://www.maskdance.com/2024/sub7/sub1.asp?ymd=20260930"/>
    <hyperlink ref="N212" r:id="rId211" display="https://www.maskdance.com/2024/sub7/sub1.asp?ymd=20260930"/>
    <hyperlink ref="N213" r:id="rId212" display="https://www.maskdance.com/2024/sub7/sub1.asp?ymd=20260930"/>
    <hyperlink ref="N214" r:id="rId213" display="https://www.maskdance.com/2024/sub7/sub1.asp?ymd=20260930"/>
    <hyperlink ref="N215" r:id="rId214" display="https://www.maskdance.com/2024/sub7/sub1.asp?ymd=20260930"/>
    <hyperlink ref="N216" r:id="rId215" display="https://www.maskdance.com/2024/sub7/sub1.asp?ymd=20260930"/>
    <hyperlink ref="N217" r:id="rId216" display="https://www.maskdance.com/2024/sub7/sub1.asp?ymd=20260930"/>
    <hyperlink ref="N218" r:id="rId217" display="https://www.maskdance.com/2024/sub7/sub1.asp?ymd=20260930"/>
    <hyperlink ref="N219" r:id="rId218" display="https://www.maskdance.com/2024/sub7/sub1.asp?ymd=20260930"/>
    <hyperlink ref="N220" r:id="rId219" display="https://www.maskdance.com/2024/sub7/sub1.asp?ymd=20260930"/>
    <hyperlink ref="N221" r:id="rId220" display="https://www.maskdance.com/2024/sub7/sub1.asp?ymd=20260930"/>
    <hyperlink ref="N222" r:id="rId221" display="https://www.maskdance.com/2024/sub7/sub1.asp?ymd=20260930"/>
    <hyperlink ref="N223" r:id="rId222" display="https://www.maskdance.com/2024/sub7/sub1.asp?ymd=20260930"/>
    <hyperlink ref="N224" r:id="rId223" display="https://www.maskdance.com/2024/sub7/sub1.asp?ymd=20260930"/>
    <hyperlink ref="N225" r:id="rId224" display="https://www.maskdance.com/2024/sub7/sub1.asp?ymd=20260930"/>
    <hyperlink ref="N226" r:id="rId225" display="https://www.maskdance.com/2024/sub7/sub1.asp?ymd=20260930"/>
    <hyperlink ref="N227" r:id="rId226" display="https://www.maskdance.com/2024/sub7/sub1.asp?ymd=20260930"/>
    <hyperlink ref="N228" r:id="rId227" display="https://www.maskdance.com/2024/sub7/sub1.asp?ymd=20260930"/>
    <hyperlink ref="N229" r:id="rId228" display="https://www.maskdance.com/2024/sub7/sub1.asp?ymd=20260930"/>
    <hyperlink ref="N230" r:id="rId229" display="https://www.maskdance.com/2024/sub7/sub1.asp?ymd=20260930"/>
    <hyperlink ref="N231" r:id="rId230" display="https://www.maskdance.com/2024/sub7/sub1.asp?ymd=20260930"/>
    <hyperlink ref="N232" r:id="rId231" display="https://www.maskdance.com/2024/sub7/sub1.asp?ymd=20260930"/>
    <hyperlink ref="N233" r:id="rId232" display="https://www.maskdance.com/2024/sub7/sub1.asp?ymd=20260930"/>
    <hyperlink ref="N234" r:id="rId233" display="https://www.maskdance.com/2024/sub7/sub1.asp?ymd=20260930"/>
    <hyperlink ref="N235" r:id="rId234" display="https://www.maskdance.com/2024/sub7/sub1.asp?ymd=20260930"/>
    <hyperlink ref="N236" r:id="rId235" display="https://www.maskdance.com/2024/sub7/sub1.asp?ymd=20260930"/>
    <hyperlink ref="N237" r:id="rId236" display="https://www.maskdance.com/2024/sub7/sub1.asp?ymd=20260930"/>
    <hyperlink ref="N238" r:id="rId237" display="https://www.maskdance.com/2024/sub7/sub1.asp?ymd=20260930"/>
    <hyperlink ref="N239" r:id="rId238" display="https://www.maskdance.com/2024/sub7/sub1.asp?ymd=20260930"/>
    <hyperlink ref="N240" r:id="rId239" display="https://www.maskdance.com/2024/sub7/sub1.asp?ymd=20260930"/>
    <hyperlink ref="N241" r:id="rId240" display="https://www.maskdance.com/2024/sub7/sub1.asp?ymd=20260930"/>
    <hyperlink ref="N242" r:id="rId241" display="https://www.maskdance.com/2024/sub7/sub1.asp?ymd=20260930"/>
    <hyperlink ref="N243" r:id="rId242" display="https://www.maskdance.com/2024/sub7/sub1.asp?ymd=20260930"/>
    <hyperlink ref="N244" r:id="rId243" display="https://www.maskdance.com/2024/sub7/sub1.asp?ymd=20261001"/>
    <hyperlink ref="N245" r:id="rId244" display="https://www.maskdance.com/2024/sub7/sub1.asp?ymd=20261001"/>
    <hyperlink ref="N246" r:id="rId245" display="https://www.maskdance.com/2024/sub7/sub1.asp?ymd=20261001"/>
    <hyperlink ref="N247" r:id="rId246" display="https://www.maskdance.com/2024/sub7/sub1.asp?ymd=20261001"/>
    <hyperlink ref="N248" r:id="rId247" display="https://www.maskdance.com/2024/sub7/sub1.asp?ymd=20261001"/>
    <hyperlink ref="N249" r:id="rId248" display="https://www.maskdance.com/2024/sub7/sub1.asp?ymd=20261001"/>
    <hyperlink ref="N250" r:id="rId249" display="https://www.maskdance.com/2024/sub7/sub1.asp?ymd=20261001"/>
    <hyperlink ref="N251" r:id="rId250" display="https://www.maskdance.com/2024/sub7/sub1.asp?ymd=20261001"/>
    <hyperlink ref="N252" r:id="rId251" display="https://www.maskdance.com/2024/sub7/sub1.asp?ymd=20261001"/>
    <hyperlink ref="N253" r:id="rId252" display="https://www.maskdance.com/2024/sub7/sub1.asp?ymd=20261001"/>
    <hyperlink ref="N254" r:id="rId253" display="https://www.maskdance.com/2024/sub7/sub1.asp?ymd=20261001"/>
    <hyperlink ref="N255" r:id="rId254" display="https://www.maskdance.com/2024/sub7/sub1.asp?ymd=20261001"/>
    <hyperlink ref="N256" r:id="rId255" display="https://www.maskdance.com/2024/sub7/sub1.asp?ymd=20261001"/>
    <hyperlink ref="N257" r:id="rId256" display="https://www.maskdance.com/2024/sub7/sub1.asp?ymd=20261001"/>
    <hyperlink ref="N258" r:id="rId257" display="https://www.maskdance.com/2024/sub7/sub1.asp?ymd=20261001"/>
    <hyperlink ref="N259" r:id="rId258" display="https://www.maskdance.com/2024/sub7/sub1.asp?ymd=20261001"/>
    <hyperlink ref="N260" r:id="rId259" display="https://www.maskdance.com/2024/sub7/sub1.asp?ymd=20261001"/>
    <hyperlink ref="N261" r:id="rId260" display="https://www.maskdance.com/2024/sub7/sub1.asp?ymd=20261001"/>
    <hyperlink ref="N262" r:id="rId261" display="https://www.maskdance.com/2024/sub7/sub1.asp?ymd=20261001"/>
    <hyperlink ref="N263" r:id="rId262" display="https://www.maskdance.com/2024/sub7/sub1.asp?ymd=20261001"/>
    <hyperlink ref="N264" r:id="rId263" display="https://www.maskdance.com/2024/sub7/sub1.asp?ymd=20261001"/>
    <hyperlink ref="N265" r:id="rId264" display="https://www.maskdance.com/2024/sub7/sub1.asp?ymd=20261001"/>
    <hyperlink ref="N266" r:id="rId265" display="https://www.maskdance.com/2024/sub7/sub1.asp?ymd=20261001"/>
    <hyperlink ref="N267" r:id="rId266" display="https://www.maskdance.com/2024/sub7/sub1.asp?ymd=20261001"/>
    <hyperlink ref="N268" r:id="rId267" display="https://www.maskdance.com/2024/sub7/sub1.asp?ymd=20261001"/>
    <hyperlink ref="N269" r:id="rId268" display="https://www.maskdance.com/2024/sub7/sub1.asp?ymd=20261001"/>
    <hyperlink ref="N270" r:id="rId269" display="https://www.maskdance.com/2024/sub7/sub1.asp?ymd=20261001"/>
    <hyperlink ref="N271" r:id="rId270" display="https://www.maskdance.com/2024/sub7/sub1.asp?ymd=20261001"/>
    <hyperlink ref="N272" r:id="rId271" display="https://www.maskdance.com/2024/sub7/sub1.asp?ymd=20261001"/>
    <hyperlink ref="N273" r:id="rId272" display="https://www.maskdance.com/2024/sub7/sub1.asp?ymd=20261001"/>
    <hyperlink ref="N274" r:id="rId273" display="https://www.maskdance.com/2024/sub7/sub1.asp?ymd=20261001"/>
    <hyperlink ref="N275" r:id="rId274" display="https://www.maskdance.com/2024/sub7/sub1.asp?ymd=20261001"/>
    <hyperlink ref="N276" r:id="rId275" display="https://www.maskdance.com/2024/sub7/sub1.asp?ymd=20261001"/>
    <hyperlink ref="N277" r:id="rId276" display="https://www.maskdance.com/2024/sub7/sub1.asp?ymd=20261001"/>
    <hyperlink ref="N278" r:id="rId277" display="https://www.maskdance.com/2024/sub7/sub1.asp?ymd=20261001"/>
    <hyperlink ref="N279" r:id="rId278" display="https://www.maskdance.com/2024/sub7/sub1.asp?ymd=20261002"/>
    <hyperlink ref="N280" r:id="rId279" display="https://www.maskdance.com/2024/sub7/sub1.asp?ymd=20261002"/>
    <hyperlink ref="N281" r:id="rId280" display="https://www.maskdance.com/2024/sub7/sub1.asp?ymd=20261002"/>
    <hyperlink ref="N282" r:id="rId281" display="https://www.maskdance.com/2024/sub7/sub1.asp?ymd=20261002"/>
    <hyperlink ref="N283" r:id="rId282" display="https://www.maskdance.com/2024/sub7/sub1.asp?ymd=20261002"/>
    <hyperlink ref="N284" r:id="rId283" display="https://www.maskdance.com/2024/sub7/sub1.asp?ymd=20261002"/>
    <hyperlink ref="N285" r:id="rId284" display="https://www.maskdance.com/2024/sub7/sub1.asp?ymd=20261002"/>
    <hyperlink ref="N286" r:id="rId285" display="https://www.maskdance.com/2024/sub7/sub1.asp?ymd=20261002"/>
    <hyperlink ref="N287" r:id="rId286" display="https://www.maskdance.com/2024/sub7/sub1.asp?ymd=20261002"/>
    <hyperlink ref="N288" r:id="rId287" display="https://www.maskdance.com/2024/sub7/sub1.asp?ymd=20261002"/>
    <hyperlink ref="N289" r:id="rId288" display="https://www.maskdance.com/2024/sub7/sub1.asp?ymd=20261002"/>
    <hyperlink ref="N290" r:id="rId289" display="https://www.maskdance.com/2024/sub7/sub1.asp?ymd=20261002"/>
    <hyperlink ref="N291" r:id="rId290" display="https://www.maskdance.com/2024/sub7/sub1.asp?ymd=20261002"/>
    <hyperlink ref="N292" r:id="rId291" display="https://www.maskdance.com/2024/sub7/sub1.asp?ymd=20261002"/>
    <hyperlink ref="N293" r:id="rId292" display="https://www.maskdance.com/2024/sub7/sub1.asp?ymd=20261002"/>
    <hyperlink ref="N294" r:id="rId293" display="https://www.maskdance.com/2024/sub7/sub1.asp?ymd=20261002"/>
    <hyperlink ref="N295" r:id="rId294" display="https://www.maskdance.com/2024/sub7/sub1.asp?ymd=20261002"/>
    <hyperlink ref="N296" r:id="rId295" display="https://www.maskdance.com/2024/sub7/sub1.asp?ymd=20261002"/>
    <hyperlink ref="N297" r:id="rId296" display="https://www.maskdance.com/2024/sub7/sub1.asp?ymd=20261002"/>
    <hyperlink ref="N298" r:id="rId297" display="https://www.maskdance.com/2024/sub7/sub1.asp?ymd=20261002"/>
    <hyperlink ref="N299" r:id="rId298" display="https://www.maskdance.com/2024/sub7/sub1.asp?ymd=20261002"/>
    <hyperlink ref="N300" r:id="rId299" display="https://www.maskdance.com/2024/sub7/sub1.asp?ymd=20261002"/>
    <hyperlink ref="N301" r:id="rId300" display="https://www.maskdance.com/2024/sub7/sub1.asp?ymd=20261002"/>
    <hyperlink ref="N302" r:id="rId301" display="https://www.maskdance.com/2024/sub7/sub1.asp?ymd=20261002"/>
    <hyperlink ref="N303" r:id="rId302" display="https://www.maskdance.com/2024/sub7/sub1.asp?ymd=20261002"/>
    <hyperlink ref="N304" r:id="rId303" display="https://www.maskdance.com/2024/sub7/sub1.asp?ymd=20261002"/>
    <hyperlink ref="N305" r:id="rId304" display="https://www.maskdance.com/2024/sub7/sub1.asp?ymd=20261002"/>
    <hyperlink ref="N306" r:id="rId305" display="https://www.maskdance.com/2024/sub7/sub1.asp?ymd=20261002"/>
    <hyperlink ref="N307" r:id="rId306" display="https://www.maskdance.com/2024/sub7/sub1.asp?ymd=20261002"/>
    <hyperlink ref="N308" r:id="rId307" display="https://www.maskdance.com/2024/sub7/sub1.asp?ymd=20261002"/>
    <hyperlink ref="N309" r:id="rId308" display="https://www.maskdance.com/2024/sub7/sub1.asp?ymd=20261003"/>
    <hyperlink ref="N310" r:id="rId309" display="https://www.maskdance.com/2024/sub7/sub1.asp?ymd=20261003"/>
    <hyperlink ref="N311" r:id="rId310" display="https://www.maskdance.com/2024/sub7/sub1.asp?ymd=20261003"/>
    <hyperlink ref="N312" r:id="rId311" display="https://www.maskdance.com/2024/sub7/sub1.asp?ymd=20261003"/>
    <hyperlink ref="N313" r:id="rId312" display="https://www.maskdance.com/2024/sub7/sub1.asp?ymd=20261003"/>
    <hyperlink ref="N314" r:id="rId313" display="https://www.maskdance.com/2024/sub7/sub1.asp?ymd=20261003"/>
    <hyperlink ref="N315" r:id="rId314" display="https://www.maskdance.com/2024/sub7/sub1.asp?ymd=20261003"/>
    <hyperlink ref="N316" r:id="rId315" display="https://www.maskdance.com/2024/sub7/sub1.asp?ymd=20261003"/>
    <hyperlink ref="N317" r:id="rId316" display="https://www.maskdance.com/2024/sub7/sub1.asp?ymd=20261003"/>
    <hyperlink ref="N318" r:id="rId317" display="https://www.maskdance.com/2024/sub7/sub1.asp?ymd=20261003"/>
    <hyperlink ref="N319" r:id="rId318" display="https://www.maskdance.com/2024/sub7/sub1.asp?ymd=20261003"/>
    <hyperlink ref="N320" r:id="rId319" display="https://www.maskdance.com/2024/sub7/sub1.asp?ymd=20261003"/>
    <hyperlink ref="N321" r:id="rId320" display="https://www.maskdance.com/2024/sub7/sub1.asp?ymd=20261003"/>
    <hyperlink ref="N322" r:id="rId321" display="https://www.maskdance.com/2024/sub7/sub1.asp?ymd=20261003"/>
    <hyperlink ref="N323" r:id="rId322" display="https://www.maskdance.com/2024/sub7/sub1.asp?ymd=20261003"/>
    <hyperlink ref="N324" r:id="rId323" display="https://www.maskdance.com/2024/sub7/sub1.asp?ymd=20261003"/>
    <hyperlink ref="N325" r:id="rId324" display="https://www.maskdance.com/2024/sub7/sub1.asp?ymd=20261003"/>
    <hyperlink ref="N326" r:id="rId325" display="https://www.maskdance.com/2024/sub7/sub1.asp?ymd=20261003"/>
    <hyperlink ref="N327" r:id="rId326" display="https://www.maskdance.com/2024/sub7/sub1.asp?ymd=20261003"/>
    <hyperlink ref="N328" r:id="rId327" display="https://www.maskdance.com/2024/sub7/sub1.asp?ymd=20261003"/>
    <hyperlink ref="N329" r:id="rId328" display="https://www.maskdance.com/2024/sub7/sub1.asp?ymd=20261003"/>
    <hyperlink ref="N330" r:id="rId329" display="https://www.maskdance.com/2024/sub7/sub1.asp?ymd=20261003"/>
    <hyperlink ref="N331" r:id="rId330" display="https://www.maskdance.com/2024/sub7/sub1.asp?ymd=20261003"/>
    <hyperlink ref="N332" r:id="rId331" display="https://www.maskdance.com/2024/sub7/sub1.asp?ymd=20261003"/>
    <hyperlink ref="N333" r:id="rId332" display="https://www.maskdance.com/2024/sub7/sub1.asp?ymd=20261003"/>
    <hyperlink ref="N334" r:id="rId333" display="https://www.maskdance.com/2024/sub7/sub1.asp?ymd=20261003"/>
    <hyperlink ref="N335" r:id="rId334" display="https://www.maskdance.com/2024/sub7/sub1.asp?ymd=20261003"/>
    <hyperlink ref="N336" r:id="rId335" display="https://www.maskdance.com/2024/sub7/sub1.asp?ymd=20261003"/>
    <hyperlink ref="N337" r:id="rId336" display="https://www.maskdance.com/2024/sub7/sub1.asp?ymd=20261003"/>
    <hyperlink ref="N338" r:id="rId337" display="https://www.maskdance.com/2024/sub7/sub1.asp?ymd=20261003"/>
    <hyperlink ref="N339" r:id="rId338" display="https://www.maskdance.com/2024/sub7/sub1.asp?ymd=20261003"/>
    <hyperlink ref="N340" r:id="rId339" display="https://www.maskdance.com/2024/sub7/sub1.asp?ymd=20261003"/>
    <hyperlink ref="N341" r:id="rId340" display="https://www.maskdance.com/2024/sub7/sub1.asp?ymd=20261003"/>
    <hyperlink ref="N342" r:id="rId341" display="https://www.maskdance.com/2024/sub7/sub1.asp?ymd=20261003"/>
    <hyperlink ref="N343" r:id="rId342" display="https://www.maskdance.com/2024/sub7/sub1.asp?ymd=20261003"/>
    <hyperlink ref="N344" r:id="rId343" display="https://www.maskdance.com/2024/sub7/sub1.asp?ymd=20261003"/>
    <hyperlink ref="N345" r:id="rId344" display="https://www.maskdance.com/2024/sub7/sub1.asp?ymd=20261003"/>
    <hyperlink ref="N346" r:id="rId345" display="https://www.maskdance.com/2024/sub7/sub1.asp?ymd=20261003"/>
    <hyperlink ref="N347" r:id="rId346" display="https://www.maskdance.com/2024/sub7/sub1.asp?ymd=20261003"/>
    <hyperlink ref="N348" r:id="rId347" display="https://www.maskdance.com/2024/sub7/sub1.asp?ymd=20261003"/>
    <hyperlink ref="N349" r:id="rId348" display="https://www.maskdance.com/2024/sub7/sub1.asp?ymd=20261003"/>
    <hyperlink ref="N350" r:id="rId349" display="https://www.maskdance.com/2024/sub7/sub1.asp?ymd=20261003"/>
    <hyperlink ref="N351" r:id="rId350" display="https://www.maskdance.com/2024/sub7/sub1.asp?ymd=20261003"/>
    <hyperlink ref="N352" r:id="rId351" display="https://www.maskdance.com/2024/sub7/sub1.asp?ymd=20261003"/>
    <hyperlink ref="N353" r:id="rId352" display="https://www.maskdance.com/2024/sub7/sub1.asp?ymd=20261003"/>
    <hyperlink ref="N354" r:id="rId353" display="https://www.maskdance.com/2024/sub7/sub1.asp?ymd=20261003"/>
    <hyperlink ref="N355" r:id="rId354" display="https://www.maskdance.com/2024/sub7/sub1.asp?ymd=20261003"/>
    <hyperlink ref="N356" r:id="rId355" display="https://www.maskdance.com/2024/sub7/sub1.asp?ymd=20261003"/>
    <hyperlink ref="N357" r:id="rId356" display="https://www.maskdance.com/2024/sub7/sub1.asp?ymd=20261003"/>
    <hyperlink ref="N358" r:id="rId357" display="https://www.maskdance.com/2024/sub7/sub1.asp?ymd=20261003"/>
    <hyperlink ref="N359" r:id="rId358" display="https://www.maskdance.com/2024/sub7/sub1.asp?ymd=20261003"/>
    <hyperlink ref="N360" r:id="rId359" display="https://www.maskdance.com/2024/sub7/sub1.asp?ymd=20261003"/>
    <hyperlink ref="N361" r:id="rId360" display="https://www.maskdance.com/2024/sub7/sub1.asp?ymd=20261003"/>
    <hyperlink ref="N362" r:id="rId361" display="https://www.maskdance.com/2024/sub7/sub1.asp?ymd=20261003"/>
    <hyperlink ref="N363" r:id="rId362" display="https://www.maskdance.com/2024/sub7/sub1.asp?ymd=20261003"/>
    <hyperlink ref="N364" r:id="rId363" display="https://www.maskdance.com/2024/sub7/sub1.asp?ymd=20261003"/>
    <hyperlink ref="N365" r:id="rId364" display="https://www.maskdance.com/2024/sub7/sub1.asp?ymd=20261003"/>
    <hyperlink ref="N366" r:id="rId365" display="https://www.maskdance.com/2024/sub7/sub1.asp?ymd=20261003"/>
    <hyperlink ref="N367" r:id="rId366" display="https://www.maskdance.com/2024/sub7/sub1.asp?ymd=20261003"/>
    <hyperlink ref="N368" r:id="rId367" display="https://www.maskdance.com/2024/sub7/sub1.asp?ymd=20261004"/>
    <hyperlink ref="N369" r:id="rId368" display="https://www.maskdance.com/2024/sub7/sub1.asp?ymd=20261004"/>
    <hyperlink ref="N370" r:id="rId369" display="https://www.maskdance.com/2024/sub7/sub1.asp?ymd=20261004"/>
    <hyperlink ref="N371" r:id="rId370" display="https://www.maskdance.com/2024/sub7/sub1.asp?ymd=20261004"/>
    <hyperlink ref="N372" r:id="rId371" display="https://www.maskdance.com/2024/sub7/sub1.asp?ymd=20261004"/>
    <hyperlink ref="N373" r:id="rId372" display="https://www.maskdance.com/2024/sub7/sub1.asp?ymd=20261004"/>
    <hyperlink ref="N374" r:id="rId373" display="https://www.maskdance.com/2024/sub7/sub1.asp?ymd=20261004"/>
    <hyperlink ref="N375" r:id="rId374" display="https://www.maskdance.com/2024/sub7/sub1.asp?ymd=20261004"/>
    <hyperlink ref="N376" r:id="rId375" display="https://www.maskdance.com/2024/sub7/sub1.asp?ymd=20261004"/>
    <hyperlink ref="N377" r:id="rId376" display="https://www.maskdance.com/2024/sub7/sub1.asp?ymd=20261004"/>
    <hyperlink ref="N378" r:id="rId377" display="https://www.maskdance.com/2024/sub7/sub1.asp?ymd=20261004"/>
    <hyperlink ref="N379" r:id="rId378" display="https://www.maskdance.com/2024/sub7/sub1.asp?ymd=20261004"/>
    <hyperlink ref="N380" r:id="rId379" display="https://www.maskdance.com/2024/sub7/sub1.asp?ymd=20261004"/>
    <hyperlink ref="N381" r:id="rId380" display="https://www.maskdance.com/2024/sub7/sub1.asp?ymd=20261004"/>
    <hyperlink ref="N382" r:id="rId381" display="https://www.maskdance.com/2024/sub7/sub1.asp?ymd=20261004"/>
    <hyperlink ref="N383" r:id="rId382" display="https://www.maskdance.com/2024/sub7/sub1.asp?ymd=20261004"/>
    <hyperlink ref="N384" r:id="rId383" display="https://www.maskdance.com/2024/sub7/sub1.asp?ymd=20261004"/>
    <hyperlink ref="N385" r:id="rId384" display="https://www.maskdance.com/2024/sub7/sub1.asp?ymd=20261004"/>
    <hyperlink ref="N386" r:id="rId385" display="https://www.maskdance.com/2024/sub7/sub1.asp?ymd=20261004"/>
    <hyperlink ref="N387" r:id="rId386" display="https://www.maskdance.com/2024/sub7/sub1.asp?ymd=20261004"/>
    <hyperlink ref="N388" r:id="rId387" display="https://www.maskdance.com/2024/sub7/sub1.asp?ymd=20261004"/>
    <hyperlink ref="N389" r:id="rId388" display="https://www.maskdance.com/2024/sub7/sub1.asp?ymd=20261004"/>
    <hyperlink ref="N390" r:id="rId389" display="https://www.maskdance.com/2024/sub7/sub1.asp?ymd=20261004"/>
    <hyperlink ref="N391" r:id="rId390" display="https://www.maskdance.com/2024/sub7/sub1.asp?ymd=20261004"/>
    <hyperlink ref="N392" r:id="rId391" display="https://www.maskdance.com/2024/sub7/sub1.asp?ymd=20261004"/>
    <hyperlink ref="N393" r:id="rId392" display="https://www.maskdance.com/2024/sub7/sub1.asp?ymd=20261004"/>
    <hyperlink ref="N394" r:id="rId393" display="https://www.maskdance.com/2024/sub7/sub1.asp?ymd=20261004"/>
    <hyperlink ref="N395" r:id="rId394" display="https://www.maskdance.com/2024/sub7/sub1.asp?ymd=20261004"/>
    <hyperlink ref="N396" r:id="rId395" display="https://www.maskdance.com/2024/sub7/sub1.asp?ymd=20261004"/>
    <hyperlink ref="N397" r:id="rId396" display="https://www.maskdance.com/2024/sub7/sub1.asp?ymd=20261004"/>
    <hyperlink ref="N398" r:id="rId397" display="https://www.maskdance.com/2024/sub7/sub1.asp?ymd=20261004"/>
    <hyperlink ref="N399" r:id="rId398" display="https://www.maskdance.com/2024/sub7/sub1.asp?ymd=20261004"/>
    <hyperlink ref="N400" r:id="rId399" display="https://www.maskdance.com/2024/sub7/sub1.asp?ymd=20261004"/>
    <hyperlink ref="N401" r:id="rId400" display="https://www.maskdance.com/2024/sub7/sub1.asp?ymd=20261004"/>
    <hyperlink ref="N402" r:id="rId401" display="https://www.maskdance.com/2024/sub7/sub1.asp?ymd=20261004"/>
    <hyperlink ref="N403" r:id="rId402" display="https://www.maskdance.com/2024/sub7/sub1.asp?ymd=20261004"/>
    <hyperlink ref="N404" r:id="rId403" display="https://www.maskdance.com/2024/sub7/sub1.asp?ymd=20261004"/>
    <hyperlink ref="N405" r:id="rId404" display="https://www.maskdance.com/2024/sub7/sub1.asp?ymd=20261004"/>
    <hyperlink ref="N406" r:id="rId405" display="https://www.maskdance.com/2024/sub7/sub1.asp?ymd=20261004"/>
    <hyperlink ref="N407" r:id="rId406" display="https://www.maskdance.com/2024/sub7/sub1.asp?ymd=20261004"/>
    <hyperlink ref="N408" r:id="rId407" display="https://www.maskdance.com/2024/sub7/sub1.asp?ymd=20261004"/>
    <hyperlink ref="N409" r:id="rId408" display="https://www.maskdance.com/2024/sub7/sub1.asp?ymd=20261004"/>
    <hyperlink ref="N410" r:id="rId409" display="https://www.maskdance.com/2024/sub7/sub1.asp?ymd=20261004"/>
    <hyperlink ref="N411" r:id="rId410" display="https://www.maskdance.com/2024/sub7/sub1.asp?ymd=20261004"/>
    <hyperlink ref="N412" r:id="rId411" display="https://www.maskdance.com/2024/sub7/sub1.asp?ymd=20261004"/>
    <hyperlink ref="N413" r:id="rId412" display="https://www.maskdance.com/2024/sub7/sub1.asp?ymd=20261004"/>
    <hyperlink ref="N414" r:id="rId413" display="https://www.maskdance.com/2024/sub7/sub1.asp?ymd=2026100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0.05"/>
    <col collapsed="false" customWidth="true" hidden="false" outlineLevel="0" max="2" min="2" style="0" width="6.68"/>
    <col collapsed="false" customWidth="true" hidden="false" outlineLevel="0" max="3" min="3" style="0" width="21.7"/>
    <col collapsed="false" customWidth="true" hidden="false" outlineLevel="0" max="4" min="4" style="0" width="25.04"/>
    <col collapsed="false" customWidth="true" hidden="false" outlineLevel="0" max="5" min="5" style="0" width="11.68"/>
    <col collapsed="false" customWidth="true" hidden="false" outlineLevel="0" max="6" min="6" style="0" width="33.38"/>
    <col collapsed="false" customWidth="true" hidden="false" outlineLevel="0" max="7" min="7" style="0" width="16.69"/>
    <col collapsed="false" customWidth="true" hidden="false" outlineLevel="0" max="8" min="8" style="0" width="9.18"/>
    <col collapsed="false" customWidth="true" hidden="false" outlineLevel="0" max="9" min="9" style="0" width="33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322</v>
      </c>
      <c r="E1" s="1" t="s">
        <v>10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Format="false" ht="15" hidden="false" customHeight="false" outlineLevel="0" collapsed="false">
      <c r="A2" s="3" t="s">
        <v>323</v>
      </c>
      <c r="B2" s="3" t="s">
        <v>85</v>
      </c>
      <c r="C2" s="3" t="s">
        <v>19</v>
      </c>
      <c r="D2" s="7" t="s">
        <v>324</v>
      </c>
      <c r="E2" s="3" t="s">
        <v>325</v>
      </c>
      <c r="F2" s="6" t="s">
        <v>326</v>
      </c>
      <c r="G2" s="3" t="s">
        <v>327</v>
      </c>
      <c r="H2" s="4" t="n">
        <v>46286</v>
      </c>
      <c r="I2" s="3"/>
    </row>
    <row r="3" customFormat="false" ht="15" hidden="false" customHeight="false" outlineLevel="0" collapsed="false">
      <c r="A3" s="3" t="s">
        <v>328</v>
      </c>
      <c r="B3" s="3" t="s">
        <v>85</v>
      </c>
      <c r="C3" s="3" t="s">
        <v>329</v>
      </c>
      <c r="D3" s="7" t="s">
        <v>324</v>
      </c>
      <c r="E3" s="3" t="s">
        <v>325</v>
      </c>
      <c r="F3" s="6" t="s">
        <v>330</v>
      </c>
      <c r="G3" s="3" t="s">
        <v>327</v>
      </c>
      <c r="H3" s="4" t="n">
        <v>46286</v>
      </c>
      <c r="I3" s="3"/>
    </row>
    <row r="4" customFormat="false" ht="15" hidden="false" customHeight="false" outlineLevel="0" collapsed="false">
      <c r="A4" s="3" t="s">
        <v>331</v>
      </c>
      <c r="B4" s="3" t="s">
        <v>332</v>
      </c>
      <c r="C4" s="3" t="s">
        <v>333</v>
      </c>
      <c r="D4" s="7" t="s">
        <v>324</v>
      </c>
      <c r="E4" s="3" t="s">
        <v>325</v>
      </c>
      <c r="F4" s="6" t="s">
        <v>334</v>
      </c>
      <c r="G4" s="3" t="s">
        <v>327</v>
      </c>
      <c r="H4" s="4" t="n">
        <v>46286</v>
      </c>
      <c r="I4" s="3"/>
    </row>
    <row r="5" customFormat="false" ht="15" hidden="false" customHeight="false" outlineLevel="0" collapsed="false">
      <c r="A5" s="3" t="s">
        <v>335</v>
      </c>
      <c r="B5" s="3" t="s">
        <v>85</v>
      </c>
      <c r="C5" s="3" t="s">
        <v>19</v>
      </c>
      <c r="D5" s="7" t="s">
        <v>324</v>
      </c>
      <c r="E5" s="3" t="s">
        <v>325</v>
      </c>
      <c r="F5" s="6" t="s">
        <v>336</v>
      </c>
      <c r="G5" s="3" t="s">
        <v>327</v>
      </c>
      <c r="H5" s="4" t="n">
        <v>46286</v>
      </c>
      <c r="I5" s="3"/>
    </row>
    <row r="6" customFormat="false" ht="15" hidden="false" customHeight="false" outlineLevel="0" collapsed="false">
      <c r="A6" s="7" t="s">
        <v>337</v>
      </c>
      <c r="B6" s="3" t="s">
        <v>85</v>
      </c>
      <c r="C6" s="3" t="s">
        <v>329</v>
      </c>
      <c r="D6" s="7" t="s">
        <v>324</v>
      </c>
      <c r="E6" s="3" t="s">
        <v>325</v>
      </c>
      <c r="F6" s="6" t="s">
        <v>338</v>
      </c>
      <c r="G6" s="3" t="s">
        <v>327</v>
      </c>
      <c r="H6" s="4" t="n">
        <v>46286</v>
      </c>
      <c r="I6" s="3"/>
    </row>
    <row r="7" customFormat="false" ht="15" hidden="false" customHeight="false" outlineLevel="0" collapsed="false">
      <c r="A7" s="7" t="s">
        <v>339</v>
      </c>
      <c r="B7" s="3" t="s">
        <v>85</v>
      </c>
      <c r="C7" s="3" t="s">
        <v>340</v>
      </c>
      <c r="D7" s="7" t="s">
        <v>341</v>
      </c>
      <c r="E7" s="3" t="s">
        <v>40</v>
      </c>
      <c r="F7" s="6" t="s">
        <v>342</v>
      </c>
      <c r="G7" s="3" t="s">
        <v>327</v>
      </c>
      <c r="H7" s="4" t="n">
        <v>46286</v>
      </c>
      <c r="I7" s="3"/>
    </row>
    <row r="8" customFormat="false" ht="23.85" hidden="false" customHeight="false" outlineLevel="0" collapsed="false">
      <c r="A8" s="7" t="s">
        <v>343</v>
      </c>
      <c r="B8" s="3" t="s">
        <v>51</v>
      </c>
      <c r="C8" s="3" t="s">
        <v>19</v>
      </c>
      <c r="D8" s="7" t="s">
        <v>344</v>
      </c>
      <c r="E8" s="3" t="s">
        <v>40</v>
      </c>
      <c r="F8" s="6" t="s">
        <v>345</v>
      </c>
      <c r="G8" s="3" t="s">
        <v>327</v>
      </c>
      <c r="H8" s="4" t="n">
        <v>46286</v>
      </c>
      <c r="I8" s="3"/>
    </row>
    <row r="9" customFormat="false" ht="15" hidden="false" customHeight="false" outlineLevel="0" collapsed="false">
      <c r="A9" s="7" t="s">
        <v>346</v>
      </c>
      <c r="B9" s="3" t="s">
        <v>85</v>
      </c>
      <c r="C9" s="3" t="s">
        <v>347</v>
      </c>
      <c r="D9" s="7" t="s">
        <v>348</v>
      </c>
      <c r="E9" s="3" t="s">
        <v>40</v>
      </c>
      <c r="F9" s="6" t="s">
        <v>349</v>
      </c>
      <c r="G9" s="3" t="s">
        <v>327</v>
      </c>
      <c r="H9" s="4" t="n">
        <v>46286</v>
      </c>
      <c r="I9" s="3"/>
    </row>
    <row r="10" customFormat="false" ht="15" hidden="false" customHeight="false" outlineLevel="0" collapsed="false">
      <c r="A10" s="7" t="s">
        <v>350</v>
      </c>
      <c r="B10" s="3" t="s">
        <v>332</v>
      </c>
      <c r="C10" s="3" t="s">
        <v>19</v>
      </c>
      <c r="D10" s="7" t="s">
        <v>344</v>
      </c>
      <c r="E10" s="3" t="s">
        <v>40</v>
      </c>
      <c r="F10" s="6" t="s">
        <v>351</v>
      </c>
      <c r="G10" s="3" t="s">
        <v>327</v>
      </c>
      <c r="H10" s="4" t="n">
        <v>46286</v>
      </c>
      <c r="I10" s="3"/>
    </row>
    <row r="11" customFormat="false" ht="23.85" hidden="false" customHeight="false" outlineLevel="0" collapsed="false">
      <c r="A11" s="3" t="s">
        <v>352</v>
      </c>
      <c r="B11" s="3" t="s">
        <v>332</v>
      </c>
      <c r="C11" s="3" t="s">
        <v>353</v>
      </c>
      <c r="D11" s="7" t="s">
        <v>354</v>
      </c>
      <c r="E11" s="3" t="s">
        <v>40</v>
      </c>
      <c r="F11" s="6" t="s">
        <v>355</v>
      </c>
      <c r="G11" s="3" t="s">
        <v>327</v>
      </c>
      <c r="H11" s="4" t="n">
        <v>46286</v>
      </c>
      <c r="I11" s="3" t="s">
        <v>356</v>
      </c>
    </row>
    <row r="12" customFormat="false" ht="15" hidden="false" customHeight="false" outlineLevel="0" collapsed="false">
      <c r="A12" s="3" t="s">
        <v>357</v>
      </c>
      <c r="B12" s="3" t="s">
        <v>85</v>
      </c>
      <c r="C12" s="3" t="s">
        <v>358</v>
      </c>
      <c r="D12" s="7" t="s">
        <v>344</v>
      </c>
      <c r="E12" s="3" t="s">
        <v>40</v>
      </c>
      <c r="F12" s="6" t="s">
        <v>359</v>
      </c>
      <c r="G12" s="3" t="s">
        <v>327</v>
      </c>
      <c r="H12" s="4" t="n">
        <v>46286</v>
      </c>
      <c r="I12" s="3"/>
    </row>
    <row r="13" customFormat="false" ht="35.05" hidden="false" customHeight="false" outlineLevel="0" collapsed="false">
      <c r="A13" s="3" t="s">
        <v>360</v>
      </c>
      <c r="B13" s="3" t="s">
        <v>332</v>
      </c>
      <c r="C13" s="3" t="s">
        <v>361</v>
      </c>
      <c r="D13" s="3" t="s">
        <v>362</v>
      </c>
      <c r="E13" s="3" t="s">
        <v>363</v>
      </c>
      <c r="F13" s="6" t="s">
        <v>364</v>
      </c>
      <c r="G13" s="7" t="s">
        <v>365</v>
      </c>
      <c r="H13" s="4" t="n">
        <v>46286</v>
      </c>
      <c r="I13" s="3" t="s">
        <v>366</v>
      </c>
    </row>
    <row r="14" customFormat="false" ht="23.85" hidden="false" customHeight="false" outlineLevel="0" collapsed="false">
      <c r="A14" s="7" t="s">
        <v>367</v>
      </c>
      <c r="B14" s="3" t="s">
        <v>85</v>
      </c>
      <c r="C14" s="3" t="s">
        <v>368</v>
      </c>
      <c r="D14" s="7" t="s">
        <v>369</v>
      </c>
      <c r="E14" s="3" t="s">
        <v>370</v>
      </c>
      <c r="F14" s="6" t="s">
        <v>364</v>
      </c>
      <c r="G14" s="7" t="s">
        <v>365</v>
      </c>
      <c r="H14" s="4" t="n">
        <v>46286</v>
      </c>
      <c r="I14" s="3" t="s">
        <v>371</v>
      </c>
    </row>
    <row r="15" customFormat="false" ht="15" hidden="false" customHeight="false" outlineLevel="0" collapsed="false">
      <c r="A15" s="3" t="s">
        <v>372</v>
      </c>
      <c r="B15" s="3" t="s">
        <v>51</v>
      </c>
      <c r="C15" s="3" t="s">
        <v>373</v>
      </c>
      <c r="D15" s="7" t="s">
        <v>374</v>
      </c>
      <c r="E15" s="3" t="s">
        <v>375</v>
      </c>
      <c r="F15" s="6" t="s">
        <v>376</v>
      </c>
      <c r="G15" s="3" t="s">
        <v>327</v>
      </c>
      <c r="H15" s="4" t="n">
        <v>46286</v>
      </c>
      <c r="I15" s="3" t="s">
        <v>377</v>
      </c>
    </row>
  </sheetData>
  <autoFilter ref="A1:I15"/>
  <hyperlinks>
    <hyperlink ref="F2" r:id="rId1" display="https://www.maskdance.com/2024/sub2/sub18.asp?yflag=2026&amp;search=&amp;page=1&amp;seq=4504"/>
    <hyperlink ref="F3" r:id="rId2" display="https://www.maskdance.com/2024/sub2/sub18.asp?yflag=2026&amp;search=&amp;page=1&amp;seq=4501"/>
    <hyperlink ref="F4" r:id="rId3" display="https://www.maskdance.com/2024/sub2/sub18.asp?yflag=2026&amp;search=&amp;page=1&amp;seq=4503"/>
    <hyperlink ref="F5" r:id="rId4" display="https://www.maskdance.com/2024/sub2/sub18.asp?yflag=2026&amp;search=&amp;page=1&amp;seq=4502"/>
    <hyperlink ref="F6" r:id="rId5" display="https://www.maskdance.com/2024/sub2/sub18.asp?yflag=2026&amp;search=&amp;page=1&amp;seq=4505"/>
    <hyperlink ref="F7" r:id="rId6" display="https://www.maskdance.com/2024/sub2/sub17.asp?yflag=2026&amp;search=&amp;page=1&amp;seq=4373"/>
    <hyperlink ref="F8" r:id="rId7" display="https://www.maskdance.com/2024/sub2/sub17.asp?yflag=2026&amp;search=&amp;page=1&amp;seq=4380"/>
    <hyperlink ref="F9" r:id="rId8" display="https://www.maskdance.com/2024/sub2/sub17.asp?yflag=2026&amp;search=&amp;page=1&amp;seq=4379"/>
    <hyperlink ref="F10" r:id="rId9" display="https://www.maskdance.com/2024/sub2/sub17.asp?yflag=2026&amp;search=&amp;page=1&amp;seq=4376"/>
    <hyperlink ref="F11" r:id="rId10" display="https://www.maskdance.com/2024/sub2/sub17.asp?yflag=2026&amp;search=&amp;page=2&amp;seq=4499"/>
    <hyperlink ref="F12" r:id="rId11" display="https://www.maskdance.com/2024/sub2/sub17.asp?yflag=2026&amp;search=&amp;page=2&amp;seq=4372"/>
    <hyperlink ref="F13" r:id="rId12" display="https://www.maskdance.com/gears_pds/book/123/2026_leaflet_ko%20(2).pdf"/>
    <hyperlink ref="F14" r:id="rId13" display="https://www.maskdance.com/gears_pds/book/123/2026_leaflet_ko%20(2).pdf"/>
    <hyperlink ref="F15" r:id="rId14" display="https://www.maskdance.com/2024/sub2/sub3_3.as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5.01"/>
    <col collapsed="false" customWidth="true" hidden="false" outlineLevel="0" max="3" min="3" style="0" width="10.85"/>
    <col collapsed="false" customWidth="true" hidden="false" outlineLevel="0" max="6" min="4" style="0" width="11.68"/>
  </cols>
  <sheetData>
    <row r="1" customFormat="false" ht="15" hidden="false" customHeight="false" outlineLevel="0" collapsed="false">
      <c r="A1" s="8" t="s">
        <v>3</v>
      </c>
      <c r="B1" s="8" t="s">
        <v>12</v>
      </c>
      <c r="C1" s="8" t="s">
        <v>378</v>
      </c>
      <c r="D1" s="9" t="s">
        <v>379</v>
      </c>
      <c r="E1" s="9" t="s">
        <v>9</v>
      </c>
      <c r="F1" s="9" t="s">
        <v>380</v>
      </c>
    </row>
    <row r="2" customFormat="false" ht="15" hidden="false" customHeight="false" outlineLevel="0" collapsed="false">
      <c r="A2" s="10" t="n">
        <v>46289</v>
      </c>
      <c r="B2" s="11" t="str">
        <f aca="false">CHOOSE(WEEKDAY(A2),"일","월","화","수","목","금","토")</f>
        <v>목</v>
      </c>
      <c r="C2" s="11" t="n">
        <f aca="false">COUNTIFS(프로그램_일정!$D$2:$D$414,A2)</f>
        <v>12</v>
      </c>
      <c r="D2" s="11" t="n">
        <f aca="false">COUNTIFS(프로그램_일정!$D$2:$D$414,A2,프로그램_일정!$I$2:$I$414,"Y")</f>
        <v>3</v>
      </c>
      <c r="E2" s="11" t="n">
        <f aca="false">COUNTIFS(프로그램_일정!$D$2:$D$414,A2,프로그램_일정!$J$2:$J$414,"Y")</f>
        <v>0</v>
      </c>
      <c r="F2" s="12" t="n">
        <f aca="false">IF(C2=0,"",D2/C2)</f>
        <v>0.25</v>
      </c>
    </row>
    <row r="3" customFormat="false" ht="15" hidden="false" customHeight="false" outlineLevel="0" collapsed="false">
      <c r="A3" s="10" t="n">
        <v>46290</v>
      </c>
      <c r="B3" s="11" t="str">
        <f aca="false">CHOOSE(WEEKDAY(A3),"일","월","화","수","목","금","토")</f>
        <v>금</v>
      </c>
      <c r="C3" s="11" t="n">
        <f aca="false">COUNTIFS(프로그램_일정!$D$2:$D$414,A3)</f>
        <v>18</v>
      </c>
      <c r="D3" s="11" t="n">
        <f aca="false">COUNTIFS(프로그램_일정!$D$2:$D$414,A3,프로그램_일정!$I$2:$I$414,"Y")</f>
        <v>5</v>
      </c>
      <c r="E3" s="11" t="n">
        <f aca="false">COUNTIFS(프로그램_일정!$D$2:$D$414,A3,프로그램_일정!$J$2:$J$414,"Y")</f>
        <v>0</v>
      </c>
      <c r="F3" s="12" t="n">
        <f aca="false">IF(C3=0,"",D3/C3)</f>
        <v>0.277777777777778</v>
      </c>
    </row>
    <row r="4" customFormat="false" ht="15" hidden="false" customHeight="false" outlineLevel="0" collapsed="false">
      <c r="A4" s="10" t="n">
        <v>46291</v>
      </c>
      <c r="B4" s="11" t="str">
        <f aca="false">CHOOSE(WEEKDAY(A4),"일","월","화","수","목","금","토")</f>
        <v>토</v>
      </c>
      <c r="C4" s="11" t="n">
        <f aca="false">COUNTIFS(프로그램_일정!$D$2:$D$414,A4)</f>
        <v>55</v>
      </c>
      <c r="D4" s="11" t="n">
        <f aca="false">COUNTIFS(프로그램_일정!$D$2:$D$414,A4,프로그램_일정!$I$2:$I$414,"Y")</f>
        <v>17</v>
      </c>
      <c r="E4" s="11" t="n">
        <f aca="false">COUNTIFS(프로그램_일정!$D$2:$D$414,A4,프로그램_일정!$J$2:$J$414,"Y")</f>
        <v>4</v>
      </c>
      <c r="F4" s="12" t="n">
        <f aca="false">IF(C4=0,"",D4/C4)</f>
        <v>0.309090909090909</v>
      </c>
    </row>
    <row r="5" customFormat="false" ht="15" hidden="false" customHeight="false" outlineLevel="0" collapsed="false">
      <c r="A5" s="10" t="n">
        <v>46292</v>
      </c>
      <c r="B5" s="11" t="str">
        <f aca="false">CHOOSE(WEEKDAY(A5),"일","월","화","수","목","금","토")</f>
        <v>일</v>
      </c>
      <c r="C5" s="11" t="n">
        <f aca="false">COUNTIFS(프로그램_일정!$D$2:$D$414,A5)</f>
        <v>56</v>
      </c>
      <c r="D5" s="11" t="n">
        <f aca="false">COUNTIFS(프로그램_일정!$D$2:$D$414,A5,프로그램_일정!$I$2:$I$414,"Y")</f>
        <v>15</v>
      </c>
      <c r="E5" s="11" t="n">
        <f aca="false">COUNTIFS(프로그램_일정!$D$2:$D$414,A5,프로그램_일정!$J$2:$J$414,"Y")</f>
        <v>2</v>
      </c>
      <c r="F5" s="12" t="n">
        <f aca="false">IF(C5=0,"",D5/C5)</f>
        <v>0.267857142857143</v>
      </c>
    </row>
    <row r="6" customFormat="false" ht="15" hidden="false" customHeight="false" outlineLevel="0" collapsed="false">
      <c r="A6" s="10" t="n">
        <v>46293</v>
      </c>
      <c r="B6" s="11" t="str">
        <f aca="false">CHOOSE(WEEKDAY(A6),"일","월","화","수","목","금","토")</f>
        <v>월</v>
      </c>
      <c r="C6" s="11" t="n">
        <f aca="false">COUNTIFS(프로그램_일정!$D$2:$D$414,A6)</f>
        <v>30</v>
      </c>
      <c r="D6" s="11" t="n">
        <f aca="false">COUNTIFS(프로그램_일정!$D$2:$D$414,A6,프로그램_일정!$I$2:$I$414,"Y")</f>
        <v>8</v>
      </c>
      <c r="E6" s="11" t="n">
        <f aca="false">COUNTIFS(프로그램_일정!$D$2:$D$414,A6,프로그램_일정!$J$2:$J$414,"Y")</f>
        <v>0</v>
      </c>
      <c r="F6" s="12" t="n">
        <f aca="false">IF(C6=0,"",D6/C6)</f>
        <v>0.266666666666667</v>
      </c>
    </row>
    <row r="7" customFormat="false" ht="15" hidden="false" customHeight="false" outlineLevel="0" collapsed="false">
      <c r="A7" s="10" t="n">
        <v>46294</v>
      </c>
      <c r="B7" s="11" t="str">
        <f aca="false">CHOOSE(WEEKDAY(A7),"일","월","화","수","목","금","토")</f>
        <v>화</v>
      </c>
      <c r="C7" s="11" t="n">
        <f aca="false">COUNTIFS(프로그램_일정!$D$2:$D$414,A7)</f>
        <v>36</v>
      </c>
      <c r="D7" s="11" t="n">
        <f aca="false">COUNTIFS(프로그램_일정!$D$2:$D$414,A7,프로그램_일정!$I$2:$I$414,"Y")</f>
        <v>10</v>
      </c>
      <c r="E7" s="11" t="n">
        <f aca="false">COUNTIFS(프로그램_일정!$D$2:$D$414,A7,프로그램_일정!$J$2:$J$414,"Y")</f>
        <v>1</v>
      </c>
      <c r="F7" s="12" t="n">
        <f aca="false">IF(C7=0,"",D7/C7)</f>
        <v>0.277777777777778</v>
      </c>
    </row>
    <row r="8" customFormat="false" ht="15" hidden="false" customHeight="false" outlineLevel="0" collapsed="false">
      <c r="A8" s="10" t="n">
        <v>46295</v>
      </c>
      <c r="B8" s="11" t="str">
        <f aca="false">CHOOSE(WEEKDAY(A8),"일","월","화","수","목","금","토")</f>
        <v>수</v>
      </c>
      <c r="C8" s="11" t="n">
        <f aca="false">COUNTIFS(프로그램_일정!$D$2:$D$414,A8)</f>
        <v>35</v>
      </c>
      <c r="D8" s="11" t="n">
        <f aca="false">COUNTIFS(프로그램_일정!$D$2:$D$414,A8,프로그램_일정!$I$2:$I$414,"Y")</f>
        <v>8</v>
      </c>
      <c r="E8" s="11" t="n">
        <f aca="false">COUNTIFS(프로그램_일정!$D$2:$D$414,A8,프로그램_일정!$J$2:$J$414,"Y")</f>
        <v>0</v>
      </c>
      <c r="F8" s="12" t="n">
        <f aca="false">IF(C8=0,"",D8/C8)</f>
        <v>0.228571428571429</v>
      </c>
    </row>
    <row r="9" customFormat="false" ht="15" hidden="false" customHeight="false" outlineLevel="0" collapsed="false">
      <c r="A9" s="10" t="n">
        <v>46296</v>
      </c>
      <c r="B9" s="11" t="str">
        <f aca="false">CHOOSE(WEEKDAY(A9),"일","월","화","수","목","금","토")</f>
        <v>목</v>
      </c>
      <c r="C9" s="11" t="n">
        <f aca="false">COUNTIFS(프로그램_일정!$D$2:$D$414,A9)</f>
        <v>35</v>
      </c>
      <c r="D9" s="11" t="n">
        <f aca="false">COUNTIFS(프로그램_일정!$D$2:$D$414,A9,프로그램_일정!$I$2:$I$414,"Y")</f>
        <v>7</v>
      </c>
      <c r="E9" s="11" t="n">
        <f aca="false">COUNTIFS(프로그램_일정!$D$2:$D$414,A9,프로그램_일정!$J$2:$J$414,"Y")</f>
        <v>0</v>
      </c>
      <c r="F9" s="12" t="n">
        <f aca="false">IF(C9=0,"",D9/C9)</f>
        <v>0.2</v>
      </c>
    </row>
    <row r="10" customFormat="false" ht="15" hidden="false" customHeight="false" outlineLevel="0" collapsed="false">
      <c r="A10" s="10" t="n">
        <v>46297</v>
      </c>
      <c r="B10" s="11" t="str">
        <f aca="false">CHOOSE(WEEKDAY(A10),"일","월","화","수","목","금","토")</f>
        <v>금</v>
      </c>
      <c r="C10" s="11" t="n">
        <f aca="false">COUNTIFS(프로그램_일정!$D$2:$D$414,A10)</f>
        <v>30</v>
      </c>
      <c r="D10" s="11" t="n">
        <f aca="false">COUNTIFS(프로그램_일정!$D$2:$D$414,A10,프로그램_일정!$I$2:$I$414,"Y")</f>
        <v>6</v>
      </c>
      <c r="E10" s="11" t="n">
        <f aca="false">COUNTIFS(프로그램_일정!$D$2:$D$414,A10,프로그램_일정!$J$2:$J$414,"Y")</f>
        <v>1</v>
      </c>
      <c r="F10" s="12" t="n">
        <f aca="false">IF(C10=0,"",D10/C10)</f>
        <v>0.2</v>
      </c>
    </row>
    <row r="11" customFormat="false" ht="15" hidden="false" customHeight="false" outlineLevel="0" collapsed="false">
      <c r="A11" s="10" t="n">
        <v>46298</v>
      </c>
      <c r="B11" s="11" t="str">
        <f aca="false">CHOOSE(WEEKDAY(A11),"일","월","화","수","목","금","토")</f>
        <v>토</v>
      </c>
      <c r="C11" s="11" t="n">
        <f aca="false">COUNTIFS(프로그램_일정!$D$2:$D$414,A11)</f>
        <v>59</v>
      </c>
      <c r="D11" s="11" t="n">
        <f aca="false">COUNTIFS(프로그램_일정!$D$2:$D$414,A11,프로그램_일정!$I$2:$I$414,"Y")</f>
        <v>14</v>
      </c>
      <c r="E11" s="11" t="n">
        <f aca="false">COUNTIFS(프로그램_일정!$D$2:$D$414,A11,프로그램_일정!$J$2:$J$414,"Y")</f>
        <v>2</v>
      </c>
      <c r="F11" s="12" t="n">
        <f aca="false">IF(C11=0,"",D11/C11)</f>
        <v>0.23728813559322</v>
      </c>
    </row>
    <row r="12" customFormat="false" ht="15" hidden="false" customHeight="false" outlineLevel="0" collapsed="false">
      <c r="A12" s="10" t="n">
        <v>46299</v>
      </c>
      <c r="B12" s="11" t="str">
        <f aca="false">CHOOSE(WEEKDAY(A12),"일","월","화","수","목","금","토")</f>
        <v>일</v>
      </c>
      <c r="C12" s="11" t="n">
        <f aca="false">COUNTIFS(프로그램_일정!$D$2:$D$414,A12)</f>
        <v>47</v>
      </c>
      <c r="D12" s="11" t="n">
        <f aca="false">COUNTIFS(프로그램_일정!$D$2:$D$414,A12,프로그램_일정!$I$2:$I$414,"Y")</f>
        <v>6</v>
      </c>
      <c r="E12" s="11" t="n">
        <f aca="false">COUNTIFS(프로그램_일정!$D$2:$D$414,A12,프로그램_일정!$J$2:$J$414,"Y")</f>
        <v>1</v>
      </c>
      <c r="F12" s="12" t="n">
        <f aca="false">IF(C12=0,"",D12/C12)</f>
        <v>0.127659574468085</v>
      </c>
    </row>
    <row r="13" customFormat="false" ht="15" hidden="false" customHeight="false" outlineLevel="0" collapsed="false">
      <c r="A13" s="8" t="s">
        <v>381</v>
      </c>
      <c r="B13" s="8"/>
      <c r="C13" s="8" t="n">
        <f aca="false">SUM(C2:C12)</f>
        <v>413</v>
      </c>
      <c r="D13" s="8" t="n">
        <f aca="false">SUM(D2:D12)</f>
        <v>99</v>
      </c>
      <c r="E13" s="8" t="n">
        <f aca="false">SUM(E2:E12)</f>
        <v>11</v>
      </c>
      <c r="F13" s="13" t="n">
        <f aca="false">IF(C13=0,"",D13/C13)</f>
        <v>0.239709443099274</v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11" t="s">
        <v>11</v>
      </c>
      <c r="B15" s="11"/>
      <c r="C15" s="11" t="s">
        <v>378</v>
      </c>
      <c r="D15" s="14" t="s">
        <v>382</v>
      </c>
      <c r="E15" s="14" t="s">
        <v>383</v>
      </c>
      <c r="F15" s="14" t="s">
        <v>384</v>
      </c>
    </row>
    <row r="16" customFormat="false" ht="15" hidden="false" customHeight="false" outlineLevel="0" collapsed="false">
      <c r="A16" s="11" t="s">
        <v>19</v>
      </c>
      <c r="B16" s="11"/>
      <c r="C16" s="11" t="n">
        <f aca="false">COUNTIFS(프로그램_일정!$L$2:$L$414,A16)</f>
        <v>216</v>
      </c>
      <c r="D16" s="11" t="n">
        <f aca="false">COUNTIFS(프로그램_일정!$L$2:$L$414,A16,프로그램_일정!$I$2:$I$414,"Y")</f>
        <v>50</v>
      </c>
      <c r="E16" s="11" t="n">
        <f aca="false">COUNTIFS(프로그램_일정!$L$2:$L$414,A16,프로그램_일정!$J$2:$J$414,"Y")</f>
        <v>5</v>
      </c>
      <c r="F16" s="12" t="n">
        <f aca="false">IF(C16=0,"",D16/C16)</f>
        <v>0.231481481481481</v>
      </c>
    </row>
    <row r="17" customFormat="false" ht="15" hidden="false" customHeight="false" outlineLevel="0" collapsed="false">
      <c r="A17" s="11" t="s">
        <v>35</v>
      </c>
      <c r="B17" s="11"/>
      <c r="C17" s="11" t="n">
        <f aca="false">COUNTIFS(프로그램_일정!$L$2:$L$414,A17)</f>
        <v>89</v>
      </c>
      <c r="D17" s="11" t="n">
        <f aca="false">COUNTIFS(프로그램_일정!$L$2:$L$414,A17,프로그램_일정!$I$2:$I$414,"Y")</f>
        <v>32</v>
      </c>
      <c r="E17" s="11" t="n">
        <f aca="false">COUNTIFS(프로그램_일정!$L$2:$L$414,A17,프로그램_일정!$J$2:$J$414,"Y")</f>
        <v>6</v>
      </c>
      <c r="F17" s="12" t="n">
        <f aca="false">IF(C17=0,"",D17/C17)</f>
        <v>0.359550561797753</v>
      </c>
    </row>
    <row r="18" customFormat="false" ht="15" hidden="false" customHeight="false" outlineLevel="0" collapsed="false">
      <c r="A18" s="11" t="s">
        <v>44</v>
      </c>
      <c r="B18" s="11"/>
      <c r="C18" s="11" t="n">
        <f aca="false">COUNTIFS(프로그램_일정!$L$2:$L$414,A18)</f>
        <v>63</v>
      </c>
      <c r="D18" s="11" t="n">
        <f aca="false">COUNTIFS(프로그램_일정!$L$2:$L$414,A18,프로그램_일정!$I$2:$I$414,"Y")</f>
        <v>12</v>
      </c>
      <c r="E18" s="11" t="n">
        <f aca="false">COUNTIFS(프로그램_일정!$L$2:$L$414,A18,프로그램_일정!$J$2:$J$414,"Y")</f>
        <v>0</v>
      </c>
      <c r="F18" s="12" t="n">
        <f aca="false">IF(C18=0,"",D18/C18)</f>
        <v>0.19047619047619</v>
      </c>
    </row>
    <row r="19" customFormat="false" ht="15" hidden="false" customHeight="false" outlineLevel="0" collapsed="false">
      <c r="A19" s="11" t="s">
        <v>26</v>
      </c>
      <c r="B19" s="11"/>
      <c r="C19" s="11" t="n">
        <f aca="false">COUNTIFS(프로그램_일정!$L$2:$L$414,A19)</f>
        <v>26</v>
      </c>
      <c r="D19" s="11" t="n">
        <f aca="false">COUNTIFS(프로그램_일정!$L$2:$L$414,A19,프로그램_일정!$I$2:$I$414,"Y")</f>
        <v>2</v>
      </c>
      <c r="E19" s="11" t="n">
        <f aca="false">COUNTIFS(프로그램_일정!$L$2:$L$414,A19,프로그램_일정!$J$2:$J$414,"Y")</f>
        <v>0</v>
      </c>
      <c r="F19" s="12" t="n">
        <f aca="false">IF(C19=0,"",D19/C19)</f>
        <v>0.0769230769230769</v>
      </c>
    </row>
    <row r="20" customFormat="false" ht="15" hidden="false" customHeight="false" outlineLevel="0" collapsed="false">
      <c r="A20" s="11" t="s">
        <v>47</v>
      </c>
      <c r="B20" s="11"/>
      <c r="C20" s="11" t="n">
        <f aca="false">COUNTIFS(프로그램_일정!$L$2:$L$414,A20)</f>
        <v>19</v>
      </c>
      <c r="D20" s="11" t="n">
        <f aca="false">COUNTIFS(프로그램_일정!$L$2:$L$414,A20,프로그램_일정!$I$2:$I$414,"Y")</f>
        <v>3</v>
      </c>
      <c r="E20" s="11" t="n">
        <f aca="false">COUNTIFS(프로그램_일정!$L$2:$L$414,A20,프로그램_일정!$J$2:$J$414,"Y")</f>
        <v>0</v>
      </c>
      <c r="F20" s="12" t="n">
        <f aca="false">IF(C20=0,"",D20/C20)</f>
        <v>0.157894736842105</v>
      </c>
    </row>
    <row r="21" customFormat="false" ht="15" hidden="false" customHeight="false" outlineLevel="0" collapsed="false">
      <c r="A21" s="11" t="s">
        <v>85</v>
      </c>
      <c r="B21" s="11"/>
      <c r="C21" s="11" t="n">
        <f aca="false">COUNTIFS(프로그램_일정!$L$2:$L$414,A21)</f>
        <v>0</v>
      </c>
      <c r="D21" s="11" t="n">
        <f aca="false">COUNTIFS(프로그램_일정!$L$2:$L$414,A21,프로그램_일정!$I$2:$I$414,"Y")</f>
        <v>0</v>
      </c>
      <c r="E21" s="11" t="n">
        <f aca="false">COUNTIFS(프로그램_일정!$L$2:$L$414,A21,프로그램_일정!$J$2:$J$414,"Y")</f>
        <v>0</v>
      </c>
      <c r="F21" s="12" t="str">
        <f aca="false">IF(C21=0,"",D21/C21)</f>
        <v/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11" t="s">
        <v>1</v>
      </c>
      <c r="B23" s="11"/>
      <c r="C23" s="11" t="s">
        <v>378</v>
      </c>
      <c r="D23" s="14" t="s">
        <v>382</v>
      </c>
      <c r="E23" s="14" t="s">
        <v>383</v>
      </c>
      <c r="F23" s="14" t="s">
        <v>384</v>
      </c>
    </row>
    <row r="24" customFormat="false" ht="15" hidden="false" customHeight="false" outlineLevel="0" collapsed="false">
      <c r="A24" s="11" t="s">
        <v>18</v>
      </c>
      <c r="B24" s="11"/>
      <c r="C24" s="11" t="n">
        <f aca="false">COUNTIFS(프로그램_일정!$B$2:$B$414,A24)</f>
        <v>320</v>
      </c>
      <c r="D24" s="11" t="n">
        <f aca="false">COUNTIFS(프로그램_일정!$B$2:$B$414,A24,프로그램_일정!$I$2:$I$414,"Y")</f>
        <v>89</v>
      </c>
      <c r="E24" s="11" t="n">
        <f aca="false">COUNTIFS(프로그램_일정!$B$2:$B$414,A24,프로그램_일정!$J$2:$J$414,"Y")</f>
        <v>11</v>
      </c>
      <c r="F24" s="12" t="n">
        <f aca="false">IF(C24=0,"",D24/C24)</f>
        <v>0.278125</v>
      </c>
    </row>
    <row r="25" customFormat="false" ht="15" hidden="false" customHeight="false" outlineLevel="0" collapsed="false">
      <c r="A25" s="11" t="s">
        <v>51</v>
      </c>
      <c r="B25" s="11"/>
      <c r="C25" s="11" t="n">
        <f aca="false">COUNTIFS(프로그램_일정!$B$2:$B$414,A25)</f>
        <v>44</v>
      </c>
      <c r="D25" s="11" t="n">
        <f aca="false">COUNTIFS(프로그램_일정!$B$2:$B$414,A25,프로그램_일정!$I$2:$I$414,"Y")</f>
        <v>0</v>
      </c>
      <c r="E25" s="11" t="n">
        <f aca="false">COUNTIFS(프로그램_일정!$B$2:$B$414,A25,프로그램_일정!$J$2:$J$414,"Y")</f>
        <v>0</v>
      </c>
      <c r="F25" s="12" t="n">
        <f aca="false">IF(C25=0,"",D25/C25)</f>
        <v>0</v>
      </c>
    </row>
    <row r="26" customFormat="false" ht="15" hidden="false" customHeight="false" outlineLevel="0" collapsed="false">
      <c r="A26" s="11" t="s">
        <v>85</v>
      </c>
      <c r="B26" s="11"/>
      <c r="C26" s="11" t="n">
        <f aca="false">COUNTIFS(프로그램_일정!$B$2:$B$414,A26)</f>
        <v>4</v>
      </c>
      <c r="D26" s="11" t="n">
        <f aca="false">COUNTIFS(프로그램_일정!$B$2:$B$414,A26,프로그램_일정!$I$2:$I$414,"Y")</f>
        <v>0</v>
      </c>
      <c r="E26" s="11" t="n">
        <f aca="false">COUNTIFS(프로그램_일정!$B$2:$B$414,A26,프로그램_일정!$J$2:$J$414,"Y")</f>
        <v>0</v>
      </c>
      <c r="F26" s="12" t="n">
        <f aca="false">IF(C26=0,"",D26/C26)</f>
        <v>0</v>
      </c>
    </row>
    <row r="27" customFormat="false" ht="15" hidden="false" customHeight="false" outlineLevel="0" collapsed="false">
      <c r="A27" s="11" t="s">
        <v>32</v>
      </c>
      <c r="B27" s="11"/>
      <c r="C27" s="11" t="n">
        <f aca="false">COUNTIFS(프로그램_일정!$B$2:$B$414,A27)</f>
        <v>45</v>
      </c>
      <c r="D27" s="11" t="n">
        <f aca="false">COUNTIFS(프로그램_일정!$B$2:$B$414,A27,프로그램_일정!$I$2:$I$414,"Y")</f>
        <v>10</v>
      </c>
      <c r="E27" s="11" t="n">
        <f aca="false">COUNTIFS(프로그램_일정!$B$2:$B$414,A27,프로그램_일정!$J$2:$J$414,"Y")</f>
        <v>0</v>
      </c>
      <c r="F27" s="12" t="n">
        <f aca="false">IF(C27=0,"",D27/C27)</f>
        <v>0.222222222222222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23.37"/>
    <col collapsed="false" customWidth="true" hidden="false" outlineLevel="0" max="3" min="3" style="0" width="20.03"/>
    <col collapsed="false" customWidth="true" hidden="false" outlineLevel="0" max="4" min="4" style="0" width="28.38"/>
    <col collapsed="false" customWidth="true" hidden="false" outlineLevel="0" max="5" min="5" style="0" width="7.51"/>
    <col collapsed="false" customWidth="true" hidden="false" outlineLevel="0" max="6" min="6" style="0" width="28.38"/>
    <col collapsed="false" customWidth="true" hidden="false" outlineLevel="0" max="7" min="7" style="0" width="15.02"/>
    <col collapsed="false" customWidth="true" hidden="false" outlineLevel="0" max="8" min="8" style="0" width="9.18"/>
    <col collapsed="false" customWidth="true" hidden="false" outlineLevel="0" max="9" min="9" style="0" width="41.73"/>
  </cols>
  <sheetData>
    <row r="1" customFormat="false" ht="15" hidden="false" customHeight="false" outlineLevel="0" collapsed="false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Format="false" ht="23.85" hidden="false" customHeight="false" outlineLevel="0" collapsed="false">
      <c r="A2" s="7" t="s">
        <v>390</v>
      </c>
      <c r="B2" s="3" t="s">
        <v>391</v>
      </c>
      <c r="C2" s="3" t="s">
        <v>392</v>
      </c>
      <c r="D2" s="3" t="s">
        <v>393</v>
      </c>
      <c r="E2" s="7" t="s">
        <v>394</v>
      </c>
      <c r="F2" s="6" t="s">
        <v>395</v>
      </c>
      <c r="G2" s="3" t="s">
        <v>327</v>
      </c>
      <c r="H2" s="4" t="n">
        <v>46286</v>
      </c>
      <c r="I2" s="3" t="s">
        <v>396</v>
      </c>
    </row>
    <row r="3" customFormat="false" ht="23.85" hidden="false" customHeight="false" outlineLevel="0" collapsed="false">
      <c r="A3" s="7" t="s">
        <v>390</v>
      </c>
      <c r="B3" s="3" t="s">
        <v>391</v>
      </c>
      <c r="C3" s="3" t="s">
        <v>392</v>
      </c>
      <c r="D3" s="3" t="s">
        <v>393</v>
      </c>
      <c r="E3" s="7" t="s">
        <v>397</v>
      </c>
      <c r="F3" s="6" t="s">
        <v>395</v>
      </c>
      <c r="G3" s="3" t="s">
        <v>327</v>
      </c>
      <c r="H3" s="4" t="n">
        <v>46286</v>
      </c>
      <c r="I3" s="3" t="s">
        <v>396</v>
      </c>
    </row>
    <row r="4" customFormat="false" ht="23.85" hidden="false" customHeight="false" outlineLevel="0" collapsed="false">
      <c r="A4" s="7" t="s">
        <v>390</v>
      </c>
      <c r="B4" s="3" t="s">
        <v>391</v>
      </c>
      <c r="C4" s="3" t="s">
        <v>392</v>
      </c>
      <c r="D4" s="3" t="s">
        <v>393</v>
      </c>
      <c r="E4" s="7" t="s">
        <v>398</v>
      </c>
      <c r="F4" s="6" t="s">
        <v>395</v>
      </c>
      <c r="G4" s="3" t="s">
        <v>327</v>
      </c>
      <c r="H4" s="4" t="n">
        <v>46286</v>
      </c>
      <c r="I4" s="3" t="s">
        <v>396</v>
      </c>
    </row>
    <row r="5" customFormat="false" ht="23.85" hidden="false" customHeight="false" outlineLevel="0" collapsed="false">
      <c r="A5" s="7" t="s">
        <v>390</v>
      </c>
      <c r="B5" s="3" t="s">
        <v>391</v>
      </c>
      <c r="C5" s="3" t="s">
        <v>392</v>
      </c>
      <c r="D5" s="3" t="s">
        <v>393</v>
      </c>
      <c r="E5" s="7" t="s">
        <v>399</v>
      </c>
      <c r="F5" s="6" t="s">
        <v>395</v>
      </c>
      <c r="G5" s="3" t="s">
        <v>327</v>
      </c>
      <c r="H5" s="4" t="n">
        <v>46286</v>
      </c>
      <c r="I5" s="3" t="s">
        <v>396</v>
      </c>
    </row>
    <row r="6" customFormat="false" ht="23.85" hidden="false" customHeight="false" outlineLevel="0" collapsed="false">
      <c r="A6" s="7" t="s">
        <v>390</v>
      </c>
      <c r="B6" s="3" t="s">
        <v>391</v>
      </c>
      <c r="C6" s="3" t="s">
        <v>392</v>
      </c>
      <c r="D6" s="3" t="s">
        <v>393</v>
      </c>
      <c r="E6" s="7" t="s">
        <v>400</v>
      </c>
      <c r="F6" s="6" t="s">
        <v>395</v>
      </c>
      <c r="G6" s="3" t="s">
        <v>327</v>
      </c>
      <c r="H6" s="4" t="n">
        <v>46286</v>
      </c>
      <c r="I6" s="3" t="s">
        <v>396</v>
      </c>
    </row>
    <row r="7" customFormat="false" ht="23.85" hidden="false" customHeight="false" outlineLevel="0" collapsed="false">
      <c r="A7" s="7" t="s">
        <v>390</v>
      </c>
      <c r="B7" s="3" t="s">
        <v>391</v>
      </c>
      <c r="C7" s="3" t="s">
        <v>392</v>
      </c>
      <c r="D7" s="3" t="s">
        <v>393</v>
      </c>
      <c r="E7" s="7" t="s">
        <v>401</v>
      </c>
      <c r="F7" s="6" t="s">
        <v>395</v>
      </c>
      <c r="G7" s="3" t="s">
        <v>327</v>
      </c>
      <c r="H7" s="4" t="n">
        <v>46286</v>
      </c>
      <c r="I7" s="3" t="s">
        <v>396</v>
      </c>
    </row>
    <row r="8" customFormat="false" ht="23.85" hidden="false" customHeight="false" outlineLevel="0" collapsed="false">
      <c r="A8" s="7" t="s">
        <v>390</v>
      </c>
      <c r="B8" s="3" t="s">
        <v>391</v>
      </c>
      <c r="C8" s="3" t="s">
        <v>392</v>
      </c>
      <c r="D8" s="3" t="s">
        <v>393</v>
      </c>
      <c r="E8" s="7" t="s">
        <v>402</v>
      </c>
      <c r="F8" s="6" t="s">
        <v>395</v>
      </c>
      <c r="G8" s="3" t="s">
        <v>327</v>
      </c>
      <c r="H8" s="4" t="n">
        <v>46286</v>
      </c>
      <c r="I8" s="3" t="s">
        <v>396</v>
      </c>
    </row>
    <row r="9" customFormat="false" ht="23.85" hidden="false" customHeight="false" outlineLevel="0" collapsed="false">
      <c r="A9" s="7" t="s">
        <v>390</v>
      </c>
      <c r="B9" s="3" t="s">
        <v>403</v>
      </c>
      <c r="C9" s="3" t="s">
        <v>392</v>
      </c>
      <c r="D9" s="3" t="s">
        <v>393</v>
      </c>
      <c r="E9" s="7" t="s">
        <v>394</v>
      </c>
      <c r="F9" s="6" t="s">
        <v>395</v>
      </c>
      <c r="G9" s="3" t="s">
        <v>327</v>
      </c>
      <c r="H9" s="4" t="n">
        <v>46286</v>
      </c>
      <c r="I9" s="3" t="s">
        <v>396</v>
      </c>
    </row>
    <row r="10" customFormat="false" ht="23.85" hidden="false" customHeight="false" outlineLevel="0" collapsed="false">
      <c r="A10" s="7" t="s">
        <v>390</v>
      </c>
      <c r="B10" s="3" t="s">
        <v>403</v>
      </c>
      <c r="C10" s="3" t="s">
        <v>392</v>
      </c>
      <c r="D10" s="3" t="s">
        <v>393</v>
      </c>
      <c r="E10" s="7" t="s">
        <v>397</v>
      </c>
      <c r="F10" s="6" t="s">
        <v>395</v>
      </c>
      <c r="G10" s="3" t="s">
        <v>327</v>
      </c>
      <c r="H10" s="4" t="n">
        <v>46286</v>
      </c>
      <c r="I10" s="3" t="s">
        <v>396</v>
      </c>
    </row>
    <row r="11" customFormat="false" ht="23.85" hidden="false" customHeight="false" outlineLevel="0" collapsed="false">
      <c r="A11" s="7" t="s">
        <v>390</v>
      </c>
      <c r="B11" s="3" t="s">
        <v>403</v>
      </c>
      <c r="C11" s="3" t="s">
        <v>392</v>
      </c>
      <c r="D11" s="3" t="s">
        <v>393</v>
      </c>
      <c r="E11" s="7" t="s">
        <v>398</v>
      </c>
      <c r="F11" s="6" t="s">
        <v>395</v>
      </c>
      <c r="G11" s="3" t="s">
        <v>327</v>
      </c>
      <c r="H11" s="4" t="n">
        <v>46286</v>
      </c>
      <c r="I11" s="3" t="s">
        <v>396</v>
      </c>
    </row>
    <row r="12" customFormat="false" ht="23.85" hidden="false" customHeight="false" outlineLevel="0" collapsed="false">
      <c r="A12" s="7" t="s">
        <v>390</v>
      </c>
      <c r="B12" s="3" t="s">
        <v>403</v>
      </c>
      <c r="C12" s="3" t="s">
        <v>392</v>
      </c>
      <c r="D12" s="3" t="s">
        <v>393</v>
      </c>
      <c r="E12" s="7" t="s">
        <v>399</v>
      </c>
      <c r="F12" s="6" t="s">
        <v>395</v>
      </c>
      <c r="G12" s="3" t="s">
        <v>327</v>
      </c>
      <c r="H12" s="4" t="n">
        <v>46286</v>
      </c>
      <c r="I12" s="3" t="s">
        <v>396</v>
      </c>
    </row>
    <row r="13" customFormat="false" ht="23.85" hidden="false" customHeight="false" outlineLevel="0" collapsed="false">
      <c r="A13" s="7" t="s">
        <v>390</v>
      </c>
      <c r="B13" s="3" t="s">
        <v>403</v>
      </c>
      <c r="C13" s="3" t="s">
        <v>392</v>
      </c>
      <c r="D13" s="3" t="s">
        <v>393</v>
      </c>
      <c r="E13" s="7" t="s">
        <v>400</v>
      </c>
      <c r="F13" s="6" t="s">
        <v>395</v>
      </c>
      <c r="G13" s="3" t="s">
        <v>327</v>
      </c>
      <c r="H13" s="4" t="n">
        <v>46286</v>
      </c>
      <c r="I13" s="3" t="s">
        <v>396</v>
      </c>
    </row>
    <row r="14" customFormat="false" ht="23.85" hidden="false" customHeight="false" outlineLevel="0" collapsed="false">
      <c r="A14" s="7" t="s">
        <v>390</v>
      </c>
      <c r="B14" s="3" t="s">
        <v>403</v>
      </c>
      <c r="C14" s="3" t="s">
        <v>392</v>
      </c>
      <c r="D14" s="3" t="s">
        <v>393</v>
      </c>
      <c r="E14" s="7" t="s">
        <v>401</v>
      </c>
      <c r="F14" s="6" t="s">
        <v>395</v>
      </c>
      <c r="G14" s="3" t="s">
        <v>327</v>
      </c>
      <c r="H14" s="4" t="n">
        <v>46286</v>
      </c>
      <c r="I14" s="3" t="s">
        <v>396</v>
      </c>
    </row>
    <row r="15" customFormat="false" ht="23.85" hidden="false" customHeight="false" outlineLevel="0" collapsed="false">
      <c r="A15" s="7" t="s">
        <v>390</v>
      </c>
      <c r="B15" s="3" t="s">
        <v>403</v>
      </c>
      <c r="C15" s="3" t="s">
        <v>392</v>
      </c>
      <c r="D15" s="3" t="s">
        <v>393</v>
      </c>
      <c r="E15" s="7" t="s">
        <v>402</v>
      </c>
      <c r="F15" s="6" t="s">
        <v>395</v>
      </c>
      <c r="G15" s="3" t="s">
        <v>327</v>
      </c>
      <c r="H15" s="4" t="n">
        <v>46286</v>
      </c>
      <c r="I15" s="3" t="s">
        <v>396</v>
      </c>
    </row>
    <row r="16" customFormat="false" ht="23.85" hidden="false" customHeight="false" outlineLevel="0" collapsed="false">
      <c r="A16" s="7" t="s">
        <v>390</v>
      </c>
      <c r="B16" s="3" t="s">
        <v>403</v>
      </c>
      <c r="C16" s="3" t="s">
        <v>392</v>
      </c>
      <c r="D16" s="3" t="s">
        <v>393</v>
      </c>
      <c r="E16" s="7" t="s">
        <v>404</v>
      </c>
      <c r="F16" s="6" t="s">
        <v>395</v>
      </c>
      <c r="G16" s="3" t="s">
        <v>327</v>
      </c>
      <c r="H16" s="4" t="n">
        <v>46286</v>
      </c>
      <c r="I16" s="3" t="s">
        <v>396</v>
      </c>
    </row>
    <row r="17" customFormat="false" ht="23.85" hidden="false" customHeight="false" outlineLevel="0" collapsed="false">
      <c r="A17" s="7" t="s">
        <v>390</v>
      </c>
      <c r="B17" s="3" t="s">
        <v>403</v>
      </c>
      <c r="C17" s="3" t="s">
        <v>392</v>
      </c>
      <c r="D17" s="3" t="s">
        <v>393</v>
      </c>
      <c r="E17" s="7" t="s">
        <v>405</v>
      </c>
      <c r="F17" s="6" t="s">
        <v>395</v>
      </c>
      <c r="G17" s="3" t="s">
        <v>327</v>
      </c>
      <c r="H17" s="4" t="n">
        <v>46286</v>
      </c>
      <c r="I17" s="3" t="s">
        <v>396</v>
      </c>
    </row>
    <row r="18" customFormat="false" ht="23.85" hidden="false" customHeight="false" outlineLevel="0" collapsed="false">
      <c r="A18" s="7" t="s">
        <v>390</v>
      </c>
      <c r="B18" s="3" t="s">
        <v>406</v>
      </c>
      <c r="C18" s="3" t="s">
        <v>392</v>
      </c>
      <c r="D18" s="3" t="s">
        <v>407</v>
      </c>
      <c r="E18" s="7" t="s">
        <v>394</v>
      </c>
      <c r="F18" s="6" t="s">
        <v>395</v>
      </c>
      <c r="G18" s="3" t="s">
        <v>327</v>
      </c>
      <c r="H18" s="4" t="n">
        <v>46286</v>
      </c>
      <c r="I18" s="3" t="s">
        <v>396</v>
      </c>
    </row>
    <row r="19" customFormat="false" ht="23.85" hidden="false" customHeight="false" outlineLevel="0" collapsed="false">
      <c r="A19" s="7" t="s">
        <v>390</v>
      </c>
      <c r="B19" s="3" t="s">
        <v>406</v>
      </c>
      <c r="C19" s="3" t="s">
        <v>392</v>
      </c>
      <c r="D19" s="3" t="s">
        <v>407</v>
      </c>
      <c r="E19" s="7" t="s">
        <v>397</v>
      </c>
      <c r="F19" s="6" t="s">
        <v>395</v>
      </c>
      <c r="G19" s="3" t="s">
        <v>327</v>
      </c>
      <c r="H19" s="4" t="n">
        <v>46286</v>
      </c>
      <c r="I19" s="3" t="s">
        <v>396</v>
      </c>
    </row>
    <row r="20" customFormat="false" ht="23.85" hidden="false" customHeight="false" outlineLevel="0" collapsed="false">
      <c r="A20" s="7" t="s">
        <v>390</v>
      </c>
      <c r="B20" s="3" t="s">
        <v>406</v>
      </c>
      <c r="C20" s="3" t="s">
        <v>392</v>
      </c>
      <c r="D20" s="3" t="s">
        <v>407</v>
      </c>
      <c r="E20" s="7" t="s">
        <v>398</v>
      </c>
      <c r="F20" s="6" t="s">
        <v>395</v>
      </c>
      <c r="G20" s="3" t="s">
        <v>327</v>
      </c>
      <c r="H20" s="4" t="n">
        <v>46286</v>
      </c>
      <c r="I20" s="3" t="s">
        <v>396</v>
      </c>
    </row>
    <row r="21" customFormat="false" ht="23.85" hidden="false" customHeight="false" outlineLevel="0" collapsed="false">
      <c r="A21" s="7" t="s">
        <v>390</v>
      </c>
      <c r="B21" s="3" t="s">
        <v>406</v>
      </c>
      <c r="C21" s="3" t="s">
        <v>392</v>
      </c>
      <c r="D21" s="3" t="s">
        <v>407</v>
      </c>
      <c r="E21" s="7" t="s">
        <v>399</v>
      </c>
      <c r="F21" s="6" t="s">
        <v>395</v>
      </c>
      <c r="G21" s="3" t="s">
        <v>327</v>
      </c>
      <c r="H21" s="4" t="n">
        <v>46286</v>
      </c>
      <c r="I21" s="3" t="s">
        <v>396</v>
      </c>
    </row>
    <row r="22" customFormat="false" ht="23.85" hidden="false" customHeight="false" outlineLevel="0" collapsed="false">
      <c r="A22" s="7" t="s">
        <v>390</v>
      </c>
      <c r="B22" s="3" t="s">
        <v>406</v>
      </c>
      <c r="C22" s="3" t="s">
        <v>392</v>
      </c>
      <c r="D22" s="3" t="s">
        <v>407</v>
      </c>
      <c r="E22" s="7" t="s">
        <v>400</v>
      </c>
      <c r="F22" s="6" t="s">
        <v>395</v>
      </c>
      <c r="G22" s="3" t="s">
        <v>327</v>
      </c>
      <c r="H22" s="4" t="n">
        <v>46286</v>
      </c>
      <c r="I22" s="3" t="s">
        <v>396</v>
      </c>
    </row>
    <row r="23" customFormat="false" ht="23.85" hidden="false" customHeight="false" outlineLevel="0" collapsed="false">
      <c r="A23" s="7" t="s">
        <v>390</v>
      </c>
      <c r="B23" s="3" t="s">
        <v>406</v>
      </c>
      <c r="C23" s="3" t="s">
        <v>392</v>
      </c>
      <c r="D23" s="3" t="s">
        <v>407</v>
      </c>
      <c r="E23" s="7" t="s">
        <v>401</v>
      </c>
      <c r="F23" s="6" t="s">
        <v>395</v>
      </c>
      <c r="G23" s="3" t="s">
        <v>327</v>
      </c>
      <c r="H23" s="4" t="n">
        <v>46286</v>
      </c>
      <c r="I23" s="3" t="s">
        <v>396</v>
      </c>
    </row>
    <row r="24" customFormat="false" ht="23.85" hidden="false" customHeight="false" outlineLevel="0" collapsed="false">
      <c r="A24" s="7" t="s">
        <v>390</v>
      </c>
      <c r="B24" s="3" t="s">
        <v>406</v>
      </c>
      <c r="C24" s="3" t="s">
        <v>392</v>
      </c>
      <c r="D24" s="3" t="s">
        <v>407</v>
      </c>
      <c r="E24" s="7" t="s">
        <v>402</v>
      </c>
      <c r="F24" s="6" t="s">
        <v>395</v>
      </c>
      <c r="G24" s="3" t="s">
        <v>327</v>
      </c>
      <c r="H24" s="4" t="n">
        <v>46286</v>
      </c>
      <c r="I24" s="3" t="s">
        <v>396</v>
      </c>
    </row>
    <row r="25" customFormat="false" ht="23.85" hidden="false" customHeight="false" outlineLevel="0" collapsed="false">
      <c r="A25" s="7" t="s">
        <v>390</v>
      </c>
      <c r="B25" s="3" t="s">
        <v>406</v>
      </c>
      <c r="C25" s="3" t="s">
        <v>392</v>
      </c>
      <c r="D25" s="3" t="s">
        <v>407</v>
      </c>
      <c r="E25" s="7" t="s">
        <v>404</v>
      </c>
      <c r="F25" s="6" t="s">
        <v>395</v>
      </c>
      <c r="G25" s="3" t="s">
        <v>327</v>
      </c>
      <c r="H25" s="4" t="n">
        <v>46286</v>
      </c>
      <c r="I25" s="3" t="s">
        <v>396</v>
      </c>
    </row>
    <row r="26" customFormat="false" ht="23.85" hidden="false" customHeight="false" outlineLevel="0" collapsed="false">
      <c r="A26" s="7" t="s">
        <v>390</v>
      </c>
      <c r="B26" s="3" t="s">
        <v>406</v>
      </c>
      <c r="C26" s="3" t="s">
        <v>392</v>
      </c>
      <c r="D26" s="3" t="s">
        <v>407</v>
      </c>
      <c r="E26" s="7" t="s">
        <v>405</v>
      </c>
      <c r="F26" s="6" t="s">
        <v>395</v>
      </c>
      <c r="G26" s="3" t="s">
        <v>327</v>
      </c>
      <c r="H26" s="4" t="n">
        <v>46286</v>
      </c>
      <c r="I26" s="3" t="s">
        <v>396</v>
      </c>
    </row>
    <row r="27" customFormat="false" ht="23.85" hidden="false" customHeight="false" outlineLevel="0" collapsed="false">
      <c r="A27" s="7" t="s">
        <v>408</v>
      </c>
      <c r="B27" s="3" t="s">
        <v>391</v>
      </c>
      <c r="C27" s="3" t="s">
        <v>393</v>
      </c>
      <c r="D27" s="3" t="s">
        <v>409</v>
      </c>
      <c r="E27" s="7" t="s">
        <v>394</v>
      </c>
      <c r="F27" s="6" t="s">
        <v>395</v>
      </c>
      <c r="G27" s="3" t="s">
        <v>327</v>
      </c>
      <c r="H27" s="4" t="n">
        <v>46286</v>
      </c>
      <c r="I27" s="3" t="s">
        <v>396</v>
      </c>
    </row>
    <row r="28" customFormat="false" ht="23.85" hidden="false" customHeight="false" outlineLevel="0" collapsed="false">
      <c r="A28" s="7" t="s">
        <v>408</v>
      </c>
      <c r="B28" s="3" t="s">
        <v>391</v>
      </c>
      <c r="C28" s="3" t="s">
        <v>393</v>
      </c>
      <c r="D28" s="3" t="s">
        <v>409</v>
      </c>
      <c r="E28" s="7" t="s">
        <v>397</v>
      </c>
      <c r="F28" s="6" t="s">
        <v>395</v>
      </c>
      <c r="G28" s="3" t="s">
        <v>327</v>
      </c>
      <c r="H28" s="4" t="n">
        <v>46286</v>
      </c>
      <c r="I28" s="3" t="s">
        <v>396</v>
      </c>
    </row>
    <row r="29" customFormat="false" ht="23.85" hidden="false" customHeight="false" outlineLevel="0" collapsed="false">
      <c r="A29" s="7" t="s">
        <v>408</v>
      </c>
      <c r="B29" s="3" t="s">
        <v>391</v>
      </c>
      <c r="C29" s="3" t="s">
        <v>393</v>
      </c>
      <c r="D29" s="3" t="s">
        <v>409</v>
      </c>
      <c r="E29" s="7" t="s">
        <v>398</v>
      </c>
      <c r="F29" s="6" t="s">
        <v>395</v>
      </c>
      <c r="G29" s="3" t="s">
        <v>327</v>
      </c>
      <c r="H29" s="4" t="n">
        <v>46286</v>
      </c>
      <c r="I29" s="3" t="s">
        <v>396</v>
      </c>
    </row>
    <row r="30" customFormat="false" ht="23.85" hidden="false" customHeight="false" outlineLevel="0" collapsed="false">
      <c r="A30" s="7" t="s">
        <v>408</v>
      </c>
      <c r="B30" s="3" t="s">
        <v>391</v>
      </c>
      <c r="C30" s="3" t="s">
        <v>393</v>
      </c>
      <c r="D30" s="3" t="s">
        <v>409</v>
      </c>
      <c r="E30" s="7" t="s">
        <v>399</v>
      </c>
      <c r="F30" s="6" t="s">
        <v>395</v>
      </c>
      <c r="G30" s="3" t="s">
        <v>327</v>
      </c>
      <c r="H30" s="4" t="n">
        <v>46286</v>
      </c>
      <c r="I30" s="3" t="s">
        <v>396</v>
      </c>
    </row>
    <row r="31" customFormat="false" ht="23.85" hidden="false" customHeight="false" outlineLevel="0" collapsed="false">
      <c r="A31" s="7" t="s">
        <v>408</v>
      </c>
      <c r="B31" s="3" t="s">
        <v>391</v>
      </c>
      <c r="C31" s="3" t="s">
        <v>393</v>
      </c>
      <c r="D31" s="3" t="s">
        <v>409</v>
      </c>
      <c r="E31" s="7" t="s">
        <v>400</v>
      </c>
      <c r="F31" s="6" t="s">
        <v>395</v>
      </c>
      <c r="G31" s="3" t="s">
        <v>327</v>
      </c>
      <c r="H31" s="4" t="n">
        <v>46286</v>
      </c>
      <c r="I31" s="3" t="s">
        <v>396</v>
      </c>
    </row>
    <row r="32" customFormat="false" ht="23.85" hidden="false" customHeight="false" outlineLevel="0" collapsed="false">
      <c r="A32" s="7" t="s">
        <v>408</v>
      </c>
      <c r="B32" s="3" t="s">
        <v>391</v>
      </c>
      <c r="C32" s="3" t="s">
        <v>393</v>
      </c>
      <c r="D32" s="3" t="s">
        <v>409</v>
      </c>
      <c r="E32" s="7" t="s">
        <v>401</v>
      </c>
      <c r="F32" s="6" t="s">
        <v>395</v>
      </c>
      <c r="G32" s="3" t="s">
        <v>327</v>
      </c>
      <c r="H32" s="4" t="n">
        <v>46286</v>
      </c>
      <c r="I32" s="3" t="s">
        <v>396</v>
      </c>
    </row>
    <row r="33" customFormat="false" ht="23.85" hidden="false" customHeight="false" outlineLevel="0" collapsed="false">
      <c r="A33" s="7" t="s">
        <v>408</v>
      </c>
      <c r="B33" s="3" t="s">
        <v>391</v>
      </c>
      <c r="C33" s="3" t="s">
        <v>393</v>
      </c>
      <c r="D33" s="3" t="s">
        <v>409</v>
      </c>
      <c r="E33" s="7" t="s">
        <v>410</v>
      </c>
      <c r="F33" s="6" t="s">
        <v>395</v>
      </c>
      <c r="G33" s="3" t="s">
        <v>327</v>
      </c>
      <c r="H33" s="4" t="n">
        <v>46286</v>
      </c>
      <c r="I33" s="3" t="s">
        <v>396</v>
      </c>
    </row>
    <row r="34" customFormat="false" ht="23.85" hidden="false" customHeight="false" outlineLevel="0" collapsed="false">
      <c r="A34" s="7" t="s">
        <v>408</v>
      </c>
      <c r="B34" s="3" t="s">
        <v>391</v>
      </c>
      <c r="C34" s="3" t="s">
        <v>411</v>
      </c>
      <c r="D34" s="3" t="s">
        <v>392</v>
      </c>
      <c r="E34" s="7" t="s">
        <v>412</v>
      </c>
      <c r="F34" s="6" t="s">
        <v>395</v>
      </c>
      <c r="G34" s="3" t="s">
        <v>327</v>
      </c>
      <c r="H34" s="4" t="n">
        <v>46286</v>
      </c>
      <c r="I34" s="3" t="s">
        <v>396</v>
      </c>
    </row>
    <row r="35" customFormat="false" ht="23.85" hidden="false" customHeight="false" outlineLevel="0" collapsed="false">
      <c r="A35" s="7" t="s">
        <v>408</v>
      </c>
      <c r="B35" s="3" t="s">
        <v>391</v>
      </c>
      <c r="C35" s="3" t="s">
        <v>411</v>
      </c>
      <c r="D35" s="3" t="s">
        <v>392</v>
      </c>
      <c r="E35" s="7" t="s">
        <v>413</v>
      </c>
      <c r="F35" s="6" t="s">
        <v>395</v>
      </c>
      <c r="G35" s="3" t="s">
        <v>327</v>
      </c>
      <c r="H35" s="4" t="n">
        <v>46286</v>
      </c>
      <c r="I35" s="3" t="s">
        <v>396</v>
      </c>
    </row>
    <row r="36" customFormat="false" ht="23.85" hidden="false" customHeight="false" outlineLevel="0" collapsed="false">
      <c r="A36" s="7" t="s">
        <v>408</v>
      </c>
      <c r="B36" s="3" t="s">
        <v>391</v>
      </c>
      <c r="C36" s="3" t="s">
        <v>411</v>
      </c>
      <c r="D36" s="3" t="s">
        <v>392</v>
      </c>
      <c r="E36" s="7" t="s">
        <v>414</v>
      </c>
      <c r="F36" s="6" t="s">
        <v>395</v>
      </c>
      <c r="G36" s="3" t="s">
        <v>327</v>
      </c>
      <c r="H36" s="4" t="n">
        <v>46286</v>
      </c>
      <c r="I36" s="3" t="s">
        <v>396</v>
      </c>
    </row>
    <row r="37" customFormat="false" ht="23.85" hidden="false" customHeight="false" outlineLevel="0" collapsed="false">
      <c r="A37" s="7" t="s">
        <v>408</v>
      </c>
      <c r="B37" s="3" t="s">
        <v>391</v>
      </c>
      <c r="C37" s="3" t="s">
        <v>411</v>
      </c>
      <c r="D37" s="3" t="s">
        <v>392</v>
      </c>
      <c r="E37" s="7" t="s">
        <v>415</v>
      </c>
      <c r="F37" s="6" t="s">
        <v>395</v>
      </c>
      <c r="G37" s="3" t="s">
        <v>327</v>
      </c>
      <c r="H37" s="4" t="n">
        <v>46286</v>
      </c>
      <c r="I37" s="3" t="s">
        <v>396</v>
      </c>
    </row>
    <row r="38" customFormat="false" ht="23.85" hidden="false" customHeight="false" outlineLevel="0" collapsed="false">
      <c r="A38" s="7" t="s">
        <v>408</v>
      </c>
      <c r="B38" s="3" t="s">
        <v>391</v>
      </c>
      <c r="C38" s="3" t="s">
        <v>411</v>
      </c>
      <c r="D38" s="3" t="s">
        <v>392</v>
      </c>
      <c r="E38" s="7" t="s">
        <v>416</v>
      </c>
      <c r="F38" s="6" t="s">
        <v>395</v>
      </c>
      <c r="G38" s="3" t="s">
        <v>327</v>
      </c>
      <c r="H38" s="4" t="n">
        <v>46286</v>
      </c>
      <c r="I38" s="3" t="s">
        <v>396</v>
      </c>
    </row>
    <row r="39" customFormat="false" ht="23.85" hidden="false" customHeight="false" outlineLevel="0" collapsed="false">
      <c r="A39" s="7" t="s">
        <v>408</v>
      </c>
      <c r="B39" s="3" t="s">
        <v>391</v>
      </c>
      <c r="C39" s="3" t="s">
        <v>411</v>
      </c>
      <c r="D39" s="3" t="s">
        <v>392</v>
      </c>
      <c r="E39" s="7" t="s">
        <v>417</v>
      </c>
      <c r="F39" s="6" t="s">
        <v>395</v>
      </c>
      <c r="G39" s="3" t="s">
        <v>327</v>
      </c>
      <c r="H39" s="4" t="n">
        <v>46286</v>
      </c>
      <c r="I39" s="3" t="s">
        <v>396</v>
      </c>
    </row>
    <row r="40" customFormat="false" ht="23.85" hidden="false" customHeight="false" outlineLevel="0" collapsed="false">
      <c r="A40" s="7" t="s">
        <v>408</v>
      </c>
      <c r="B40" s="3" t="s">
        <v>391</v>
      </c>
      <c r="C40" s="3" t="s">
        <v>411</v>
      </c>
      <c r="D40" s="3" t="s">
        <v>392</v>
      </c>
      <c r="E40" s="7" t="s">
        <v>418</v>
      </c>
      <c r="F40" s="6" t="s">
        <v>395</v>
      </c>
      <c r="G40" s="3" t="s">
        <v>327</v>
      </c>
      <c r="H40" s="4" t="n">
        <v>46286</v>
      </c>
      <c r="I40" s="3" t="s">
        <v>396</v>
      </c>
    </row>
    <row r="41" customFormat="false" ht="23.85" hidden="false" customHeight="false" outlineLevel="0" collapsed="false">
      <c r="A41" s="7" t="s">
        <v>408</v>
      </c>
      <c r="B41" s="3" t="s">
        <v>419</v>
      </c>
      <c r="C41" s="3" t="s">
        <v>393</v>
      </c>
      <c r="D41" s="3" t="s">
        <v>409</v>
      </c>
      <c r="E41" s="7" t="s">
        <v>394</v>
      </c>
      <c r="F41" s="6" t="s">
        <v>395</v>
      </c>
      <c r="G41" s="3" t="s">
        <v>327</v>
      </c>
      <c r="H41" s="4" t="n">
        <v>46286</v>
      </c>
      <c r="I41" s="3" t="s">
        <v>396</v>
      </c>
    </row>
    <row r="42" customFormat="false" ht="23.85" hidden="false" customHeight="false" outlineLevel="0" collapsed="false">
      <c r="A42" s="7" t="s">
        <v>408</v>
      </c>
      <c r="B42" s="3" t="s">
        <v>419</v>
      </c>
      <c r="C42" s="3" t="s">
        <v>393</v>
      </c>
      <c r="D42" s="3" t="s">
        <v>409</v>
      </c>
      <c r="E42" s="7" t="s">
        <v>397</v>
      </c>
      <c r="F42" s="6" t="s">
        <v>395</v>
      </c>
      <c r="G42" s="3" t="s">
        <v>327</v>
      </c>
      <c r="H42" s="4" t="n">
        <v>46286</v>
      </c>
      <c r="I42" s="3" t="s">
        <v>396</v>
      </c>
    </row>
    <row r="43" customFormat="false" ht="23.85" hidden="false" customHeight="false" outlineLevel="0" collapsed="false">
      <c r="A43" s="7" t="s">
        <v>408</v>
      </c>
      <c r="B43" s="3" t="s">
        <v>419</v>
      </c>
      <c r="C43" s="3" t="s">
        <v>393</v>
      </c>
      <c r="D43" s="3" t="s">
        <v>409</v>
      </c>
      <c r="E43" s="7" t="s">
        <v>398</v>
      </c>
      <c r="F43" s="6" t="s">
        <v>395</v>
      </c>
      <c r="G43" s="3" t="s">
        <v>327</v>
      </c>
      <c r="H43" s="4" t="n">
        <v>46286</v>
      </c>
      <c r="I43" s="3" t="s">
        <v>396</v>
      </c>
    </row>
    <row r="44" customFormat="false" ht="23.85" hidden="false" customHeight="false" outlineLevel="0" collapsed="false">
      <c r="A44" s="7" t="s">
        <v>408</v>
      </c>
      <c r="B44" s="3" t="s">
        <v>419</v>
      </c>
      <c r="C44" s="3" t="s">
        <v>393</v>
      </c>
      <c r="D44" s="3" t="s">
        <v>409</v>
      </c>
      <c r="E44" s="7" t="s">
        <v>399</v>
      </c>
      <c r="F44" s="6" t="s">
        <v>395</v>
      </c>
      <c r="G44" s="3" t="s">
        <v>327</v>
      </c>
      <c r="H44" s="4" t="n">
        <v>46286</v>
      </c>
      <c r="I44" s="3" t="s">
        <v>396</v>
      </c>
    </row>
    <row r="45" customFormat="false" ht="23.85" hidden="false" customHeight="false" outlineLevel="0" collapsed="false">
      <c r="A45" s="7" t="s">
        <v>408</v>
      </c>
      <c r="B45" s="3" t="s">
        <v>419</v>
      </c>
      <c r="C45" s="3" t="s">
        <v>393</v>
      </c>
      <c r="D45" s="3" t="s">
        <v>409</v>
      </c>
      <c r="E45" s="7" t="s">
        <v>400</v>
      </c>
      <c r="F45" s="6" t="s">
        <v>395</v>
      </c>
      <c r="G45" s="3" t="s">
        <v>327</v>
      </c>
      <c r="H45" s="4" t="n">
        <v>46286</v>
      </c>
      <c r="I45" s="3" t="s">
        <v>396</v>
      </c>
    </row>
    <row r="46" customFormat="false" ht="23.85" hidden="false" customHeight="false" outlineLevel="0" collapsed="false">
      <c r="A46" s="7" t="s">
        <v>408</v>
      </c>
      <c r="B46" s="3" t="s">
        <v>419</v>
      </c>
      <c r="C46" s="3" t="s">
        <v>393</v>
      </c>
      <c r="D46" s="3" t="s">
        <v>409</v>
      </c>
      <c r="E46" s="7" t="s">
        <v>401</v>
      </c>
      <c r="F46" s="6" t="s">
        <v>395</v>
      </c>
      <c r="G46" s="3" t="s">
        <v>327</v>
      </c>
      <c r="H46" s="4" t="n">
        <v>46286</v>
      </c>
      <c r="I46" s="3" t="s">
        <v>396</v>
      </c>
    </row>
    <row r="47" customFormat="false" ht="23.85" hidden="false" customHeight="false" outlineLevel="0" collapsed="false">
      <c r="A47" s="7" t="s">
        <v>408</v>
      </c>
      <c r="B47" s="3" t="s">
        <v>419</v>
      </c>
      <c r="C47" s="3" t="s">
        <v>393</v>
      </c>
      <c r="D47" s="3" t="s">
        <v>409</v>
      </c>
      <c r="E47" s="7" t="s">
        <v>410</v>
      </c>
      <c r="F47" s="6" t="s">
        <v>395</v>
      </c>
      <c r="G47" s="3" t="s">
        <v>327</v>
      </c>
      <c r="H47" s="4" t="n">
        <v>46286</v>
      </c>
      <c r="I47" s="3" t="s">
        <v>396</v>
      </c>
    </row>
    <row r="48" customFormat="false" ht="23.85" hidden="false" customHeight="false" outlineLevel="0" collapsed="false">
      <c r="A48" s="7" t="s">
        <v>408</v>
      </c>
      <c r="B48" s="3" t="s">
        <v>419</v>
      </c>
      <c r="C48" s="3" t="s">
        <v>393</v>
      </c>
      <c r="D48" s="3" t="s">
        <v>409</v>
      </c>
      <c r="E48" s="7" t="s">
        <v>420</v>
      </c>
      <c r="F48" s="6" t="s">
        <v>395</v>
      </c>
      <c r="G48" s="3" t="s">
        <v>327</v>
      </c>
      <c r="H48" s="4" t="n">
        <v>46286</v>
      </c>
      <c r="I48" s="3" t="s">
        <v>396</v>
      </c>
    </row>
    <row r="49" customFormat="false" ht="23.85" hidden="false" customHeight="false" outlineLevel="0" collapsed="false">
      <c r="A49" s="7" t="s">
        <v>408</v>
      </c>
      <c r="B49" s="3" t="s">
        <v>419</v>
      </c>
      <c r="C49" s="3" t="s">
        <v>393</v>
      </c>
      <c r="D49" s="3" t="s">
        <v>409</v>
      </c>
      <c r="E49" s="7" t="s">
        <v>405</v>
      </c>
      <c r="F49" s="6" t="s">
        <v>395</v>
      </c>
      <c r="G49" s="3" t="s">
        <v>327</v>
      </c>
      <c r="H49" s="4" t="n">
        <v>46286</v>
      </c>
      <c r="I49" s="3" t="s">
        <v>396</v>
      </c>
    </row>
    <row r="50" customFormat="false" ht="23.85" hidden="false" customHeight="false" outlineLevel="0" collapsed="false">
      <c r="A50" s="7" t="s">
        <v>408</v>
      </c>
      <c r="B50" s="3" t="s">
        <v>419</v>
      </c>
      <c r="C50" s="3" t="s">
        <v>393</v>
      </c>
      <c r="D50" s="3" t="s">
        <v>409</v>
      </c>
      <c r="E50" s="7" t="s">
        <v>421</v>
      </c>
      <c r="F50" s="6" t="s">
        <v>395</v>
      </c>
      <c r="G50" s="3" t="s">
        <v>327</v>
      </c>
      <c r="H50" s="4" t="n">
        <v>46286</v>
      </c>
      <c r="I50" s="3" t="s">
        <v>396</v>
      </c>
    </row>
    <row r="51" customFormat="false" ht="23.85" hidden="false" customHeight="false" outlineLevel="0" collapsed="false">
      <c r="A51" s="7" t="s">
        <v>408</v>
      </c>
      <c r="B51" s="3" t="s">
        <v>419</v>
      </c>
      <c r="C51" s="3" t="s">
        <v>411</v>
      </c>
      <c r="D51" s="3" t="s">
        <v>392</v>
      </c>
      <c r="E51" s="7" t="s">
        <v>412</v>
      </c>
      <c r="F51" s="6" t="s">
        <v>395</v>
      </c>
      <c r="G51" s="3" t="s">
        <v>327</v>
      </c>
      <c r="H51" s="4" t="n">
        <v>46286</v>
      </c>
      <c r="I51" s="3" t="s">
        <v>396</v>
      </c>
    </row>
    <row r="52" customFormat="false" ht="23.85" hidden="false" customHeight="false" outlineLevel="0" collapsed="false">
      <c r="A52" s="7" t="s">
        <v>408</v>
      </c>
      <c r="B52" s="3" t="s">
        <v>419</v>
      </c>
      <c r="C52" s="3" t="s">
        <v>411</v>
      </c>
      <c r="D52" s="3" t="s">
        <v>392</v>
      </c>
      <c r="E52" s="7" t="s">
        <v>413</v>
      </c>
      <c r="F52" s="6" t="s">
        <v>395</v>
      </c>
      <c r="G52" s="3" t="s">
        <v>327</v>
      </c>
      <c r="H52" s="4" t="n">
        <v>46286</v>
      </c>
      <c r="I52" s="3" t="s">
        <v>396</v>
      </c>
    </row>
    <row r="53" customFormat="false" ht="23.85" hidden="false" customHeight="false" outlineLevel="0" collapsed="false">
      <c r="A53" s="7" t="s">
        <v>408</v>
      </c>
      <c r="B53" s="3" t="s">
        <v>419</v>
      </c>
      <c r="C53" s="3" t="s">
        <v>411</v>
      </c>
      <c r="D53" s="3" t="s">
        <v>392</v>
      </c>
      <c r="E53" s="7" t="s">
        <v>414</v>
      </c>
      <c r="F53" s="6" t="s">
        <v>395</v>
      </c>
      <c r="G53" s="3" t="s">
        <v>327</v>
      </c>
      <c r="H53" s="4" t="n">
        <v>46286</v>
      </c>
      <c r="I53" s="3" t="s">
        <v>396</v>
      </c>
    </row>
    <row r="54" customFormat="false" ht="23.85" hidden="false" customHeight="false" outlineLevel="0" collapsed="false">
      <c r="A54" s="7" t="s">
        <v>408</v>
      </c>
      <c r="B54" s="3" t="s">
        <v>419</v>
      </c>
      <c r="C54" s="3" t="s">
        <v>411</v>
      </c>
      <c r="D54" s="3" t="s">
        <v>392</v>
      </c>
      <c r="E54" s="7" t="s">
        <v>415</v>
      </c>
      <c r="F54" s="6" t="s">
        <v>395</v>
      </c>
      <c r="G54" s="3" t="s">
        <v>327</v>
      </c>
      <c r="H54" s="4" t="n">
        <v>46286</v>
      </c>
      <c r="I54" s="3" t="s">
        <v>396</v>
      </c>
    </row>
    <row r="55" customFormat="false" ht="23.85" hidden="false" customHeight="false" outlineLevel="0" collapsed="false">
      <c r="A55" s="7" t="s">
        <v>408</v>
      </c>
      <c r="B55" s="3" t="s">
        <v>419</v>
      </c>
      <c r="C55" s="3" t="s">
        <v>411</v>
      </c>
      <c r="D55" s="3" t="s">
        <v>392</v>
      </c>
      <c r="E55" s="7" t="s">
        <v>416</v>
      </c>
      <c r="F55" s="6" t="s">
        <v>395</v>
      </c>
      <c r="G55" s="3" t="s">
        <v>327</v>
      </c>
      <c r="H55" s="4" t="n">
        <v>46286</v>
      </c>
      <c r="I55" s="3" t="s">
        <v>396</v>
      </c>
    </row>
    <row r="56" customFormat="false" ht="23.85" hidden="false" customHeight="false" outlineLevel="0" collapsed="false">
      <c r="A56" s="7" t="s">
        <v>408</v>
      </c>
      <c r="B56" s="3" t="s">
        <v>419</v>
      </c>
      <c r="C56" s="3" t="s">
        <v>411</v>
      </c>
      <c r="D56" s="3" t="s">
        <v>392</v>
      </c>
      <c r="E56" s="7" t="s">
        <v>417</v>
      </c>
      <c r="F56" s="6" t="s">
        <v>395</v>
      </c>
      <c r="G56" s="3" t="s">
        <v>327</v>
      </c>
      <c r="H56" s="4" t="n">
        <v>46286</v>
      </c>
      <c r="I56" s="3" t="s">
        <v>396</v>
      </c>
    </row>
    <row r="57" customFormat="false" ht="23.85" hidden="false" customHeight="false" outlineLevel="0" collapsed="false">
      <c r="A57" s="7" t="s">
        <v>408</v>
      </c>
      <c r="B57" s="3" t="s">
        <v>419</v>
      </c>
      <c r="C57" s="3" t="s">
        <v>411</v>
      </c>
      <c r="D57" s="3" t="s">
        <v>392</v>
      </c>
      <c r="E57" s="7" t="s">
        <v>418</v>
      </c>
      <c r="F57" s="6" t="s">
        <v>395</v>
      </c>
      <c r="G57" s="3" t="s">
        <v>327</v>
      </c>
      <c r="H57" s="4" t="n">
        <v>46286</v>
      </c>
      <c r="I57" s="3" t="s">
        <v>396</v>
      </c>
    </row>
    <row r="58" customFormat="false" ht="23.85" hidden="false" customHeight="false" outlineLevel="0" collapsed="false">
      <c r="A58" s="7" t="s">
        <v>408</v>
      </c>
      <c r="B58" s="3" t="s">
        <v>419</v>
      </c>
      <c r="C58" s="3" t="s">
        <v>411</v>
      </c>
      <c r="D58" s="3" t="s">
        <v>392</v>
      </c>
      <c r="E58" s="7" t="s">
        <v>405</v>
      </c>
      <c r="F58" s="6" t="s">
        <v>395</v>
      </c>
      <c r="G58" s="3" t="s">
        <v>327</v>
      </c>
      <c r="H58" s="4" t="n">
        <v>46286</v>
      </c>
      <c r="I58" s="3" t="s">
        <v>396</v>
      </c>
    </row>
    <row r="59" customFormat="false" ht="23.85" hidden="false" customHeight="false" outlineLevel="0" collapsed="false">
      <c r="A59" s="7" t="s">
        <v>408</v>
      </c>
      <c r="B59" s="3" t="s">
        <v>419</v>
      </c>
      <c r="C59" s="3" t="s">
        <v>411</v>
      </c>
      <c r="D59" s="3" t="s">
        <v>392</v>
      </c>
      <c r="E59" s="7" t="s">
        <v>422</v>
      </c>
      <c r="F59" s="6" t="s">
        <v>395</v>
      </c>
      <c r="G59" s="3" t="s">
        <v>327</v>
      </c>
      <c r="H59" s="4" t="n">
        <v>46286</v>
      </c>
      <c r="I59" s="3" t="s">
        <v>396</v>
      </c>
    </row>
    <row r="60" customFormat="false" ht="23.85" hidden="false" customHeight="false" outlineLevel="0" collapsed="false">
      <c r="A60" s="7" t="s">
        <v>408</v>
      </c>
      <c r="B60" s="3" t="s">
        <v>419</v>
      </c>
      <c r="C60" s="3" t="s">
        <v>411</v>
      </c>
      <c r="D60" s="3" t="s">
        <v>392</v>
      </c>
      <c r="E60" s="7" t="s">
        <v>423</v>
      </c>
      <c r="F60" s="6" t="s">
        <v>395</v>
      </c>
      <c r="G60" s="3" t="s">
        <v>327</v>
      </c>
      <c r="H60" s="4" t="n">
        <v>46286</v>
      </c>
      <c r="I60" s="3" t="s">
        <v>396</v>
      </c>
    </row>
    <row r="61" customFormat="false" ht="23.85" hidden="false" customHeight="false" outlineLevel="0" collapsed="false">
      <c r="A61" s="7" t="s">
        <v>408</v>
      </c>
      <c r="B61" s="3" t="s">
        <v>406</v>
      </c>
      <c r="C61" s="3" t="s">
        <v>407</v>
      </c>
      <c r="D61" s="3" t="s">
        <v>409</v>
      </c>
      <c r="E61" s="7" t="s">
        <v>394</v>
      </c>
      <c r="F61" s="6" t="s">
        <v>395</v>
      </c>
      <c r="G61" s="3" t="s">
        <v>327</v>
      </c>
      <c r="H61" s="4" t="n">
        <v>46286</v>
      </c>
      <c r="I61" s="3" t="s">
        <v>396</v>
      </c>
    </row>
    <row r="62" customFormat="false" ht="23.85" hidden="false" customHeight="false" outlineLevel="0" collapsed="false">
      <c r="A62" s="7" t="s">
        <v>408</v>
      </c>
      <c r="B62" s="3" t="s">
        <v>406</v>
      </c>
      <c r="C62" s="3" t="s">
        <v>407</v>
      </c>
      <c r="D62" s="3" t="s">
        <v>409</v>
      </c>
      <c r="E62" s="7" t="s">
        <v>397</v>
      </c>
      <c r="F62" s="6" t="s">
        <v>395</v>
      </c>
      <c r="G62" s="3" t="s">
        <v>327</v>
      </c>
      <c r="H62" s="4" t="n">
        <v>46286</v>
      </c>
      <c r="I62" s="3" t="s">
        <v>396</v>
      </c>
    </row>
    <row r="63" customFormat="false" ht="23.85" hidden="false" customHeight="false" outlineLevel="0" collapsed="false">
      <c r="A63" s="7" t="s">
        <v>408</v>
      </c>
      <c r="B63" s="3" t="s">
        <v>406</v>
      </c>
      <c r="C63" s="3" t="s">
        <v>407</v>
      </c>
      <c r="D63" s="3" t="s">
        <v>409</v>
      </c>
      <c r="E63" s="7" t="s">
        <v>398</v>
      </c>
      <c r="F63" s="6" t="s">
        <v>395</v>
      </c>
      <c r="G63" s="3" t="s">
        <v>327</v>
      </c>
      <c r="H63" s="4" t="n">
        <v>46286</v>
      </c>
      <c r="I63" s="3" t="s">
        <v>396</v>
      </c>
    </row>
    <row r="64" customFormat="false" ht="23.85" hidden="false" customHeight="false" outlineLevel="0" collapsed="false">
      <c r="A64" s="7" t="s">
        <v>408</v>
      </c>
      <c r="B64" s="3" t="s">
        <v>406</v>
      </c>
      <c r="C64" s="3" t="s">
        <v>407</v>
      </c>
      <c r="D64" s="3" t="s">
        <v>409</v>
      </c>
      <c r="E64" s="7" t="s">
        <v>399</v>
      </c>
      <c r="F64" s="6" t="s">
        <v>395</v>
      </c>
      <c r="G64" s="3" t="s">
        <v>327</v>
      </c>
      <c r="H64" s="4" t="n">
        <v>46286</v>
      </c>
      <c r="I64" s="3" t="s">
        <v>396</v>
      </c>
    </row>
    <row r="65" customFormat="false" ht="23.85" hidden="false" customHeight="false" outlineLevel="0" collapsed="false">
      <c r="A65" s="7" t="s">
        <v>408</v>
      </c>
      <c r="B65" s="3" t="s">
        <v>406</v>
      </c>
      <c r="C65" s="3" t="s">
        <v>407</v>
      </c>
      <c r="D65" s="3" t="s">
        <v>409</v>
      </c>
      <c r="E65" s="7" t="s">
        <v>400</v>
      </c>
      <c r="F65" s="6" t="s">
        <v>395</v>
      </c>
      <c r="G65" s="3" t="s">
        <v>327</v>
      </c>
      <c r="H65" s="4" t="n">
        <v>46286</v>
      </c>
      <c r="I65" s="3" t="s">
        <v>396</v>
      </c>
    </row>
    <row r="66" customFormat="false" ht="23.85" hidden="false" customHeight="false" outlineLevel="0" collapsed="false">
      <c r="A66" s="7" t="s">
        <v>408</v>
      </c>
      <c r="B66" s="3" t="s">
        <v>406</v>
      </c>
      <c r="C66" s="3" t="s">
        <v>407</v>
      </c>
      <c r="D66" s="3" t="s">
        <v>409</v>
      </c>
      <c r="E66" s="7" t="s">
        <v>401</v>
      </c>
      <c r="F66" s="6" t="s">
        <v>395</v>
      </c>
      <c r="G66" s="3" t="s">
        <v>327</v>
      </c>
      <c r="H66" s="4" t="n">
        <v>46286</v>
      </c>
      <c r="I66" s="3" t="s">
        <v>396</v>
      </c>
    </row>
    <row r="67" customFormat="false" ht="23.85" hidden="false" customHeight="false" outlineLevel="0" collapsed="false">
      <c r="A67" s="7" t="s">
        <v>408</v>
      </c>
      <c r="B67" s="3" t="s">
        <v>406</v>
      </c>
      <c r="C67" s="3" t="s">
        <v>407</v>
      </c>
      <c r="D67" s="3" t="s">
        <v>409</v>
      </c>
      <c r="E67" s="7" t="s">
        <v>410</v>
      </c>
      <c r="F67" s="6" t="s">
        <v>395</v>
      </c>
      <c r="G67" s="3" t="s">
        <v>327</v>
      </c>
      <c r="H67" s="4" t="n">
        <v>46286</v>
      </c>
      <c r="I67" s="3" t="s">
        <v>396</v>
      </c>
    </row>
    <row r="68" customFormat="false" ht="23.85" hidden="false" customHeight="false" outlineLevel="0" collapsed="false">
      <c r="A68" s="7" t="s">
        <v>408</v>
      </c>
      <c r="B68" s="3" t="s">
        <v>406</v>
      </c>
      <c r="C68" s="3" t="s">
        <v>407</v>
      </c>
      <c r="D68" s="3" t="s">
        <v>409</v>
      </c>
      <c r="E68" s="7" t="s">
        <v>420</v>
      </c>
      <c r="F68" s="6" t="s">
        <v>395</v>
      </c>
      <c r="G68" s="3" t="s">
        <v>327</v>
      </c>
      <c r="H68" s="4" t="n">
        <v>46286</v>
      </c>
      <c r="I68" s="3" t="s">
        <v>396</v>
      </c>
    </row>
    <row r="69" customFormat="false" ht="23.85" hidden="false" customHeight="false" outlineLevel="0" collapsed="false">
      <c r="A69" s="7" t="s">
        <v>408</v>
      </c>
      <c r="B69" s="3" t="s">
        <v>406</v>
      </c>
      <c r="C69" s="3" t="s">
        <v>407</v>
      </c>
      <c r="D69" s="3" t="s">
        <v>409</v>
      </c>
      <c r="E69" s="7" t="s">
        <v>405</v>
      </c>
      <c r="F69" s="6" t="s">
        <v>395</v>
      </c>
      <c r="G69" s="3" t="s">
        <v>327</v>
      </c>
      <c r="H69" s="4" t="n">
        <v>46286</v>
      </c>
      <c r="I69" s="3" t="s">
        <v>396</v>
      </c>
    </row>
    <row r="70" customFormat="false" ht="23.85" hidden="false" customHeight="false" outlineLevel="0" collapsed="false">
      <c r="A70" s="7" t="s">
        <v>408</v>
      </c>
      <c r="B70" s="3" t="s">
        <v>406</v>
      </c>
      <c r="C70" s="3" t="s">
        <v>407</v>
      </c>
      <c r="D70" s="3" t="s">
        <v>409</v>
      </c>
      <c r="E70" s="7" t="s">
        <v>421</v>
      </c>
      <c r="F70" s="6" t="s">
        <v>395</v>
      </c>
      <c r="G70" s="3" t="s">
        <v>327</v>
      </c>
      <c r="H70" s="4" t="n">
        <v>46286</v>
      </c>
      <c r="I70" s="3" t="s">
        <v>396</v>
      </c>
    </row>
    <row r="71" customFormat="false" ht="23.85" hidden="false" customHeight="false" outlineLevel="0" collapsed="false">
      <c r="A71" s="7" t="s">
        <v>408</v>
      </c>
      <c r="B71" s="3" t="s">
        <v>406</v>
      </c>
      <c r="C71" s="3" t="s">
        <v>411</v>
      </c>
      <c r="D71" s="3" t="s">
        <v>392</v>
      </c>
      <c r="E71" s="7" t="s">
        <v>412</v>
      </c>
      <c r="F71" s="6" t="s">
        <v>395</v>
      </c>
      <c r="G71" s="3" t="s">
        <v>327</v>
      </c>
      <c r="H71" s="4" t="n">
        <v>46286</v>
      </c>
      <c r="I71" s="3" t="s">
        <v>396</v>
      </c>
    </row>
    <row r="72" customFormat="false" ht="23.85" hidden="false" customHeight="false" outlineLevel="0" collapsed="false">
      <c r="A72" s="7" t="s">
        <v>408</v>
      </c>
      <c r="B72" s="3" t="s">
        <v>406</v>
      </c>
      <c r="C72" s="3" t="s">
        <v>411</v>
      </c>
      <c r="D72" s="3" t="s">
        <v>392</v>
      </c>
      <c r="E72" s="7" t="s">
        <v>413</v>
      </c>
      <c r="F72" s="6" t="s">
        <v>395</v>
      </c>
      <c r="G72" s="3" t="s">
        <v>327</v>
      </c>
      <c r="H72" s="4" t="n">
        <v>46286</v>
      </c>
      <c r="I72" s="3" t="s">
        <v>396</v>
      </c>
    </row>
    <row r="73" customFormat="false" ht="23.85" hidden="false" customHeight="false" outlineLevel="0" collapsed="false">
      <c r="A73" s="7" t="s">
        <v>408</v>
      </c>
      <c r="B73" s="3" t="s">
        <v>406</v>
      </c>
      <c r="C73" s="3" t="s">
        <v>411</v>
      </c>
      <c r="D73" s="3" t="s">
        <v>392</v>
      </c>
      <c r="E73" s="7" t="s">
        <v>414</v>
      </c>
      <c r="F73" s="6" t="s">
        <v>395</v>
      </c>
      <c r="G73" s="3" t="s">
        <v>327</v>
      </c>
      <c r="H73" s="4" t="n">
        <v>46286</v>
      </c>
      <c r="I73" s="3" t="s">
        <v>396</v>
      </c>
    </row>
    <row r="74" customFormat="false" ht="23.85" hidden="false" customHeight="false" outlineLevel="0" collapsed="false">
      <c r="A74" s="7" t="s">
        <v>408</v>
      </c>
      <c r="B74" s="3" t="s">
        <v>406</v>
      </c>
      <c r="C74" s="3" t="s">
        <v>411</v>
      </c>
      <c r="D74" s="3" t="s">
        <v>392</v>
      </c>
      <c r="E74" s="7" t="s">
        <v>415</v>
      </c>
      <c r="F74" s="6" t="s">
        <v>395</v>
      </c>
      <c r="G74" s="3" t="s">
        <v>327</v>
      </c>
      <c r="H74" s="4" t="n">
        <v>46286</v>
      </c>
      <c r="I74" s="3" t="s">
        <v>396</v>
      </c>
    </row>
    <row r="75" customFormat="false" ht="23.85" hidden="false" customHeight="false" outlineLevel="0" collapsed="false">
      <c r="A75" s="7" t="s">
        <v>408</v>
      </c>
      <c r="B75" s="3" t="s">
        <v>406</v>
      </c>
      <c r="C75" s="3" t="s">
        <v>411</v>
      </c>
      <c r="D75" s="3" t="s">
        <v>392</v>
      </c>
      <c r="E75" s="7" t="s">
        <v>416</v>
      </c>
      <c r="F75" s="6" t="s">
        <v>395</v>
      </c>
      <c r="G75" s="3" t="s">
        <v>327</v>
      </c>
      <c r="H75" s="4" t="n">
        <v>46286</v>
      </c>
      <c r="I75" s="3" t="s">
        <v>396</v>
      </c>
    </row>
    <row r="76" customFormat="false" ht="23.85" hidden="false" customHeight="false" outlineLevel="0" collapsed="false">
      <c r="A76" s="7" t="s">
        <v>408</v>
      </c>
      <c r="B76" s="3" t="s">
        <v>406</v>
      </c>
      <c r="C76" s="3" t="s">
        <v>411</v>
      </c>
      <c r="D76" s="3" t="s">
        <v>392</v>
      </c>
      <c r="E76" s="7" t="s">
        <v>417</v>
      </c>
      <c r="F76" s="6" t="s">
        <v>395</v>
      </c>
      <c r="G76" s="3" t="s">
        <v>327</v>
      </c>
      <c r="H76" s="4" t="n">
        <v>46286</v>
      </c>
      <c r="I76" s="3" t="s">
        <v>396</v>
      </c>
    </row>
    <row r="77" customFormat="false" ht="23.85" hidden="false" customHeight="false" outlineLevel="0" collapsed="false">
      <c r="A77" s="7" t="s">
        <v>408</v>
      </c>
      <c r="B77" s="3" t="s">
        <v>406</v>
      </c>
      <c r="C77" s="3" t="s">
        <v>411</v>
      </c>
      <c r="D77" s="3" t="s">
        <v>392</v>
      </c>
      <c r="E77" s="7" t="s">
        <v>418</v>
      </c>
      <c r="F77" s="6" t="s">
        <v>395</v>
      </c>
      <c r="G77" s="3" t="s">
        <v>327</v>
      </c>
      <c r="H77" s="4" t="n">
        <v>46286</v>
      </c>
      <c r="I77" s="3" t="s">
        <v>396</v>
      </c>
    </row>
    <row r="78" customFormat="false" ht="23.85" hidden="false" customHeight="false" outlineLevel="0" collapsed="false">
      <c r="A78" s="7" t="s">
        <v>408</v>
      </c>
      <c r="B78" s="3" t="s">
        <v>406</v>
      </c>
      <c r="C78" s="3" t="s">
        <v>411</v>
      </c>
      <c r="D78" s="3" t="s">
        <v>392</v>
      </c>
      <c r="E78" s="7" t="s">
        <v>405</v>
      </c>
      <c r="F78" s="6" t="s">
        <v>395</v>
      </c>
      <c r="G78" s="3" t="s">
        <v>327</v>
      </c>
      <c r="H78" s="4" t="n">
        <v>46286</v>
      </c>
      <c r="I78" s="3" t="s">
        <v>396</v>
      </c>
    </row>
    <row r="79" customFormat="false" ht="23.85" hidden="false" customHeight="false" outlineLevel="0" collapsed="false">
      <c r="A79" s="7" t="s">
        <v>408</v>
      </c>
      <c r="B79" s="3" t="s">
        <v>406</v>
      </c>
      <c r="C79" s="3" t="s">
        <v>411</v>
      </c>
      <c r="D79" s="3" t="s">
        <v>392</v>
      </c>
      <c r="E79" s="7" t="s">
        <v>422</v>
      </c>
      <c r="F79" s="6" t="s">
        <v>395</v>
      </c>
      <c r="G79" s="3" t="s">
        <v>327</v>
      </c>
      <c r="H79" s="4" t="n">
        <v>46286</v>
      </c>
      <c r="I79" s="3" t="s">
        <v>396</v>
      </c>
    </row>
    <row r="80" customFormat="false" ht="23.85" hidden="false" customHeight="false" outlineLevel="0" collapsed="false">
      <c r="A80" s="7" t="s">
        <v>408</v>
      </c>
      <c r="B80" s="3" t="s">
        <v>406</v>
      </c>
      <c r="C80" s="3" t="s">
        <v>411</v>
      </c>
      <c r="D80" s="3" t="s">
        <v>392</v>
      </c>
      <c r="E80" s="7" t="s">
        <v>423</v>
      </c>
      <c r="F80" s="6" t="s">
        <v>395</v>
      </c>
      <c r="G80" s="3" t="s">
        <v>327</v>
      </c>
      <c r="H80" s="4" t="n">
        <v>46286</v>
      </c>
      <c r="I80" s="3" t="s">
        <v>396</v>
      </c>
    </row>
  </sheetData>
  <autoFilter ref="A1:I80"/>
  <hyperlinks>
    <hyperlink ref="F2" r:id="rId1" display="https://www.maskdance.com/2024/sub7/sub5.asp"/>
    <hyperlink ref="F3" r:id="rId2" display="https://www.maskdance.com/2024/sub7/sub5.asp"/>
    <hyperlink ref="F4" r:id="rId3" display="https://www.maskdance.com/2024/sub7/sub5.asp"/>
    <hyperlink ref="F5" r:id="rId4" display="https://www.maskdance.com/2024/sub7/sub5.asp"/>
    <hyperlink ref="F6" r:id="rId5" display="https://www.maskdance.com/2024/sub7/sub5.asp"/>
    <hyperlink ref="F7" r:id="rId6" display="https://www.maskdance.com/2024/sub7/sub5.asp"/>
    <hyperlink ref="F8" r:id="rId7" display="https://www.maskdance.com/2024/sub7/sub5.asp"/>
    <hyperlink ref="F9" r:id="rId8" display="https://www.maskdance.com/2024/sub7/sub5.asp"/>
    <hyperlink ref="F10" r:id="rId9" display="https://www.maskdance.com/2024/sub7/sub5.asp"/>
    <hyperlink ref="F11" r:id="rId10" display="https://www.maskdance.com/2024/sub7/sub5.asp"/>
    <hyperlink ref="F12" r:id="rId11" display="https://www.maskdance.com/2024/sub7/sub5.asp"/>
    <hyperlink ref="F13" r:id="rId12" display="https://www.maskdance.com/2024/sub7/sub5.asp"/>
    <hyperlink ref="F14" r:id="rId13" display="https://www.maskdance.com/2024/sub7/sub5.asp"/>
    <hyperlink ref="F15" r:id="rId14" display="https://www.maskdance.com/2024/sub7/sub5.asp"/>
    <hyperlink ref="F16" r:id="rId15" display="https://www.maskdance.com/2024/sub7/sub5.asp"/>
    <hyperlink ref="F17" r:id="rId16" display="https://www.maskdance.com/2024/sub7/sub5.asp"/>
    <hyperlink ref="F18" r:id="rId17" display="https://www.maskdance.com/2024/sub7/sub5.asp"/>
    <hyperlink ref="F19" r:id="rId18" display="https://www.maskdance.com/2024/sub7/sub5.asp"/>
    <hyperlink ref="F20" r:id="rId19" display="https://www.maskdance.com/2024/sub7/sub5.asp"/>
    <hyperlink ref="F21" r:id="rId20" display="https://www.maskdance.com/2024/sub7/sub5.asp"/>
    <hyperlink ref="F22" r:id="rId21" display="https://www.maskdance.com/2024/sub7/sub5.asp"/>
    <hyperlink ref="F23" r:id="rId22" display="https://www.maskdance.com/2024/sub7/sub5.asp"/>
    <hyperlink ref="F24" r:id="rId23" display="https://www.maskdance.com/2024/sub7/sub5.asp"/>
    <hyperlink ref="F25" r:id="rId24" display="https://www.maskdance.com/2024/sub7/sub5.asp"/>
    <hyperlink ref="F26" r:id="rId25" display="https://www.maskdance.com/2024/sub7/sub5.asp"/>
    <hyperlink ref="F27" r:id="rId26" display="https://www.maskdance.com/2024/sub7/sub5.asp"/>
    <hyperlink ref="F28" r:id="rId27" display="https://www.maskdance.com/2024/sub7/sub5.asp"/>
    <hyperlink ref="F29" r:id="rId28" display="https://www.maskdance.com/2024/sub7/sub5.asp"/>
    <hyperlink ref="F30" r:id="rId29" display="https://www.maskdance.com/2024/sub7/sub5.asp"/>
    <hyperlink ref="F31" r:id="rId30" display="https://www.maskdance.com/2024/sub7/sub5.asp"/>
    <hyperlink ref="F32" r:id="rId31" display="https://www.maskdance.com/2024/sub7/sub5.asp"/>
    <hyperlink ref="F33" r:id="rId32" display="https://www.maskdance.com/2024/sub7/sub5.asp"/>
    <hyperlink ref="F34" r:id="rId33" display="https://www.maskdance.com/2024/sub7/sub5.asp"/>
    <hyperlink ref="F35" r:id="rId34" display="https://www.maskdance.com/2024/sub7/sub5.asp"/>
    <hyperlink ref="F36" r:id="rId35" display="https://www.maskdance.com/2024/sub7/sub5.asp"/>
    <hyperlink ref="F37" r:id="rId36" display="https://www.maskdance.com/2024/sub7/sub5.asp"/>
    <hyperlink ref="F38" r:id="rId37" display="https://www.maskdance.com/2024/sub7/sub5.asp"/>
    <hyperlink ref="F39" r:id="rId38" display="https://www.maskdance.com/2024/sub7/sub5.asp"/>
    <hyperlink ref="F40" r:id="rId39" display="https://www.maskdance.com/2024/sub7/sub5.asp"/>
    <hyperlink ref="F41" r:id="rId40" display="https://www.maskdance.com/2024/sub7/sub5.asp"/>
    <hyperlink ref="F42" r:id="rId41" display="https://www.maskdance.com/2024/sub7/sub5.asp"/>
    <hyperlink ref="F43" r:id="rId42" display="https://www.maskdance.com/2024/sub7/sub5.asp"/>
    <hyperlink ref="F44" r:id="rId43" display="https://www.maskdance.com/2024/sub7/sub5.asp"/>
    <hyperlink ref="F45" r:id="rId44" display="https://www.maskdance.com/2024/sub7/sub5.asp"/>
    <hyperlink ref="F46" r:id="rId45" display="https://www.maskdance.com/2024/sub7/sub5.asp"/>
    <hyperlink ref="F47" r:id="rId46" display="https://www.maskdance.com/2024/sub7/sub5.asp"/>
    <hyperlink ref="F48" r:id="rId47" display="https://www.maskdance.com/2024/sub7/sub5.asp"/>
    <hyperlink ref="F49" r:id="rId48" display="https://www.maskdance.com/2024/sub7/sub5.asp"/>
    <hyperlink ref="F50" r:id="rId49" display="https://www.maskdance.com/2024/sub7/sub5.asp"/>
    <hyperlink ref="F51" r:id="rId50" display="https://www.maskdance.com/2024/sub7/sub5.asp"/>
    <hyperlink ref="F52" r:id="rId51" display="https://www.maskdance.com/2024/sub7/sub5.asp"/>
    <hyperlink ref="F53" r:id="rId52" display="https://www.maskdance.com/2024/sub7/sub5.asp"/>
    <hyperlink ref="F54" r:id="rId53" display="https://www.maskdance.com/2024/sub7/sub5.asp"/>
    <hyperlink ref="F55" r:id="rId54" display="https://www.maskdance.com/2024/sub7/sub5.asp"/>
    <hyperlink ref="F56" r:id="rId55" display="https://www.maskdance.com/2024/sub7/sub5.asp"/>
    <hyperlink ref="F57" r:id="rId56" display="https://www.maskdance.com/2024/sub7/sub5.asp"/>
    <hyperlink ref="F58" r:id="rId57" display="https://www.maskdance.com/2024/sub7/sub5.asp"/>
    <hyperlink ref="F59" r:id="rId58" display="https://www.maskdance.com/2024/sub7/sub5.asp"/>
    <hyperlink ref="F60" r:id="rId59" display="https://www.maskdance.com/2024/sub7/sub5.asp"/>
    <hyperlink ref="F61" r:id="rId60" display="https://www.maskdance.com/2024/sub7/sub5.asp"/>
    <hyperlink ref="F62" r:id="rId61" display="https://www.maskdance.com/2024/sub7/sub5.asp"/>
    <hyperlink ref="F63" r:id="rId62" display="https://www.maskdance.com/2024/sub7/sub5.asp"/>
    <hyperlink ref="F64" r:id="rId63" display="https://www.maskdance.com/2024/sub7/sub5.asp"/>
    <hyperlink ref="F65" r:id="rId64" display="https://www.maskdance.com/2024/sub7/sub5.asp"/>
    <hyperlink ref="F66" r:id="rId65" display="https://www.maskdance.com/2024/sub7/sub5.asp"/>
    <hyperlink ref="F67" r:id="rId66" display="https://www.maskdance.com/2024/sub7/sub5.asp"/>
    <hyperlink ref="F68" r:id="rId67" display="https://www.maskdance.com/2024/sub7/sub5.asp"/>
    <hyperlink ref="F69" r:id="rId68" display="https://www.maskdance.com/2024/sub7/sub5.asp"/>
    <hyperlink ref="F70" r:id="rId69" display="https://www.maskdance.com/2024/sub7/sub5.asp"/>
    <hyperlink ref="F71" r:id="rId70" display="https://www.maskdance.com/2024/sub7/sub5.asp"/>
    <hyperlink ref="F72" r:id="rId71" display="https://www.maskdance.com/2024/sub7/sub5.asp"/>
    <hyperlink ref="F73" r:id="rId72" display="https://www.maskdance.com/2024/sub7/sub5.asp"/>
    <hyperlink ref="F74" r:id="rId73" display="https://www.maskdance.com/2024/sub7/sub5.asp"/>
    <hyperlink ref="F75" r:id="rId74" display="https://www.maskdance.com/2024/sub7/sub5.asp"/>
    <hyperlink ref="F76" r:id="rId75" display="https://www.maskdance.com/2024/sub7/sub5.asp"/>
    <hyperlink ref="F77" r:id="rId76" display="https://www.maskdance.com/2024/sub7/sub5.asp"/>
    <hyperlink ref="F78" r:id="rId77" display="https://www.maskdance.com/2024/sub7/sub5.asp"/>
    <hyperlink ref="F79" r:id="rId78" display="https://www.maskdance.com/2024/sub7/sub5.asp"/>
    <hyperlink ref="F80" r:id="rId79" display="https://www.maskdance.com/2024/sub7/sub5.as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6.69"/>
    <col collapsed="false" customWidth="true" hidden="false" outlineLevel="0" max="2" min="2" style="0" width="66.77"/>
    <col collapsed="false" customWidth="true" hidden="false" outlineLevel="0" max="3" min="3" style="0" width="33.38"/>
    <col collapsed="false" customWidth="true" hidden="false" outlineLevel="0" max="4" min="4" style="0" width="15.02"/>
    <col collapsed="false" customWidth="true" hidden="false" outlineLevel="0" max="5" min="5" style="0" width="9.18"/>
    <col collapsed="false" customWidth="true" hidden="false" outlineLevel="0" max="6" min="6" style="0" width="33.38"/>
  </cols>
  <sheetData>
    <row r="1" customFormat="false" ht="15" hidden="false" customHeight="false" outlineLevel="0" collapsed="false">
      <c r="A1" s="1" t="s">
        <v>424</v>
      </c>
      <c r="B1" s="1" t="s">
        <v>425</v>
      </c>
      <c r="C1" s="1" t="s">
        <v>13</v>
      </c>
      <c r="D1" s="1" t="s">
        <v>14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426</v>
      </c>
      <c r="B2" s="3" t="s">
        <v>427</v>
      </c>
      <c r="C2" s="6" t="s">
        <v>428</v>
      </c>
      <c r="D2" s="3" t="s">
        <v>429</v>
      </c>
      <c r="E2" s="4" t="n">
        <v>46286</v>
      </c>
      <c r="F2" s="3" t="s">
        <v>430</v>
      </c>
    </row>
    <row r="3" customFormat="false" ht="15" hidden="false" customHeight="false" outlineLevel="0" collapsed="false">
      <c r="A3" s="3" t="s">
        <v>426</v>
      </c>
      <c r="B3" s="3" t="s">
        <v>431</v>
      </c>
      <c r="C3" s="6" t="s">
        <v>428</v>
      </c>
      <c r="D3" s="3" t="s">
        <v>429</v>
      </c>
      <c r="E3" s="4" t="n">
        <v>46286</v>
      </c>
      <c r="F3" s="3"/>
    </row>
    <row r="4" customFormat="false" ht="15" hidden="false" customHeight="false" outlineLevel="0" collapsed="false">
      <c r="A4" s="3" t="s">
        <v>426</v>
      </c>
      <c r="B4" s="3" t="s">
        <v>432</v>
      </c>
      <c r="C4" s="6" t="s">
        <v>428</v>
      </c>
      <c r="D4" s="3" t="s">
        <v>429</v>
      </c>
      <c r="E4" s="4" t="n">
        <v>46286</v>
      </c>
      <c r="F4" s="3"/>
    </row>
    <row r="5" customFormat="false" ht="23.85" hidden="false" customHeight="false" outlineLevel="0" collapsed="false">
      <c r="A5" s="3" t="s">
        <v>426</v>
      </c>
      <c r="B5" s="3" t="s">
        <v>433</v>
      </c>
      <c r="C5" s="6" t="s">
        <v>428</v>
      </c>
      <c r="D5" s="3" t="s">
        <v>429</v>
      </c>
      <c r="E5" s="4" t="n">
        <v>46286</v>
      </c>
      <c r="F5" s="3"/>
    </row>
    <row r="6" customFormat="false" ht="23.85" hidden="false" customHeight="false" outlineLevel="0" collapsed="false">
      <c r="A6" s="3" t="s">
        <v>434</v>
      </c>
      <c r="B6" s="3" t="s">
        <v>435</v>
      </c>
      <c r="C6" s="6" t="s">
        <v>436</v>
      </c>
      <c r="D6" s="7" t="s">
        <v>437</v>
      </c>
      <c r="E6" s="4" t="n">
        <v>46286</v>
      </c>
      <c r="F6" s="7" t="s">
        <v>438</v>
      </c>
    </row>
    <row r="7" customFormat="false" ht="15" hidden="false" customHeight="false" outlineLevel="0" collapsed="false">
      <c r="A7" s="3" t="s">
        <v>439</v>
      </c>
      <c r="B7" s="7" t="s">
        <v>440</v>
      </c>
      <c r="C7" s="6" t="s">
        <v>441</v>
      </c>
      <c r="D7" s="7" t="s">
        <v>442</v>
      </c>
      <c r="E7" s="4" t="n">
        <v>46286</v>
      </c>
      <c r="F7" s="3" t="s">
        <v>443</v>
      </c>
    </row>
    <row r="8" customFormat="false" ht="23.85" hidden="false" customHeight="false" outlineLevel="0" collapsed="false">
      <c r="A8" s="3" t="s">
        <v>444</v>
      </c>
      <c r="B8" s="3" t="s">
        <v>445</v>
      </c>
      <c r="C8" s="6" t="s">
        <v>446</v>
      </c>
      <c r="D8" s="3" t="s">
        <v>429</v>
      </c>
      <c r="E8" s="4" t="n">
        <v>46286</v>
      </c>
      <c r="F8" s="3" t="s">
        <v>447</v>
      </c>
    </row>
    <row r="9" customFormat="false" ht="23.85" hidden="false" customHeight="false" outlineLevel="0" collapsed="false">
      <c r="A9" s="3" t="s">
        <v>448</v>
      </c>
      <c r="B9" s="3" t="s">
        <v>449</v>
      </c>
      <c r="C9" s="6" t="s">
        <v>364</v>
      </c>
      <c r="D9" s="7" t="s">
        <v>365</v>
      </c>
      <c r="E9" s="4" t="n">
        <v>46286</v>
      </c>
      <c r="F9" s="3" t="s">
        <v>450</v>
      </c>
    </row>
    <row r="10" customFormat="false" ht="23.85" hidden="false" customHeight="false" outlineLevel="0" collapsed="false">
      <c r="A10" s="3" t="s">
        <v>451</v>
      </c>
      <c r="B10" s="3" t="s">
        <v>452</v>
      </c>
      <c r="C10" s="6" t="s">
        <v>446</v>
      </c>
      <c r="D10" s="3" t="s">
        <v>429</v>
      </c>
      <c r="E10" s="4" t="n">
        <v>46286</v>
      </c>
      <c r="F10" s="3" t="s">
        <v>453</v>
      </c>
    </row>
    <row r="11" customFormat="false" ht="23.85" hidden="false" customHeight="false" outlineLevel="0" collapsed="false">
      <c r="A11" s="3" t="s">
        <v>454</v>
      </c>
      <c r="B11" s="3" t="s">
        <v>455</v>
      </c>
      <c r="C11" s="6" t="s">
        <v>364</v>
      </c>
      <c r="D11" s="7" t="s">
        <v>365</v>
      </c>
      <c r="E11" s="4" t="n">
        <v>46286</v>
      </c>
      <c r="F11" s="7" t="s">
        <v>456</v>
      </c>
    </row>
    <row r="12" customFormat="false" ht="15" hidden="false" customHeight="false" outlineLevel="0" collapsed="false">
      <c r="A12" s="3" t="s">
        <v>457</v>
      </c>
      <c r="B12" s="7" t="s">
        <v>458</v>
      </c>
      <c r="C12" s="6" t="s">
        <v>446</v>
      </c>
      <c r="D12" s="3" t="s">
        <v>429</v>
      </c>
      <c r="E12" s="4" t="n">
        <v>46286</v>
      </c>
      <c r="F12" s="3"/>
    </row>
    <row r="13" customFormat="false" ht="15" hidden="false" customHeight="false" outlineLevel="0" collapsed="false">
      <c r="A13" s="3" t="s">
        <v>112</v>
      </c>
      <c r="B13" s="7" t="s">
        <v>459</v>
      </c>
      <c r="C13" s="6" t="s">
        <v>460</v>
      </c>
      <c r="D13" s="3" t="s">
        <v>429</v>
      </c>
      <c r="E13" s="4" t="n">
        <v>46286</v>
      </c>
      <c r="F13" s="3" t="s">
        <v>461</v>
      </c>
    </row>
    <row r="14" customFormat="false" ht="23.85" hidden="false" customHeight="false" outlineLevel="0" collapsed="false">
      <c r="A14" s="3" t="s">
        <v>69</v>
      </c>
      <c r="B14" s="7" t="s">
        <v>462</v>
      </c>
      <c r="C14" s="6" t="s">
        <v>446</v>
      </c>
      <c r="D14" s="3" t="s">
        <v>429</v>
      </c>
      <c r="E14" s="4" t="n">
        <v>46286</v>
      </c>
      <c r="F14" s="3" t="s">
        <v>463</v>
      </c>
    </row>
    <row r="15" customFormat="false" ht="15" hidden="false" customHeight="false" outlineLevel="0" collapsed="false">
      <c r="A15" s="3" t="s">
        <v>464</v>
      </c>
      <c r="B15" s="7" t="s">
        <v>465</v>
      </c>
      <c r="C15" s="6" t="s">
        <v>446</v>
      </c>
      <c r="D15" s="3" t="s">
        <v>429</v>
      </c>
      <c r="E15" s="4" t="n">
        <v>46286</v>
      </c>
      <c r="F15" s="3"/>
    </row>
  </sheetData>
  <autoFilter ref="A1:F15"/>
  <hyperlinks>
    <hyperlink ref="C2" r:id="rId1" display="https://www.maskdance.com/2024/sub7/sub2.asp"/>
    <hyperlink ref="C3" r:id="rId2" display="https://www.maskdance.com/2024/sub7/sub2.asp"/>
    <hyperlink ref="C4" r:id="rId3" display="https://www.maskdance.com/2024/sub7/sub2.asp"/>
    <hyperlink ref="C5" r:id="rId4" display="https://www.maskdance.com/2024/sub7/sub2.asp"/>
    <hyperlink ref="C6" r:id="rId5" display="https://tickets.interpark.com/goods/25014153"/>
    <hyperlink ref="C7" r:id="rId6" display="https://biz.heraldcorp.com/article/10844864"/>
    <hyperlink ref="C8" r:id="rId7" display="https://www.maskdance.com/2024/sub4/sub4.asp"/>
    <hyperlink ref="C9" r:id="rId8" display="https://www.maskdance.com/gears_pds/book/123/2026_leaflet_ko%20(2).pdf"/>
    <hyperlink ref="C10" r:id="rId9" display="https://www.maskdance.com/2024/sub4/sub4.asp"/>
    <hyperlink ref="C11" r:id="rId10" display="https://www.maskdance.com/gears_pds/book/123/2026_leaflet_ko%20(2).pdf"/>
    <hyperlink ref="C12" r:id="rId11" display="https://www.maskdance.com/2024/sub4/sub4.asp"/>
    <hyperlink ref="C13" r:id="rId12" display="https://www.maskdance.com/2024/sub2/sub1_9.asp"/>
    <hyperlink ref="C14" r:id="rId13" display="https://www.maskdance.com/2024/sub4/sub4.asp"/>
    <hyperlink ref="C15" r:id="rId14" display="https://www.maskdance.com/2024/sub4/sub4.as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15" t="s">
        <v>466</v>
      </c>
      <c r="B1" s="15" t="s">
        <v>425</v>
      </c>
    </row>
    <row r="2" customFormat="false" ht="15" hidden="false" customHeight="false" outlineLevel="0" collapsed="false">
      <c r="A2" s="3" t="s">
        <v>467</v>
      </c>
      <c r="B2" s="7" t="s">
        <v>468</v>
      </c>
    </row>
    <row r="3" customFormat="false" ht="23.85" hidden="false" customHeight="false" outlineLevel="0" collapsed="false">
      <c r="A3" s="3" t="s">
        <v>469</v>
      </c>
      <c r="B3" s="3" t="s">
        <v>470</v>
      </c>
    </row>
    <row r="4" customFormat="false" ht="23.85" hidden="false" customHeight="false" outlineLevel="0" collapsed="false">
      <c r="A4" s="3" t="s">
        <v>471</v>
      </c>
      <c r="B4" s="3" t="s">
        <v>472</v>
      </c>
    </row>
    <row r="5" customFormat="false" ht="35.05" hidden="false" customHeight="false" outlineLevel="0" collapsed="false">
      <c r="A5" s="3" t="s">
        <v>473</v>
      </c>
      <c r="B5" s="3" t="s">
        <v>474</v>
      </c>
    </row>
    <row r="6" customFormat="false" ht="46.25" hidden="false" customHeight="false" outlineLevel="0" collapsed="false">
      <c r="A6" s="3" t="s">
        <v>475</v>
      </c>
      <c r="B6" s="7" t="s">
        <v>476</v>
      </c>
    </row>
    <row r="7" customFormat="false" ht="23.85" hidden="false" customHeight="false" outlineLevel="0" collapsed="false">
      <c r="A7" s="3" t="s">
        <v>477</v>
      </c>
      <c r="B7" s="3" t="s">
        <v>478</v>
      </c>
    </row>
    <row r="8" customFormat="false" ht="23.85" hidden="false" customHeight="false" outlineLevel="0" collapsed="false">
      <c r="A8" s="3" t="s">
        <v>479</v>
      </c>
      <c r="B8" s="7" t="s">
        <v>480</v>
      </c>
    </row>
    <row r="9" customFormat="false" ht="23.85" hidden="false" customHeight="false" outlineLevel="0" collapsed="false">
      <c r="A9" s="3" t="s">
        <v>370</v>
      </c>
      <c r="B9" s="7" t="s">
        <v>481</v>
      </c>
    </row>
    <row r="10" customFormat="false" ht="23.85" hidden="false" customHeight="false" outlineLevel="0" collapsed="false">
      <c r="A10" s="3" t="s">
        <v>482</v>
      </c>
      <c r="B10" s="3" t="s">
        <v>483</v>
      </c>
    </row>
    <row r="11" customFormat="false" ht="15" hidden="false" customHeight="false" outlineLevel="0" collapsed="false">
      <c r="A11" s="3" t="s">
        <v>15</v>
      </c>
      <c r="B11" s="7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2026-09-21T22:20:30Z</dcterms:created>
  <dc:creator>openpyxl</dc:creator>
  <dc:description/>
  <dc:language>ko-KR</dc:language>
  <cp:lastModifiedBy/>
  <dcterms:modified xsi:type="dcterms:W3CDTF">2026-09-21T22:20:30Z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