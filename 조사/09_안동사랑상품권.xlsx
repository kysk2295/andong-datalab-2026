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" sheetId="1" state="visible" r:id="rId3"/>
    <sheet name="연간 공개수치" sheetId="2" state="visible" r:id="rId4"/>
    <sheet name="데이터랩_지역화폐관광소비" sheetId="3" state="visible" r:id="rId5"/>
    <sheet name="API 수집방법" sheetId="4" state="visible" r:id="rId6"/>
    <sheet name="출처·메모" sheetId="5" state="visible" r:id="rId7"/>
  </sheets>
  <definedNames>
    <definedName function="false" hidden="true" localSheetId="2" name="_xlnm._FilterDatabase" vbProcedure="false">데이터랩_지역화폐관광소비!$A$1:$H$105</definedName>
    <definedName function="false" hidden="true" localSheetId="1" name="_xlnm._FilterDatabase" vbProcedure="false">'연간 공개수치'!$A$1:$K$4</definedName>
    <definedName function="false" hidden="true" localSheetId="0" name="_xlnm._FilterDatabase" vbProcedure="false">월별!$A$1:$H$2</definedName>
    <definedName function="false" hidden="true" localSheetId="3" name="_xlnm._FilterDatabase" vbProcedure="false">'API 수집방법'!$A$1:$F$3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<sst xmlns="http://schemas.openxmlformats.org/spreadsheetml/2006/main" count="397" uniqueCount="176">
  <si>
    <t xml:space="preserve">연월</t>
  </si>
  <si>
    <t xml:space="preserve">발행액</t>
  </si>
  <si>
    <t xml:space="preserve">사용액</t>
  </si>
  <si>
    <t xml:space="preserve">가맹점 수</t>
  </si>
  <si>
    <r>
      <rPr>
        <b val="true"/>
        <sz val="10"/>
        <rFont val="나눔고딕"/>
        <family val="2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</si>
  <si>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</si>
  <si>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t xml:space="preserve">조사일</t>
  </si>
  <si>
    <t xml:space="preserve">비고</t>
  </si>
  <si>
    <r>
      <rPr>
        <sz val="10"/>
        <rFont val="Arial"/>
        <family val="0"/>
        <charset val="1"/>
      </rPr>
      <t xml:space="preserve">2024-01~2026-08(</t>
    </r>
    <r>
      <rPr>
        <sz val="10"/>
        <rFont val="나눔고딕"/>
        <family val="2"/>
      </rPr>
      <t xml:space="preserve">목표</t>
    </r>
    <r>
      <rPr>
        <sz val="10"/>
        <rFont val="Arial"/>
        <family val="0"/>
        <charset val="1"/>
      </rPr>
      <t xml:space="preserve">)</t>
    </r>
  </si>
  <si>
    <t xml:space="preserve">못 찾음</t>
  </si>
  <si>
    <t xml:space="preserve">https://www.data.go.kr/data/15108292/openapi.do</t>
  </si>
  <si>
    <r>
      <rPr>
        <sz val="10"/>
        <rFont val="Arial"/>
        <family val="0"/>
        <charset val="1"/>
      </rPr>
      <t xml:space="preserve">2025-12-04(</t>
    </r>
    <r>
      <rPr>
        <sz val="10"/>
        <rFont val="나눔고딕"/>
        <family val="2"/>
      </rPr>
      <t xml:space="preserve">데이터셋 수정일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</si>
  <si>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공개 보도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안동시 누리집에 월별 수치 없음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한국조폐공사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지역사랑상품권</t>
    </r>
    <r>
      <rPr>
        <sz val="10"/>
        <rFont val="Arial"/>
        <family val="0"/>
        <charset val="1"/>
      </rPr>
      <t xml:space="preserve">_</t>
    </r>
    <r>
      <rPr>
        <sz val="10"/>
        <rFont val="나눔고딕"/>
        <family val="2"/>
      </rPr>
      <t xml:space="preserve">결제정보</t>
    </r>
    <r>
      <rPr>
        <sz val="10"/>
        <rFont val="Arial"/>
        <family val="0"/>
        <charset val="1"/>
      </rPr>
      <t xml:space="preserve">'(</t>
    </r>
    <r>
      <rPr>
        <sz val="10"/>
        <rFont val="나눔고딕"/>
        <family val="2"/>
      </rPr>
      <t xml:space="preserve">월별 결제금액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건수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시군구 </t>
    </r>
    <r>
      <rPr>
        <sz val="10"/>
        <rFont val="Arial"/>
        <family val="0"/>
        <charset val="1"/>
      </rPr>
      <t xml:space="preserve">47170)</t>
    </r>
    <r>
      <rPr>
        <sz val="10"/>
        <rFont val="나눔고딕"/>
        <family val="2"/>
      </rPr>
      <t xml:space="preserve">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운영정보</t>
    </r>
    <r>
      <rPr>
        <sz val="10"/>
        <rFont val="Arial"/>
        <family val="0"/>
        <charset val="1"/>
      </rPr>
      <t xml:space="preserve">'(</t>
    </r>
    <r>
      <rPr>
        <sz val="10"/>
        <rFont val="나눔고딕"/>
        <family val="2"/>
      </rPr>
      <t xml:space="preserve">월별 모바일 충전액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지류 판매액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회수액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가 정답 자료 — 저장된 데이터포털 키가 이 두 데이터셋에 활용신청이 안 돼 있어 </t>
    </r>
    <r>
      <rPr>
        <sz val="10"/>
        <rFont val="Arial"/>
        <family val="0"/>
        <charset val="1"/>
      </rPr>
      <t xml:space="preserve">403(SERVICE_KEY_IS_NOT_REGISTERED_ERROR). </t>
    </r>
    <r>
      <rPr>
        <sz val="10"/>
        <rFont val="나눔고딕"/>
        <family val="2"/>
      </rPr>
      <t xml:space="preserve">활용신청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자동승인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후 바로 수집 가능</t>
    </r>
    <r>
      <rPr>
        <sz val="10"/>
        <rFont val="Arial"/>
        <family val="0"/>
        <charset val="1"/>
      </rPr>
      <t xml:space="preserve">. 'API </t>
    </r>
    <r>
      <rPr>
        <sz val="10"/>
        <rFont val="나눔고딕"/>
        <family val="2"/>
      </rPr>
      <t xml:space="preserve">수집방법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시트 참조</t>
    </r>
  </si>
  <si>
    <t xml:space="preserve">연도</t>
  </si>
  <si>
    <r>
      <rPr>
        <b val="true"/>
        <sz val="10"/>
        <rFont val="나눔고딕"/>
        <family val="2"/>
      </rPr>
      <t xml:space="preserve">발행 규모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억원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</si>
  <si>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지류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억원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</si>
  <si>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모바일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억원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</si>
  <si>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할인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나눔고딕"/>
        <family val="2"/>
      </rPr>
      <t xml:space="preserve">적립</t>
    </r>
  </si>
  <si>
    <r>
      <rPr>
        <b val="true"/>
        <sz val="10"/>
        <rFont val="나눔고딕"/>
        <family val="2"/>
      </rPr>
      <t xml:space="preserve">월 구매한도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</si>
  <si>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지류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나눔고딕"/>
        <family val="2"/>
      </rPr>
      <t xml:space="preserve">모바일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계산</t>
    </r>
    <r>
      <rPr>
        <b val="true"/>
        <sz val="10"/>
        <rFont val="Arial"/>
        <family val="0"/>
        <charset val="1"/>
      </rPr>
      <t xml:space="preserve">)</t>
    </r>
  </si>
  <si>
    <t xml:space="preserve">2023</t>
  </si>
  <si>
    <r>
      <rPr>
        <sz val="10"/>
        <rFont val="나눔고딕"/>
        <family val="2"/>
      </rPr>
      <t xml:space="preserve">지류 </t>
    </r>
    <r>
      <rPr>
        <sz val="10"/>
        <rFont val="Arial"/>
        <family val="0"/>
        <charset val="1"/>
      </rPr>
      <t xml:space="preserve">6,103 / </t>
    </r>
    <r>
      <rPr>
        <sz val="10"/>
        <rFont val="나눔고딕"/>
        <family val="2"/>
      </rPr>
      <t xml:space="preserve">모바일 </t>
    </r>
    <r>
      <rPr>
        <sz val="10"/>
        <rFont val="Arial"/>
        <family val="0"/>
        <charset val="1"/>
      </rPr>
      <t xml:space="preserve">2,766 / </t>
    </r>
    <r>
      <rPr>
        <sz val="10"/>
        <rFont val="나눔고딕"/>
        <family val="2"/>
      </rPr>
      <t xml:space="preserve">카드형 </t>
    </r>
    <r>
      <rPr>
        <sz val="10"/>
        <rFont val="Arial"/>
        <family val="0"/>
        <charset val="1"/>
      </rPr>
      <t xml:space="preserve">4,675</t>
    </r>
  </si>
  <si>
    <r>
      <rPr>
        <sz val="10"/>
        <rFont val="나눔고딕"/>
        <family val="2"/>
      </rPr>
      <t xml:space="preserve">지류 </t>
    </r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모바일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카드 </t>
    </r>
    <r>
      <rPr>
        <sz val="10"/>
        <rFont val="Arial"/>
        <family val="0"/>
        <charset val="1"/>
      </rPr>
      <t xml:space="preserve">60</t>
    </r>
    <r>
      <rPr>
        <sz val="10"/>
        <rFont val="나눔고딕"/>
        <family val="2"/>
      </rPr>
      <t xml:space="preserve">만</t>
    </r>
  </si>
  <si>
    <t xml:space="preserve">https://www.kyongbuk.co.kr/news/articleView.html?idxno=2120766</t>
  </si>
  <si>
    <t xml:space="preserve">2023-01-01</t>
  </si>
  <si>
    <r>
      <rPr>
        <sz val="10"/>
        <rFont val="나눔고딕"/>
        <family val="2"/>
      </rPr>
      <t xml:space="preserve">경북일보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최근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년 누적 발행 </t>
    </r>
    <r>
      <rPr>
        <sz val="10"/>
        <rFont val="Arial"/>
        <family val="0"/>
        <charset val="1"/>
      </rPr>
      <t xml:space="preserve">1,545</t>
    </r>
    <r>
      <rPr>
        <sz val="10"/>
        <rFont val="나눔고딕"/>
        <family val="2"/>
      </rPr>
      <t xml:space="preserve">억원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기사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가맹점 수는 이 기사 시점 값</t>
    </r>
  </si>
  <si>
    <t xml:space="preserve">2025</t>
  </si>
  <si>
    <r>
      <rPr>
        <sz val="10"/>
        <rFont val="Arial"/>
        <family val="0"/>
        <charset val="1"/>
      </rPr>
      <t xml:space="preserve">10% + </t>
    </r>
    <r>
      <rPr>
        <sz val="10"/>
        <rFont val="나눔고딕"/>
        <family val="2"/>
      </rPr>
      <t xml:space="preserve">결제액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</rPr>
      <t xml:space="preserve">추가 적립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월 최대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만원</t>
    </r>
    <r>
      <rPr>
        <sz val="10"/>
        <rFont val="Arial"/>
        <family val="0"/>
        <charset val="1"/>
      </rPr>
      <t xml:space="preserve">, 7~8</t>
    </r>
    <r>
      <rPr>
        <sz val="10"/>
        <rFont val="나눔고딕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</si>
  <si>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지류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모바일 </t>
    </r>
    <r>
      <rPr>
        <sz val="10"/>
        <rFont val="Arial"/>
        <family val="0"/>
        <charset val="1"/>
      </rPr>
      <t xml:space="preserve">40</t>
    </r>
    <r>
      <rPr>
        <sz val="10"/>
        <rFont val="나눔고딕"/>
        <family val="2"/>
      </rPr>
      <t xml:space="preserve">만</t>
    </r>
  </si>
  <si>
    <t xml:space="preserve">https://www.metroseoul.co.kr/article/20250629500129</t>
  </si>
  <si>
    <t xml:space="preserve">2025-06-29</t>
  </si>
  <si>
    <r>
      <rPr>
        <sz val="10"/>
        <rFont val="나눔고딕"/>
        <family val="2"/>
      </rPr>
      <t xml:space="preserve">메트로신문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브릿지경제</t>
    </r>
    <r>
      <rPr>
        <sz val="10"/>
        <rFont val="Arial"/>
        <family val="0"/>
        <charset val="1"/>
      </rPr>
      <t xml:space="preserve">(2025-06-30): </t>
    </r>
    <r>
      <rPr>
        <sz val="10"/>
        <rFont val="나눔고딕"/>
        <family val="2"/>
      </rPr>
      <t xml:space="preserve">하반기 </t>
    </r>
    <r>
      <rPr>
        <sz val="10"/>
        <rFont val="Arial"/>
        <family val="0"/>
        <charset val="1"/>
      </rPr>
      <t xml:space="preserve">1,400</t>
    </r>
    <r>
      <rPr>
        <sz val="10"/>
        <rFont val="나눔고딕"/>
        <family val="2"/>
      </rPr>
      <t xml:space="preserve">억 추가 발행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연 총 </t>
    </r>
    <r>
      <rPr>
        <sz val="10"/>
        <rFont val="Arial"/>
        <family val="0"/>
        <charset val="1"/>
      </rPr>
      <t xml:space="preserve">1,900</t>
    </r>
    <r>
      <rPr>
        <sz val="10"/>
        <rFont val="나눔고딕"/>
        <family val="2"/>
      </rPr>
      <t xml:space="preserve">억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기사의 구성</t>
    </r>
    <r>
      <rPr>
        <sz val="10"/>
        <rFont val="Arial"/>
        <family val="0"/>
        <charset val="1"/>
      </rPr>
      <t xml:space="preserve">(582+1,358=1,940</t>
    </r>
    <r>
      <rPr>
        <sz val="10"/>
        <rFont val="나눔고딕"/>
        <family val="2"/>
      </rPr>
      <t xml:space="preserve">억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이 총액과 안 맞음 → 원문 그대로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안동시 확인 필요</t>
    </r>
  </si>
  <si>
    <t xml:space="preserve">2026</t>
  </si>
  <si>
    <r>
      <rPr>
        <sz val="10"/>
        <rFont val="Arial"/>
        <family val="0"/>
        <charset val="1"/>
      </rPr>
      <t xml:space="preserve">12%(</t>
    </r>
    <r>
      <rPr>
        <sz val="10"/>
        <rFont val="나눔고딕"/>
        <family val="2"/>
      </rPr>
      <t xml:space="preserve">지류 </t>
    </r>
    <r>
      <rPr>
        <sz val="10"/>
        <rFont val="Arial"/>
        <family val="0"/>
        <charset val="1"/>
      </rPr>
      <t xml:space="preserve">10→12%), </t>
    </r>
    <r>
      <rPr>
        <sz val="10"/>
        <rFont val="나눔고딕"/>
        <family val="2"/>
      </rPr>
      <t xml:space="preserve">모바일은 가맹점 결제 시 </t>
    </r>
    <r>
      <rPr>
        <sz val="10"/>
        <rFont val="Arial"/>
        <family val="0"/>
        <charset val="1"/>
      </rPr>
      <t xml:space="preserve">3% </t>
    </r>
    <r>
      <rPr>
        <sz val="10"/>
        <rFont val="나눔고딕"/>
        <family val="2"/>
      </rPr>
      <t xml:space="preserve">추가 적립</t>
    </r>
  </si>
  <si>
    <r>
      <rPr>
        <sz val="10"/>
        <rFont val="나눔고딕"/>
        <family val="2"/>
      </rPr>
      <t xml:space="preserve">지류 </t>
    </r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모바일 </t>
    </r>
    <r>
      <rPr>
        <sz val="10"/>
        <rFont val="Arial"/>
        <family val="0"/>
        <charset val="1"/>
      </rPr>
      <t xml:space="preserve">40</t>
    </r>
    <r>
      <rPr>
        <sz val="10"/>
        <rFont val="나눔고딕"/>
        <family val="2"/>
      </rPr>
      <t xml:space="preserve">만</t>
    </r>
  </si>
  <si>
    <t xml:space="preserve">https://www.kbmaeil.com/article/20260227500074</t>
  </si>
  <si>
    <t xml:space="preserve">2026-02-27</t>
  </si>
  <si>
    <r>
      <rPr>
        <sz val="10"/>
        <rFont val="나눔고딕"/>
        <family val="2"/>
      </rPr>
      <t xml:space="preserve">경북매일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발행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계획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규모이며 실제 판매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사용액 아님</t>
    </r>
  </si>
  <si>
    <r>
      <rPr>
        <b val="true"/>
        <sz val="10"/>
        <rFont val="나눔고딕"/>
        <family val="2"/>
      </rPr>
      <t xml:space="preserve">지역화폐 관광소비</t>
    </r>
    <r>
      <rPr>
        <b val="true"/>
        <sz val="10"/>
        <rFont val="Arial"/>
        <family val="0"/>
        <charset val="1"/>
      </rPr>
      <t xml:space="preserve">(CARD_AMT)</t>
    </r>
  </si>
  <si>
    <r>
      <rPr>
        <b val="true"/>
        <sz val="10"/>
        <rFont val="나눔고딕"/>
        <family val="2"/>
      </rPr>
      <t xml:space="preserve">관광소비 전체</t>
    </r>
    <r>
      <rPr>
        <b val="true"/>
        <sz val="10"/>
        <rFont val="Arial"/>
        <family val="0"/>
        <charset val="1"/>
      </rPr>
      <t xml:space="preserve">(TOTL_CARD_AMT)</t>
    </r>
  </si>
  <si>
    <r>
      <rPr>
        <b val="true"/>
        <sz val="10"/>
        <rFont val="나눔고딕"/>
        <family val="2"/>
      </rPr>
      <t xml:space="preserve">비중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원자료 </t>
    </r>
    <r>
      <rPr>
        <b val="true"/>
        <sz val="10"/>
        <rFont val="Arial"/>
        <family val="0"/>
        <charset val="1"/>
      </rPr>
      <t xml:space="preserve">CARD_PER, %)</t>
    </r>
  </si>
  <si>
    <r>
      <rPr>
        <b val="true"/>
        <sz val="10"/>
        <rFont val="나눔고딕"/>
        <family val="2"/>
      </rPr>
      <t xml:space="preserve">비중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계산</t>
    </r>
    <r>
      <rPr>
        <b val="true"/>
        <sz val="10"/>
        <rFont val="Arial"/>
        <family val="0"/>
        <charset val="1"/>
      </rPr>
      <t xml:space="preserve">)</t>
    </r>
  </si>
  <si>
    <t xml:space="preserve">2018-01</t>
  </si>
  <si>
    <t xml:space="preserve">https://datalab.visitkorea.or.kr</t>
  </si>
  <si>
    <t xml:space="preserve">월별 공개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</si>
  <si>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</si>
  <si>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</si>
  <si>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</si>
  <si>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</si>
  <si>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</si>
  <si>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</si>
  <si>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</si>
  <si>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</si>
  <si>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</si>
  <si>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</si>
  <si>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</si>
  <si>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</si>
  <si>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</si>
  <si>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</si>
  <si>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</si>
  <si>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</si>
  <si>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</si>
  <si>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</si>
  <si>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</si>
  <si>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</si>
  <si>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</si>
  <si>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</si>
  <si>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</si>
  <si>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</si>
  <si>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</si>
  <si>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</si>
  <si>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</si>
  <si>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</si>
  <si>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</si>
  <si>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</si>
  <si>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</si>
  <si>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</si>
  <si>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</si>
  <si>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</si>
  <si>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</si>
  <si>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</si>
  <si>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</si>
  <si>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</si>
  <si>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</si>
  <si>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</si>
  <si>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</si>
  <si>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</si>
  <si>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</si>
  <si>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</si>
  <si>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</si>
  <si>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</si>
  <si>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</si>
  <si>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</si>
  <si>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</si>
  <si>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</si>
  <si>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</si>
  <si>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</si>
  <si>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</si>
  <si>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</si>
  <si>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</si>
  <si>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</si>
  <si>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</si>
  <si>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</si>
  <si>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</si>
  <si>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</si>
  <si>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</si>
  <si>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</si>
  <si>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</si>
  <si>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</si>
  <si>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</si>
  <si>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</si>
  <si>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</si>
  <si>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</si>
  <si>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</si>
  <si>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</si>
  <si>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</si>
  <si>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</si>
  <si>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</si>
  <si>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</si>
  <si>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</si>
  <si>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</si>
  <si>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</si>
  <si>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</si>
  <si>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</si>
  <si>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</si>
  <si>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</si>
  <si>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</si>
  <si>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</si>
  <si>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</si>
  <si>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</si>
  <si>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</si>
  <si>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</si>
  <si>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</si>
  <si>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</si>
  <si>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</si>
  <si>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</si>
  <si>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</si>
  <si>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</si>
  <si>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</si>
  <si>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</si>
  <si>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</si>
  <si>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</si>
  <si>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</si>
  <si>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</si>
  <si>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</si>
  <si>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</si>
  <si>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</si>
  <si>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</si>
  <si>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주의</t>
  </si>
  <si>
    <r>
      <rPr>
        <sz val="10"/>
        <rFont val="나눔고딕"/>
        <family val="2"/>
      </rPr>
      <t xml:space="preserve">한국관광 데이터랩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지역화폐 관광소비 추이</t>
    </r>
    <r>
      <rPr>
        <sz val="10"/>
        <rFont val="Arial"/>
        <family val="0"/>
        <charset val="1"/>
      </rPr>
      <t xml:space="preserve">'(LN_03_03_058_01) — </t>
    </r>
    <r>
      <rPr>
        <sz val="10"/>
        <rFont val="나눔고딕"/>
        <family val="2"/>
      </rPr>
      <t xml:space="preserve">관광소비 중 지역화폐로 결제된 부분만이다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안동사랑상품권 전체 발행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사용액이 아니다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단위는 원자료에 표기가 없어 비중만 해석할 것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로컬 원본</t>
    </r>
    <r>
      <rPr>
        <sz val="10"/>
        <rFont val="Arial"/>
        <family val="0"/>
        <charset val="1"/>
      </rPr>
      <t xml:space="preserve">: data/datalab_</t>
    </r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지역화폐</t>
    </r>
    <r>
      <rPr>
        <sz val="10"/>
        <rFont val="Arial"/>
        <family val="0"/>
        <charset val="1"/>
      </rPr>
      <t xml:space="preserve">_</t>
    </r>
    <r>
      <rPr>
        <sz val="10"/>
        <rFont val="나눔고딕"/>
        <family val="2"/>
      </rPr>
      <t xml:space="preserve">관광소비</t>
    </r>
    <r>
      <rPr>
        <sz val="10"/>
        <rFont val="Arial"/>
        <family val="0"/>
        <charset val="1"/>
      </rPr>
      <t xml:space="preserve">_</t>
    </r>
    <r>
      <rPr>
        <sz val="10"/>
        <rFont val="나눔고딕"/>
        <family val="2"/>
      </rPr>
      <t xml:space="preserve">월별</t>
    </r>
    <r>
      <rPr>
        <sz val="10"/>
        <rFont val="Arial"/>
        <family val="0"/>
        <charset val="1"/>
      </rPr>
      <t xml:space="preserve">_LN_03_03_058_01.csv(2026-09-14 </t>
    </r>
    <r>
      <rPr>
        <sz val="10"/>
        <rFont val="나눔고딕"/>
        <family val="2"/>
      </rPr>
      <t xml:space="preserve">수집</t>
    </r>
    <r>
      <rPr>
        <sz val="10"/>
        <rFont val="Arial"/>
        <family val="0"/>
        <charset val="1"/>
      </rPr>
      <t xml:space="preserve">).</t>
    </r>
  </si>
  <si>
    <t xml:space="preserve">데이터</t>
  </si>
  <si>
    <t xml:space="preserve">데이터포털 페이지</t>
  </si>
  <si>
    <t xml:space="preserve">요청 주소</t>
  </si>
  <si>
    <t xml:space="preserve">주요 필드</t>
  </si>
  <si>
    <t xml:space="preserve">시험 결과</t>
  </si>
  <si>
    <t xml:space="preserve">필요 조치</t>
  </si>
  <si>
    <r>
      <rPr>
        <sz val="10"/>
        <rFont val="나눔고딕"/>
        <family val="2"/>
      </rPr>
      <t xml:space="preserve">결제정보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월별 결제금액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건수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성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연령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읍면동</t>
    </r>
    <r>
      <rPr>
        <sz val="10"/>
        <rFont val="Arial"/>
        <family val="0"/>
        <charset val="1"/>
      </rPr>
      <t xml:space="preserve">)</t>
    </r>
  </si>
  <si>
    <t xml:space="preserve">https://apis.data.go.kr/B190001/localGiftsPaymentV3/paymentsV3</t>
  </si>
  <si>
    <r>
      <rPr>
        <sz val="10"/>
        <rFont val="Arial"/>
        <family val="0"/>
        <charset val="1"/>
      </rPr>
      <t xml:space="preserve">crtr_ym(</t>
    </r>
    <r>
      <rPr>
        <sz val="10"/>
        <rFont val="나눔고딕"/>
        <family val="2"/>
      </rPr>
      <t xml:space="preserve">기준연월</t>
    </r>
    <r>
      <rPr>
        <sz val="10"/>
        <rFont val="Arial"/>
        <family val="0"/>
        <charset val="1"/>
      </rPr>
      <t xml:space="preserve">), usage_rgn_cd(</t>
    </r>
    <r>
      <rPr>
        <sz val="10"/>
        <rFont val="나눔고딕"/>
        <family val="2"/>
      </rPr>
      <t xml:space="preserve">사용처지역코드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자리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안동</t>
    </r>
    <r>
      <rPr>
        <sz val="10"/>
        <rFont val="Arial"/>
        <family val="0"/>
        <charset val="1"/>
      </rPr>
      <t xml:space="preserve">=47170), stlm_amt(</t>
    </r>
    <r>
      <rPr>
        <sz val="10"/>
        <rFont val="나눔고딕"/>
        <family val="2"/>
      </rPr>
      <t xml:space="preserve">결제금액</t>
    </r>
    <r>
      <rPr>
        <sz val="10"/>
        <rFont val="Arial"/>
        <family val="0"/>
        <charset val="1"/>
      </rPr>
      <t xml:space="preserve">), stlm_nocs(</t>
    </r>
    <r>
      <rPr>
        <sz val="10"/>
        <rFont val="나눔고딕"/>
        <family val="2"/>
      </rPr>
      <t xml:space="preserve">결제건수</t>
    </r>
    <r>
      <rPr>
        <sz val="10"/>
        <rFont val="Arial"/>
        <family val="0"/>
        <charset val="1"/>
      </rPr>
      <t xml:space="preserve">), mbl_use_amt, card_use_amt, emd_cd/emd_nm</t>
    </r>
  </si>
  <si>
    <r>
      <rPr>
        <sz val="10"/>
        <rFont val="Arial"/>
        <family val="0"/>
        <charset val="1"/>
      </rPr>
      <t xml:space="preserve">403 SERVICE_KEY_IS_NOT_REGISTERED_ERROR(2026-09-21 </t>
    </r>
    <r>
      <rPr>
        <sz val="10"/>
        <rFont val="나눔고딕"/>
        <family val="2"/>
      </rPr>
      <t xml:space="preserve">시험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</si>
  <si>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활용신청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자동승인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필요</t>
    </r>
  </si>
  <si>
    <r>
      <rPr>
        <sz val="10"/>
        <rFont val="나눔고딕"/>
        <family val="2"/>
      </rPr>
      <t xml:space="preserve">운영정보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월별 모바일 충전액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가입자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지류 판매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회수액</t>
    </r>
    <r>
      <rPr>
        <sz val="10"/>
        <rFont val="Arial"/>
        <family val="0"/>
        <charset val="1"/>
      </rPr>
      <t xml:space="preserve">)</t>
    </r>
  </si>
  <si>
    <t xml:space="preserve">https://www.data.go.kr/data/15108296/openapi.do</t>
  </si>
  <si>
    <t xml:space="preserve">https://apis.data.go.kr/B190001/localGiftsOperateV2/operationsV2</t>
  </si>
  <si>
    <r>
      <rPr>
        <sz val="10"/>
        <rFont val="Arial"/>
        <family val="0"/>
        <charset val="1"/>
      </rPr>
      <t xml:space="preserve">crtr_ym, usage_rgn_cd, mbl_chg_amt(</t>
    </r>
    <r>
      <rPr>
        <sz val="10"/>
        <rFont val="나눔고딕"/>
        <family val="2"/>
      </rPr>
      <t xml:space="preserve">휴대충전금액</t>
    </r>
    <r>
      <rPr>
        <sz val="10"/>
        <rFont val="Arial"/>
        <family val="0"/>
        <charset val="1"/>
      </rPr>
      <t xml:space="preserve">), mbl_joiner_cnt, ppr_ntsl_amt(</t>
    </r>
    <r>
      <rPr>
        <sz val="10"/>
        <rFont val="나눔고딕"/>
        <family val="2"/>
      </rPr>
      <t xml:space="preserve">지류판매액</t>
    </r>
    <r>
      <rPr>
        <sz val="10"/>
        <rFont val="Arial"/>
        <family val="0"/>
        <charset val="1"/>
      </rPr>
      <t xml:space="preserve">), ppr_rtrvl_amt(</t>
    </r>
    <r>
      <rPr>
        <sz val="10"/>
        <rFont val="나눔고딕"/>
        <family val="2"/>
      </rPr>
      <t xml:space="preserve">지류회수액</t>
    </r>
    <r>
      <rPr>
        <sz val="10"/>
        <rFont val="Arial"/>
        <family val="0"/>
        <charset val="1"/>
      </rPr>
      <t xml:space="preserve">), card_pblcn_qty</t>
    </r>
  </si>
  <si>
    <t xml:space="preserve">구분</t>
  </si>
  <si>
    <t xml:space="preserve">내용</t>
  </si>
  <si>
    <t xml:space="preserve">결론</t>
  </si>
  <si>
    <r>
      <rPr>
        <sz val="10"/>
        <rFont val="나눔고딕"/>
        <family val="2"/>
      </rPr>
      <t xml:space="preserve">작업 목록이 요구한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월별 발행액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사용액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가맹점 수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는 공개 보도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안동시 누리집에서 찾지 못했다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연 단위 발행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계획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만 보도된다</t>
    </r>
    <r>
      <rPr>
        <sz val="10"/>
        <rFont val="Arial"/>
        <family val="0"/>
        <charset val="1"/>
      </rPr>
      <t xml:space="preserve">.</t>
    </r>
  </si>
  <si>
    <t xml:space="preserve">찾아본 곳</t>
  </si>
  <si>
    <r>
      <rPr>
        <sz val="10"/>
        <rFont val="나눔고딕"/>
        <family val="2"/>
      </rPr>
      <t xml:space="preserve">안동시 누리집 안동사랑상품권 메뉴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상품권 안내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가맹점 조회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판매대행점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경북일보 </t>
    </r>
    <r>
      <rPr>
        <sz val="10"/>
        <rFont val="Arial"/>
        <family val="0"/>
        <charset val="1"/>
      </rPr>
      <t xml:space="preserve">2023-01-01, </t>
    </r>
    <r>
      <rPr>
        <sz val="10"/>
        <rFont val="나눔고딕"/>
        <family val="2"/>
      </rPr>
      <t xml:space="preserve">메트로신문 </t>
    </r>
    <r>
      <rPr>
        <sz val="10"/>
        <rFont val="Arial"/>
        <family val="0"/>
        <charset val="1"/>
      </rPr>
      <t xml:space="preserve">2025-06-29, </t>
    </r>
    <r>
      <rPr>
        <sz val="10"/>
        <rFont val="나눔고딕"/>
        <family val="2"/>
      </rPr>
      <t xml:space="preserve">브릿지경제 </t>
    </r>
    <r>
      <rPr>
        <sz val="10"/>
        <rFont val="Arial"/>
        <family val="0"/>
        <charset val="1"/>
      </rPr>
      <t xml:space="preserve">2025-06-30, </t>
    </r>
    <r>
      <rPr>
        <sz val="10"/>
        <rFont val="나눔고딕"/>
        <family val="2"/>
      </rPr>
      <t xml:space="preserve">경북매일 </t>
    </r>
    <r>
      <rPr>
        <sz val="10"/>
        <rFont val="Arial"/>
        <family val="0"/>
        <charset val="1"/>
      </rPr>
      <t xml:space="preserve">2026-02-27, </t>
    </r>
    <r>
      <rPr>
        <sz val="10"/>
        <rFont val="나눔고딕"/>
        <family val="2"/>
      </rPr>
      <t xml:space="preserve">대구일보 등 검색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공공데이터포털 조폐공사 데이터셋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지방재정</t>
    </r>
    <r>
      <rPr>
        <sz val="10"/>
        <rFont val="Arial"/>
        <family val="0"/>
        <charset val="1"/>
      </rPr>
      <t xml:space="preserve">365(</t>
    </r>
    <r>
      <rPr>
        <sz val="10"/>
        <rFont val="나눔고딕"/>
        <family val="2"/>
      </rPr>
      <t xml:space="preserve">작업 목록 제시 출처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월별 표 미확인</t>
    </r>
    <r>
      <rPr>
        <sz val="10"/>
        <rFont val="Arial"/>
        <family val="0"/>
        <charset val="1"/>
      </rPr>
      <t xml:space="preserve">).</t>
    </r>
  </si>
  <si>
    <t xml:space="preserve">다음 단계</t>
  </si>
  <si>
    <r>
      <rPr>
        <sz val="10"/>
        <rFont val="나눔고딕"/>
        <family val="2"/>
      </rPr>
      <t xml:space="preserve">공공데이터포털에서 </t>
    </r>
    <r>
      <rPr>
        <sz val="10"/>
        <rFont val="Arial"/>
        <family val="0"/>
        <charset val="1"/>
      </rPr>
      <t xml:space="preserve">15108292·15108296 </t>
    </r>
    <r>
      <rPr>
        <sz val="10"/>
        <rFont val="나눔고딕"/>
        <family val="2"/>
      </rPr>
      <t xml:space="preserve">두 데이터셋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활용신청</t>
    </r>
    <r>
      <rPr>
        <sz val="10"/>
        <rFont val="Arial"/>
        <family val="0"/>
        <charset val="1"/>
      </rPr>
      <t xml:space="preserve">'(</t>
    </r>
    <r>
      <rPr>
        <sz val="10"/>
        <rFont val="나눔고딕"/>
        <family val="2"/>
      </rPr>
      <t xml:space="preserve">자동승인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만 하면 같은 키로 </t>
    </r>
    <r>
      <rPr>
        <sz val="10"/>
        <rFont val="Arial"/>
        <family val="0"/>
        <charset val="1"/>
      </rPr>
      <t xml:space="preserve">2020</t>
    </r>
    <r>
      <rPr>
        <sz val="10"/>
        <rFont val="나눔고딕"/>
        <family val="2"/>
      </rPr>
      <t xml:space="preserve">년 이후 월별 안동</t>
    </r>
    <r>
      <rPr>
        <sz val="10"/>
        <rFont val="Arial"/>
        <family val="0"/>
        <charset val="1"/>
      </rPr>
      <t xml:space="preserve">(47170) </t>
    </r>
    <r>
      <rPr>
        <sz val="10"/>
        <rFont val="나눔고딕"/>
        <family val="2"/>
      </rPr>
      <t xml:space="preserve">값을 받을 수 있다</t>
    </r>
    <r>
      <rPr>
        <sz val="10"/>
        <rFont val="Arial"/>
        <family val="0"/>
        <charset val="1"/>
      </rPr>
      <t xml:space="preserve">.</t>
    </r>
  </si>
  <si>
    <t xml:space="preserve">반값여행과의 관계</t>
  </si>
  <si>
    <r>
      <rPr>
        <sz val="10"/>
        <rFont val="나눔고딕"/>
        <family val="2"/>
      </rPr>
      <t xml:space="preserve">반값여행 환급은 모바일 안동사랑상품권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정책수당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으로 지급 → </t>
    </r>
    <r>
      <rPr>
        <sz val="10"/>
        <rFont val="Arial"/>
        <family val="0"/>
        <charset val="1"/>
      </rPr>
      <t xml:space="preserve">9~11</t>
    </r>
    <r>
      <rPr>
        <sz val="10"/>
        <rFont val="나눔고딕"/>
        <family val="2"/>
      </rPr>
      <t xml:space="preserve">월 조폐공사 결제정보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데이터랩 지역화폐 관광소비가 사후 효과 지표 후보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작업 목록 ⑥</t>
    </r>
    <r>
      <rPr>
        <sz val="10"/>
        <rFont val="Arial"/>
        <family val="0"/>
        <charset val="1"/>
      </rPr>
      <t xml:space="preserve">).</t>
    </r>
  </si>
  <si>
    <t xml:space="preserve">2026-09-21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</si>
</sst>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0%"/>
  </numFmts>
  <fonts count="9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나눔고딕"/>
      <family val="2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ata.go.kr/data/15108292/openapi.do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kyongbuk.co.kr/news/articleView.html?idxno=2120766" TargetMode="External"/><Relationship Id="rId2" Type="http://schemas.openxmlformats.org/officeDocument/2006/relationships/hyperlink" Target="https://www.metroseoul.co.kr/article/20250629500129" TargetMode="External"/><Relationship Id="rId3" Type="http://schemas.openxmlformats.org/officeDocument/2006/relationships/hyperlink" Target="https://www.kbmaeil.com/article/20260227500074" TargetMode="External"/><Relationship Id="rId4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atalab.visitkorea.or.kr/" TargetMode="External"/><Relationship Id="rId2" Type="http://schemas.openxmlformats.org/officeDocument/2006/relationships/hyperlink" Target="https://datalab.visitkorea.or.kr/" TargetMode="External"/><Relationship Id="rId3" Type="http://schemas.openxmlformats.org/officeDocument/2006/relationships/hyperlink" Target="https://datalab.visitkorea.or.kr/" TargetMode="External"/><Relationship Id="rId4" Type="http://schemas.openxmlformats.org/officeDocument/2006/relationships/hyperlink" Target="https://datalab.visitkorea.or.kr/" TargetMode="External"/><Relationship Id="rId5" Type="http://schemas.openxmlformats.org/officeDocument/2006/relationships/hyperlink" Target="https://datalab.visitkorea.or.kr/" TargetMode="External"/><Relationship Id="rId6" Type="http://schemas.openxmlformats.org/officeDocument/2006/relationships/hyperlink" Target="https://datalab.visitkorea.or.kr/" TargetMode="External"/><Relationship Id="rId7" Type="http://schemas.openxmlformats.org/officeDocument/2006/relationships/hyperlink" Target="https://datalab.visitkorea.or.kr/" TargetMode="External"/><Relationship Id="rId8" Type="http://schemas.openxmlformats.org/officeDocument/2006/relationships/hyperlink" Target="https://datalab.visitkorea.or.kr/" TargetMode="External"/><Relationship Id="rId9" Type="http://schemas.openxmlformats.org/officeDocument/2006/relationships/hyperlink" Target="https://datalab.visitkorea.or.kr/" TargetMode="External"/><Relationship Id="rId10" Type="http://schemas.openxmlformats.org/officeDocument/2006/relationships/hyperlink" Target="https://datalab.visitkorea.or.kr/" TargetMode="External"/><Relationship Id="rId11" Type="http://schemas.openxmlformats.org/officeDocument/2006/relationships/hyperlink" Target="https://datalab.visitkorea.or.kr/" TargetMode="External"/><Relationship Id="rId12" Type="http://schemas.openxmlformats.org/officeDocument/2006/relationships/hyperlink" Target="https://datalab.visitkorea.or.kr/" TargetMode="External"/><Relationship Id="rId13" Type="http://schemas.openxmlformats.org/officeDocument/2006/relationships/hyperlink" Target="https://datalab.visitkorea.or.kr/" TargetMode="External"/><Relationship Id="rId14" Type="http://schemas.openxmlformats.org/officeDocument/2006/relationships/hyperlink" Target="https://datalab.visitkorea.or.kr/" TargetMode="External"/><Relationship Id="rId15" Type="http://schemas.openxmlformats.org/officeDocument/2006/relationships/hyperlink" Target="https://datalab.visitkorea.or.kr/" TargetMode="External"/><Relationship Id="rId16" Type="http://schemas.openxmlformats.org/officeDocument/2006/relationships/hyperlink" Target="https://datalab.visitkorea.or.kr/" TargetMode="External"/><Relationship Id="rId17" Type="http://schemas.openxmlformats.org/officeDocument/2006/relationships/hyperlink" Target="https://datalab.visitkorea.or.kr/" TargetMode="External"/><Relationship Id="rId18" Type="http://schemas.openxmlformats.org/officeDocument/2006/relationships/hyperlink" Target="https://datalab.visitkorea.or.kr/" TargetMode="External"/><Relationship Id="rId19" Type="http://schemas.openxmlformats.org/officeDocument/2006/relationships/hyperlink" Target="https://datalab.visitkorea.or.kr/" TargetMode="External"/><Relationship Id="rId20" Type="http://schemas.openxmlformats.org/officeDocument/2006/relationships/hyperlink" Target="https://datalab.visitkorea.or.kr/" TargetMode="External"/><Relationship Id="rId21" Type="http://schemas.openxmlformats.org/officeDocument/2006/relationships/hyperlink" Target="https://datalab.visitkorea.or.kr/" TargetMode="External"/><Relationship Id="rId22" Type="http://schemas.openxmlformats.org/officeDocument/2006/relationships/hyperlink" Target="https://datalab.visitkorea.or.kr/" TargetMode="External"/><Relationship Id="rId23" Type="http://schemas.openxmlformats.org/officeDocument/2006/relationships/hyperlink" Target="https://datalab.visitkorea.or.kr/" TargetMode="External"/><Relationship Id="rId24" Type="http://schemas.openxmlformats.org/officeDocument/2006/relationships/hyperlink" Target="https://datalab.visitkorea.or.kr/" TargetMode="External"/><Relationship Id="rId25" Type="http://schemas.openxmlformats.org/officeDocument/2006/relationships/hyperlink" Target="https://datalab.visitkorea.or.kr/" TargetMode="External"/><Relationship Id="rId26" Type="http://schemas.openxmlformats.org/officeDocument/2006/relationships/hyperlink" Target="https://datalab.visitkorea.or.kr/" TargetMode="External"/><Relationship Id="rId27" Type="http://schemas.openxmlformats.org/officeDocument/2006/relationships/hyperlink" Target="https://datalab.visitkorea.or.kr/" TargetMode="External"/><Relationship Id="rId28" Type="http://schemas.openxmlformats.org/officeDocument/2006/relationships/hyperlink" Target="https://datalab.visitkorea.or.kr/" TargetMode="External"/><Relationship Id="rId29" Type="http://schemas.openxmlformats.org/officeDocument/2006/relationships/hyperlink" Target="https://datalab.visitkorea.or.kr/" TargetMode="External"/><Relationship Id="rId30" Type="http://schemas.openxmlformats.org/officeDocument/2006/relationships/hyperlink" Target="https://datalab.visitkorea.or.kr/" TargetMode="External"/><Relationship Id="rId31" Type="http://schemas.openxmlformats.org/officeDocument/2006/relationships/hyperlink" Target="https://datalab.visitkorea.or.kr/" TargetMode="External"/><Relationship Id="rId32" Type="http://schemas.openxmlformats.org/officeDocument/2006/relationships/hyperlink" Target="https://datalab.visitkorea.or.kr/" TargetMode="External"/><Relationship Id="rId33" Type="http://schemas.openxmlformats.org/officeDocument/2006/relationships/hyperlink" Target="https://datalab.visitkorea.or.kr/" TargetMode="External"/><Relationship Id="rId34" Type="http://schemas.openxmlformats.org/officeDocument/2006/relationships/hyperlink" Target="https://datalab.visitkorea.or.kr/" TargetMode="External"/><Relationship Id="rId35" Type="http://schemas.openxmlformats.org/officeDocument/2006/relationships/hyperlink" Target="https://datalab.visitkorea.or.kr/" TargetMode="External"/><Relationship Id="rId36" Type="http://schemas.openxmlformats.org/officeDocument/2006/relationships/hyperlink" Target="https://datalab.visitkorea.or.kr/" TargetMode="External"/><Relationship Id="rId37" Type="http://schemas.openxmlformats.org/officeDocument/2006/relationships/hyperlink" Target="https://datalab.visitkorea.or.kr/" TargetMode="External"/><Relationship Id="rId38" Type="http://schemas.openxmlformats.org/officeDocument/2006/relationships/hyperlink" Target="https://datalab.visitkorea.or.kr/" TargetMode="External"/><Relationship Id="rId39" Type="http://schemas.openxmlformats.org/officeDocument/2006/relationships/hyperlink" Target="https://datalab.visitkorea.or.kr/" TargetMode="External"/><Relationship Id="rId40" Type="http://schemas.openxmlformats.org/officeDocument/2006/relationships/hyperlink" Target="https://datalab.visitkorea.or.kr/" TargetMode="External"/><Relationship Id="rId41" Type="http://schemas.openxmlformats.org/officeDocument/2006/relationships/hyperlink" Target="https://datalab.visitkorea.or.kr/" TargetMode="External"/><Relationship Id="rId42" Type="http://schemas.openxmlformats.org/officeDocument/2006/relationships/hyperlink" Target="https://datalab.visitkorea.or.kr/" TargetMode="External"/><Relationship Id="rId43" Type="http://schemas.openxmlformats.org/officeDocument/2006/relationships/hyperlink" Target="https://datalab.visitkorea.or.kr/" TargetMode="External"/><Relationship Id="rId44" Type="http://schemas.openxmlformats.org/officeDocument/2006/relationships/hyperlink" Target="https://datalab.visitkorea.or.kr/" TargetMode="External"/><Relationship Id="rId45" Type="http://schemas.openxmlformats.org/officeDocument/2006/relationships/hyperlink" Target="https://datalab.visitkorea.or.kr/" TargetMode="External"/><Relationship Id="rId46" Type="http://schemas.openxmlformats.org/officeDocument/2006/relationships/hyperlink" Target="https://datalab.visitkorea.or.kr/" TargetMode="External"/><Relationship Id="rId47" Type="http://schemas.openxmlformats.org/officeDocument/2006/relationships/hyperlink" Target="https://datalab.visitkorea.or.kr/" TargetMode="External"/><Relationship Id="rId48" Type="http://schemas.openxmlformats.org/officeDocument/2006/relationships/hyperlink" Target="https://datalab.visitkorea.or.kr/" TargetMode="External"/><Relationship Id="rId49" Type="http://schemas.openxmlformats.org/officeDocument/2006/relationships/hyperlink" Target="https://datalab.visitkorea.or.kr/" TargetMode="External"/><Relationship Id="rId50" Type="http://schemas.openxmlformats.org/officeDocument/2006/relationships/hyperlink" Target="https://datalab.visitkorea.or.kr/" TargetMode="External"/><Relationship Id="rId51" Type="http://schemas.openxmlformats.org/officeDocument/2006/relationships/hyperlink" Target="https://datalab.visitkorea.or.kr/" TargetMode="External"/><Relationship Id="rId52" Type="http://schemas.openxmlformats.org/officeDocument/2006/relationships/hyperlink" Target="https://datalab.visitkorea.or.kr/" TargetMode="External"/><Relationship Id="rId53" Type="http://schemas.openxmlformats.org/officeDocument/2006/relationships/hyperlink" Target="https://datalab.visitkorea.or.kr/" TargetMode="External"/><Relationship Id="rId54" Type="http://schemas.openxmlformats.org/officeDocument/2006/relationships/hyperlink" Target="https://datalab.visitkorea.or.kr/" TargetMode="External"/><Relationship Id="rId55" Type="http://schemas.openxmlformats.org/officeDocument/2006/relationships/hyperlink" Target="https://datalab.visitkorea.or.kr/" TargetMode="External"/><Relationship Id="rId56" Type="http://schemas.openxmlformats.org/officeDocument/2006/relationships/hyperlink" Target="https://datalab.visitkorea.or.kr/" TargetMode="External"/><Relationship Id="rId57" Type="http://schemas.openxmlformats.org/officeDocument/2006/relationships/hyperlink" Target="https://datalab.visitkorea.or.kr/" TargetMode="External"/><Relationship Id="rId58" Type="http://schemas.openxmlformats.org/officeDocument/2006/relationships/hyperlink" Target="https://datalab.visitkorea.or.kr/" TargetMode="External"/><Relationship Id="rId59" Type="http://schemas.openxmlformats.org/officeDocument/2006/relationships/hyperlink" Target="https://datalab.visitkorea.or.kr/" TargetMode="External"/><Relationship Id="rId60" Type="http://schemas.openxmlformats.org/officeDocument/2006/relationships/hyperlink" Target="https://datalab.visitkorea.or.kr/" TargetMode="External"/><Relationship Id="rId61" Type="http://schemas.openxmlformats.org/officeDocument/2006/relationships/hyperlink" Target="https://datalab.visitkorea.or.kr/" TargetMode="External"/><Relationship Id="rId62" Type="http://schemas.openxmlformats.org/officeDocument/2006/relationships/hyperlink" Target="https://datalab.visitkorea.or.kr/" TargetMode="External"/><Relationship Id="rId63" Type="http://schemas.openxmlformats.org/officeDocument/2006/relationships/hyperlink" Target="https://datalab.visitkorea.or.kr/" TargetMode="External"/><Relationship Id="rId64" Type="http://schemas.openxmlformats.org/officeDocument/2006/relationships/hyperlink" Target="https://datalab.visitkorea.or.kr/" TargetMode="External"/><Relationship Id="rId65" Type="http://schemas.openxmlformats.org/officeDocument/2006/relationships/hyperlink" Target="https://datalab.visitkorea.or.kr/" TargetMode="External"/><Relationship Id="rId66" Type="http://schemas.openxmlformats.org/officeDocument/2006/relationships/hyperlink" Target="https://datalab.visitkorea.or.kr/" TargetMode="External"/><Relationship Id="rId67" Type="http://schemas.openxmlformats.org/officeDocument/2006/relationships/hyperlink" Target="https://datalab.visitkorea.or.kr/" TargetMode="External"/><Relationship Id="rId68" Type="http://schemas.openxmlformats.org/officeDocument/2006/relationships/hyperlink" Target="https://datalab.visitkorea.or.kr/" TargetMode="External"/><Relationship Id="rId69" Type="http://schemas.openxmlformats.org/officeDocument/2006/relationships/hyperlink" Target="https://datalab.visitkorea.or.kr/" TargetMode="External"/><Relationship Id="rId70" Type="http://schemas.openxmlformats.org/officeDocument/2006/relationships/hyperlink" Target="https://datalab.visitkorea.or.kr/" TargetMode="External"/><Relationship Id="rId71" Type="http://schemas.openxmlformats.org/officeDocument/2006/relationships/hyperlink" Target="https://datalab.visitkorea.or.kr/" TargetMode="External"/><Relationship Id="rId72" Type="http://schemas.openxmlformats.org/officeDocument/2006/relationships/hyperlink" Target="https://datalab.visitkorea.or.kr/" TargetMode="External"/><Relationship Id="rId73" Type="http://schemas.openxmlformats.org/officeDocument/2006/relationships/hyperlink" Target="https://datalab.visitkorea.or.kr/" TargetMode="External"/><Relationship Id="rId74" Type="http://schemas.openxmlformats.org/officeDocument/2006/relationships/hyperlink" Target="https://datalab.visitkorea.or.kr/" TargetMode="External"/><Relationship Id="rId75" Type="http://schemas.openxmlformats.org/officeDocument/2006/relationships/hyperlink" Target="https://datalab.visitkorea.or.kr/" TargetMode="External"/><Relationship Id="rId76" Type="http://schemas.openxmlformats.org/officeDocument/2006/relationships/hyperlink" Target="https://datalab.visitkorea.or.kr/" TargetMode="External"/><Relationship Id="rId77" Type="http://schemas.openxmlformats.org/officeDocument/2006/relationships/hyperlink" Target="https://datalab.visitkorea.or.kr/" TargetMode="External"/><Relationship Id="rId78" Type="http://schemas.openxmlformats.org/officeDocument/2006/relationships/hyperlink" Target="https://datalab.visitkorea.or.kr/" TargetMode="External"/><Relationship Id="rId79" Type="http://schemas.openxmlformats.org/officeDocument/2006/relationships/hyperlink" Target="https://datalab.visitkorea.or.kr/" TargetMode="External"/><Relationship Id="rId80" Type="http://schemas.openxmlformats.org/officeDocument/2006/relationships/hyperlink" Target="https://datalab.visitkorea.or.kr/" TargetMode="External"/><Relationship Id="rId81" Type="http://schemas.openxmlformats.org/officeDocument/2006/relationships/hyperlink" Target="https://datalab.visitkorea.or.kr/" TargetMode="External"/><Relationship Id="rId82" Type="http://schemas.openxmlformats.org/officeDocument/2006/relationships/hyperlink" Target="https://datalab.visitkorea.or.kr/" TargetMode="External"/><Relationship Id="rId83" Type="http://schemas.openxmlformats.org/officeDocument/2006/relationships/hyperlink" Target="https://datalab.visitkorea.or.kr/" TargetMode="External"/><Relationship Id="rId84" Type="http://schemas.openxmlformats.org/officeDocument/2006/relationships/hyperlink" Target="https://datalab.visitkorea.or.kr/" TargetMode="External"/><Relationship Id="rId85" Type="http://schemas.openxmlformats.org/officeDocument/2006/relationships/hyperlink" Target="https://datalab.visitkorea.or.kr/" TargetMode="External"/><Relationship Id="rId86" Type="http://schemas.openxmlformats.org/officeDocument/2006/relationships/hyperlink" Target="https://datalab.visitkorea.or.kr/" TargetMode="External"/><Relationship Id="rId87" Type="http://schemas.openxmlformats.org/officeDocument/2006/relationships/hyperlink" Target="https://datalab.visitkorea.or.kr/" TargetMode="External"/><Relationship Id="rId88" Type="http://schemas.openxmlformats.org/officeDocument/2006/relationships/hyperlink" Target="https://datalab.visitkorea.or.kr/" TargetMode="External"/><Relationship Id="rId89" Type="http://schemas.openxmlformats.org/officeDocument/2006/relationships/hyperlink" Target="https://datalab.visitkorea.or.kr/" TargetMode="External"/><Relationship Id="rId90" Type="http://schemas.openxmlformats.org/officeDocument/2006/relationships/hyperlink" Target="https://datalab.visitkorea.or.kr/" TargetMode="External"/><Relationship Id="rId91" Type="http://schemas.openxmlformats.org/officeDocument/2006/relationships/hyperlink" Target="https://datalab.visitkorea.or.kr/" TargetMode="External"/><Relationship Id="rId92" Type="http://schemas.openxmlformats.org/officeDocument/2006/relationships/hyperlink" Target="https://datalab.visitkorea.or.kr/" TargetMode="External"/><Relationship Id="rId93" Type="http://schemas.openxmlformats.org/officeDocument/2006/relationships/hyperlink" Target="https://datalab.visitkorea.or.kr/" TargetMode="External"/><Relationship Id="rId94" Type="http://schemas.openxmlformats.org/officeDocument/2006/relationships/hyperlink" Target="https://datalab.visitkorea.or.kr/" TargetMode="External"/><Relationship Id="rId95" Type="http://schemas.openxmlformats.org/officeDocument/2006/relationships/hyperlink" Target="https://datalab.visitkorea.or.kr/" TargetMode="External"/><Relationship Id="rId96" Type="http://schemas.openxmlformats.org/officeDocument/2006/relationships/hyperlink" Target="https://datalab.visitkorea.or.kr/" TargetMode="External"/><Relationship Id="rId97" Type="http://schemas.openxmlformats.org/officeDocument/2006/relationships/hyperlink" Target="https://datalab.visitkorea.or.kr/" TargetMode="External"/><Relationship Id="rId98" Type="http://schemas.openxmlformats.org/officeDocument/2006/relationships/hyperlink" Target="https://datalab.visitkorea.or.kr/" TargetMode="External"/><Relationship Id="rId99" Type="http://schemas.openxmlformats.org/officeDocument/2006/relationships/hyperlink" Target="https://datalab.visitkorea.or.kr/" TargetMode="External"/><Relationship Id="rId100" Type="http://schemas.openxmlformats.org/officeDocument/2006/relationships/hyperlink" Target="https://datalab.visitkorea.or.kr/" TargetMode="External"/><Relationship Id="rId101" Type="http://schemas.openxmlformats.org/officeDocument/2006/relationships/hyperlink" Target="https://datalab.visitkorea.or.kr/" TargetMode="External"/><Relationship Id="rId102" Type="http://schemas.openxmlformats.org/officeDocument/2006/relationships/hyperlink" Target="https://datalab.visitkorea.or.kr/" TargetMode="External"/><Relationship Id="rId103" Type="http://schemas.openxmlformats.org/officeDocument/2006/relationships/hyperlink" Target="https://datalab.visitkorea.or.kr/" TargetMode="External"/><Relationship Id="rId104" Type="http://schemas.openxmlformats.org/officeDocument/2006/relationships/hyperlink" Target="https://datalab.visitkorea.or.kr/" TargetMode="External"/><Relationship Id="rId105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data.go.kr/data/15108292/openapi.do" TargetMode="External"/><Relationship Id="rId2" Type="http://schemas.openxmlformats.org/officeDocument/2006/relationships/hyperlink" Target="https://www.data.go.kr/data/15108296/openapi.do" TargetMode="External"/><Relationship Id="rId3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6.69"/>
    <col collapsed="false" customWidth="true" hidden="false" outlineLevel="0" max="4" min="2" style="0" width="8.35"/>
    <col collapsed="false" customWidth="true" hidden="false" outlineLevel="0" max="5" min="5" style="0" width="36.72"/>
    <col collapsed="false" customWidth="true" hidden="false" outlineLevel="0" max="6" min="6" style="0" width="20.03"/>
    <col collapsed="false" customWidth="true" hidden="false" outlineLevel="0" max="7" min="7" style="0" width="9.18"/>
    <col collapsed="false" customWidth="true" hidden="false" outlineLevel="0" max="8" min="8" style="0" width="91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3" t="s">
        <v>9</v>
      </c>
      <c r="C2" s="3" t="s">
        <v>9</v>
      </c>
      <c r="D2" s="3" t="s">
        <v>9</v>
      </c>
      <c r="E2" s="4" t="s">
        <v>10</v>
      </c>
      <c r="F2" s="2" t="s">
        <v>11</v>
      </c>
      <c r="G2" s="5" t="n">
        <v>46286</v>
      </c>
      <c r="H2" s="3" t="s">
        <v>12</v>
      </c>
    </row>
  </sheetData>
  <autoFilter ref="A1:H2"/>
  <hyperlinks>
    <hyperlink ref="E2" r:id="rId1" display="https://www.data.go.kr/data/15108292/openapi.d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5.84"/>
    <col collapsed="false" customWidth="true" hidden="false" outlineLevel="0" max="2" min="2" style="0" width="10.02"/>
    <col collapsed="false" customWidth="true" hidden="false" outlineLevel="0" max="3" min="3" style="0" width="8.35"/>
    <col collapsed="false" customWidth="true" hidden="false" outlineLevel="0" max="4" min="4" style="0" width="9.18"/>
    <col collapsed="false" customWidth="true" hidden="false" outlineLevel="0" max="6" min="5" style="0" width="25.04"/>
    <col collapsed="false" customWidth="true" hidden="false" outlineLevel="0" max="7" min="7" style="0" width="18.36"/>
    <col collapsed="false" customWidth="true" hidden="false" outlineLevel="0" max="8" min="8" style="0" width="36.72"/>
    <col collapsed="false" customWidth="true" hidden="false" outlineLevel="0" max="10" min="9" style="0" width="9.18"/>
    <col collapsed="false" customWidth="true" hidden="false" outlineLevel="0" max="11" min="11" style="0" width="50.08"/>
    <col collapsed="false" customWidth="true" hidden="false" outlineLevel="0" max="12" min="12" style="0" width="11.68"/>
  </cols>
  <sheetData>
    <row r="1" customFormat="false" ht="23.8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3</v>
      </c>
      <c r="F1" s="1" t="s">
        <v>17</v>
      </c>
      <c r="G1" s="1" t="s">
        <v>18</v>
      </c>
      <c r="H1" s="1" t="s">
        <v>4</v>
      </c>
      <c r="I1" s="1" t="s">
        <v>5</v>
      </c>
      <c r="J1" s="1" t="s">
        <v>6</v>
      </c>
      <c r="K1" s="1" t="s">
        <v>7</v>
      </c>
      <c r="L1" s="6" t="s">
        <v>19</v>
      </c>
    </row>
    <row r="2" customFormat="false" ht="23.85" hidden="false" customHeight="false" outlineLevel="0" collapsed="false">
      <c r="A2" s="2" t="s">
        <v>20</v>
      </c>
      <c r="B2" s="7" t="n">
        <v>1000</v>
      </c>
      <c r="C2" s="7"/>
      <c r="D2" s="7"/>
      <c r="E2" s="3" t="s">
        <v>21</v>
      </c>
      <c r="F2" s="2"/>
      <c r="G2" s="3" t="s">
        <v>22</v>
      </c>
      <c r="H2" s="4" t="s">
        <v>23</v>
      </c>
      <c r="I2" s="2" t="s">
        <v>24</v>
      </c>
      <c r="J2" s="5" t="n">
        <v>46286</v>
      </c>
      <c r="K2" s="3" t="s">
        <v>25</v>
      </c>
      <c r="L2" s="8" t="str">
        <f aca="false">IF(AND(ISNUMBER(C2),ISNUMBER(D2)),C2+D2,"")</f>
        <v/>
      </c>
    </row>
    <row r="3" customFormat="false" ht="35.05" hidden="false" customHeight="false" outlineLevel="0" collapsed="false">
      <c r="A3" s="2" t="s">
        <v>26</v>
      </c>
      <c r="B3" s="7" t="n">
        <v>1900</v>
      </c>
      <c r="C3" s="7" t="n">
        <v>582</v>
      </c>
      <c r="D3" s="7" t="n">
        <v>1358</v>
      </c>
      <c r="E3" s="2"/>
      <c r="F3" s="2" t="s">
        <v>27</v>
      </c>
      <c r="G3" s="3" t="s">
        <v>28</v>
      </c>
      <c r="H3" s="4" t="s">
        <v>29</v>
      </c>
      <c r="I3" s="2" t="s">
        <v>30</v>
      </c>
      <c r="J3" s="5" t="n">
        <v>46286</v>
      </c>
      <c r="K3" s="3" t="s">
        <v>31</v>
      </c>
      <c r="L3" s="8" t="n">
        <f aca="false">IF(AND(ISNUMBER(C3),ISNUMBER(D3)),C3+D3,"")</f>
        <v>1940</v>
      </c>
    </row>
    <row r="4" customFormat="false" ht="23.85" hidden="false" customHeight="false" outlineLevel="0" collapsed="false">
      <c r="A4" s="2" t="s">
        <v>32</v>
      </c>
      <c r="B4" s="7" t="n">
        <v>1790</v>
      </c>
      <c r="C4" s="7" t="n">
        <v>400</v>
      </c>
      <c r="D4" s="7" t="n">
        <v>1390</v>
      </c>
      <c r="E4" s="2"/>
      <c r="F4" s="2" t="s">
        <v>33</v>
      </c>
      <c r="G4" s="3" t="s">
        <v>34</v>
      </c>
      <c r="H4" s="4" t="s">
        <v>35</v>
      </c>
      <c r="I4" s="2" t="s">
        <v>36</v>
      </c>
      <c r="J4" s="5" t="n">
        <v>46286</v>
      </c>
      <c r="K4" s="3" t="s">
        <v>37</v>
      </c>
      <c r="L4" s="8" t="n">
        <f aca="false">IF(AND(ISNUMBER(C4),ISNUMBER(D4)),C4+D4,"")</f>
        <v>1790</v>
      </c>
    </row>
  </sheetData>
  <autoFilter ref="A1:K4"/>
  <hyperlinks>
    <hyperlink ref="H2" r:id="rId1" display="https://www.kyongbuk.co.kr/news/articleView.html?idxno=2120766"/>
    <hyperlink ref="H3" r:id="rId2" display="https://www.metroseoul.co.kr/article/20250629500129"/>
    <hyperlink ref="H4" r:id="rId3" display="https://www.kbmaeil.com/article/2026022750007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7.51"/>
    <col collapsed="false" customWidth="true" hidden="false" outlineLevel="0" max="2" min="2" style="0" width="16.69"/>
    <col collapsed="false" customWidth="true" hidden="false" outlineLevel="0" max="3" min="3" style="0" width="18.36"/>
    <col collapsed="false" customWidth="true" hidden="false" outlineLevel="0" max="4" min="4" style="0" width="15.02"/>
    <col collapsed="false" customWidth="true" hidden="false" outlineLevel="0" max="5" min="5" style="0" width="9.18"/>
    <col collapsed="false" customWidth="true" hidden="false" outlineLevel="0" max="6" min="6" style="0" width="26.71"/>
    <col collapsed="false" customWidth="true" hidden="false" outlineLevel="0" max="7" min="7" style="0" width="8.35"/>
    <col collapsed="false" customWidth="true" hidden="false" outlineLevel="0" max="8" min="8" style="0" width="9.18"/>
  </cols>
  <sheetData>
    <row r="1" customFormat="false" ht="23.85" hidden="false" customHeight="false" outlineLevel="0" collapsed="false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2" t="s">
        <v>42</v>
      </c>
      <c r="B2" s="7" t="n">
        <v>812</v>
      </c>
      <c r="C2" s="7" t="n">
        <v>523339</v>
      </c>
      <c r="D2" s="2" t="n">
        <v>0.2</v>
      </c>
      <c r="E2" s="9" t="n">
        <f aca="false">IF(C2=0,"",B2/C2)</f>
        <v>0.00155157555618825</v>
      </c>
      <c r="F2" s="4" t="s">
        <v>43</v>
      </c>
      <c r="G2" s="3" t="s">
        <v>44</v>
      </c>
      <c r="H2" s="5" t="n">
        <v>46286</v>
      </c>
    </row>
    <row r="3" customFormat="false" ht="15" hidden="false" customHeight="false" outlineLevel="0" collapsed="false">
      <c r="A3" s="2" t="s">
        <v>45</v>
      </c>
      <c r="B3" s="7" t="n">
        <v>757</v>
      </c>
      <c r="C3" s="7" t="n">
        <v>520192</v>
      </c>
      <c r="D3" s="2" t="n">
        <v>0.1</v>
      </c>
      <c r="E3" s="9" t="n">
        <f aca="false">IF(C3=0,"",B3/C3)</f>
        <v>0.00145523191437008</v>
      </c>
      <c r="F3" s="4" t="s">
        <v>43</v>
      </c>
      <c r="G3" s="3" t="s">
        <v>44</v>
      </c>
      <c r="H3" s="5" t="n">
        <v>46286</v>
      </c>
    </row>
    <row r="4" customFormat="false" ht="15" hidden="false" customHeight="false" outlineLevel="0" collapsed="false">
      <c r="A4" s="2" t="s">
        <v>46</v>
      </c>
      <c r="B4" s="7" t="n">
        <v>1050</v>
      </c>
      <c r="C4" s="7" t="n">
        <v>577789</v>
      </c>
      <c r="D4" s="2" t="n">
        <v>0.2</v>
      </c>
      <c r="E4" s="9" t="n">
        <f aca="false">IF(C4=0,"",B4/C4)</f>
        <v>0.00181727239528617</v>
      </c>
      <c r="F4" s="4" t="s">
        <v>43</v>
      </c>
      <c r="G4" s="3" t="s">
        <v>44</v>
      </c>
      <c r="H4" s="5" t="n">
        <v>46286</v>
      </c>
    </row>
    <row r="5" customFormat="false" ht="15" hidden="false" customHeight="false" outlineLevel="0" collapsed="false">
      <c r="A5" s="2" t="s">
        <v>47</v>
      </c>
      <c r="B5" s="7" t="n">
        <v>1082</v>
      </c>
      <c r="C5" s="7" t="n">
        <v>581444</v>
      </c>
      <c r="D5" s="2" t="n">
        <v>0.2</v>
      </c>
      <c r="E5" s="9" t="n">
        <f aca="false">IF(C5=0,"",B5/C5)</f>
        <v>0.00186088428120335</v>
      </c>
      <c r="F5" s="4" t="s">
        <v>43</v>
      </c>
      <c r="G5" s="3" t="s">
        <v>44</v>
      </c>
      <c r="H5" s="5" t="n">
        <v>46286</v>
      </c>
    </row>
    <row r="6" customFormat="false" ht="15" hidden="false" customHeight="false" outlineLevel="0" collapsed="false">
      <c r="A6" s="2" t="s">
        <v>48</v>
      </c>
      <c r="B6" s="7" t="n">
        <v>1138</v>
      </c>
      <c r="C6" s="7" t="n">
        <v>632365</v>
      </c>
      <c r="D6" s="2" t="n">
        <v>0.2</v>
      </c>
      <c r="E6" s="9" t="n">
        <f aca="false">IF(C6=0,"",B6/C6)</f>
        <v>0.00179959358914551</v>
      </c>
      <c r="F6" s="4" t="s">
        <v>43</v>
      </c>
      <c r="G6" s="3" t="s">
        <v>44</v>
      </c>
      <c r="H6" s="5" t="n">
        <v>46286</v>
      </c>
    </row>
    <row r="7" customFormat="false" ht="15" hidden="false" customHeight="false" outlineLevel="0" collapsed="false">
      <c r="A7" s="2" t="s">
        <v>49</v>
      </c>
      <c r="B7" s="7" t="n">
        <v>983</v>
      </c>
      <c r="C7" s="7" t="n">
        <v>585292</v>
      </c>
      <c r="D7" s="2" t="n">
        <v>0.2</v>
      </c>
      <c r="E7" s="9" t="n">
        <f aca="false">IF(C7=0,"",B7/C7)</f>
        <v>0.001679503564033</v>
      </c>
      <c r="F7" s="4" t="s">
        <v>43</v>
      </c>
      <c r="G7" s="3" t="s">
        <v>44</v>
      </c>
      <c r="H7" s="5" t="n">
        <v>46286</v>
      </c>
    </row>
    <row r="8" customFormat="false" ht="15" hidden="false" customHeight="false" outlineLevel="0" collapsed="false">
      <c r="A8" s="2" t="s">
        <v>50</v>
      </c>
      <c r="B8" s="7" t="n">
        <v>974</v>
      </c>
      <c r="C8" s="7" t="n">
        <v>594154</v>
      </c>
      <c r="D8" s="2" t="n">
        <v>0.2</v>
      </c>
      <c r="E8" s="9" t="n">
        <f aca="false">IF(C8=0,"",B8/C8)</f>
        <v>0.00163930563456612</v>
      </c>
      <c r="F8" s="4" t="s">
        <v>43</v>
      </c>
      <c r="G8" s="3" t="s">
        <v>44</v>
      </c>
      <c r="H8" s="5" t="n">
        <v>46286</v>
      </c>
    </row>
    <row r="9" customFormat="false" ht="15" hidden="false" customHeight="false" outlineLevel="0" collapsed="false">
      <c r="A9" s="2" t="s">
        <v>51</v>
      </c>
      <c r="B9" s="7" t="n">
        <v>801</v>
      </c>
      <c r="C9" s="7" t="n">
        <v>540391</v>
      </c>
      <c r="D9" s="2" t="n">
        <v>0.1</v>
      </c>
      <c r="E9" s="9" t="n">
        <f aca="false">IF(C9=0,"",B9/C9)</f>
        <v>0.0014822600672476</v>
      </c>
      <c r="F9" s="4" t="s">
        <v>43</v>
      </c>
      <c r="G9" s="3" t="s">
        <v>44</v>
      </c>
      <c r="H9" s="5" t="n">
        <v>46286</v>
      </c>
    </row>
    <row r="10" customFormat="false" ht="15" hidden="false" customHeight="false" outlineLevel="0" collapsed="false">
      <c r="A10" s="2" t="s">
        <v>52</v>
      </c>
      <c r="B10" s="7" t="n">
        <v>1148</v>
      </c>
      <c r="C10" s="7" t="n">
        <v>620515</v>
      </c>
      <c r="D10" s="2" t="n">
        <v>0.2</v>
      </c>
      <c r="E10" s="9" t="n">
        <f aca="false">IF(C10=0,"",B10/C10)</f>
        <v>0.00185007614642676</v>
      </c>
      <c r="F10" s="4" t="s">
        <v>43</v>
      </c>
      <c r="G10" s="3" t="s">
        <v>44</v>
      </c>
      <c r="H10" s="5" t="n">
        <v>46286</v>
      </c>
    </row>
    <row r="11" customFormat="false" ht="15" hidden="false" customHeight="false" outlineLevel="0" collapsed="false">
      <c r="A11" s="2" t="s">
        <v>53</v>
      </c>
      <c r="B11" s="7" t="n">
        <v>1454</v>
      </c>
      <c r="C11" s="7" t="n">
        <v>676479</v>
      </c>
      <c r="D11" s="2" t="n">
        <v>0.2</v>
      </c>
      <c r="E11" s="9" t="n">
        <f aca="false">IF(C11=0,"",B11/C11)</f>
        <v>0.00214936457746656</v>
      </c>
      <c r="F11" s="4" t="s">
        <v>43</v>
      </c>
      <c r="G11" s="3" t="s">
        <v>44</v>
      </c>
      <c r="H11" s="5" t="n">
        <v>46286</v>
      </c>
    </row>
    <row r="12" customFormat="false" ht="15" hidden="false" customHeight="false" outlineLevel="0" collapsed="false">
      <c r="A12" s="2" t="s">
        <v>54</v>
      </c>
      <c r="B12" s="7" t="n">
        <v>1413</v>
      </c>
      <c r="C12" s="7" t="n">
        <v>646061</v>
      </c>
      <c r="D12" s="2" t="n">
        <v>0.2</v>
      </c>
      <c r="E12" s="9" t="n">
        <f aca="false">IF(C12=0,"",B12/C12)</f>
        <v>0.00218709997972328</v>
      </c>
      <c r="F12" s="4" t="s">
        <v>43</v>
      </c>
      <c r="G12" s="3" t="s">
        <v>44</v>
      </c>
      <c r="H12" s="5" t="n">
        <v>46286</v>
      </c>
    </row>
    <row r="13" customFormat="false" ht="15" hidden="false" customHeight="false" outlineLevel="0" collapsed="false">
      <c r="A13" s="2" t="s">
        <v>55</v>
      </c>
      <c r="B13" s="7" t="n">
        <v>1217</v>
      </c>
      <c r="C13" s="7" t="n">
        <v>706241</v>
      </c>
      <c r="D13" s="2" t="n">
        <v>0.2</v>
      </c>
      <c r="E13" s="9" t="n">
        <f aca="false">IF(C13=0,"",B13/C13)</f>
        <v>0.0017232078001702</v>
      </c>
      <c r="F13" s="4" t="s">
        <v>43</v>
      </c>
      <c r="G13" s="3" t="s">
        <v>44</v>
      </c>
      <c r="H13" s="5" t="n">
        <v>46286</v>
      </c>
    </row>
    <row r="14" customFormat="false" ht="15" hidden="false" customHeight="false" outlineLevel="0" collapsed="false">
      <c r="A14" s="2" t="s">
        <v>56</v>
      </c>
      <c r="B14" s="7" t="n">
        <v>798</v>
      </c>
      <c r="C14" s="7" t="n">
        <v>558412</v>
      </c>
      <c r="D14" s="2" t="n">
        <v>0.1</v>
      </c>
      <c r="E14" s="9" t="n">
        <f aca="false">IF(C14=0,"",B14/C14)</f>
        <v>0.00142905238426108</v>
      </c>
      <c r="F14" s="4" t="s">
        <v>43</v>
      </c>
      <c r="G14" s="3" t="s">
        <v>44</v>
      </c>
      <c r="H14" s="5" t="n">
        <v>46286</v>
      </c>
    </row>
    <row r="15" customFormat="false" ht="15" hidden="false" customHeight="false" outlineLevel="0" collapsed="false">
      <c r="A15" s="2" t="s">
        <v>57</v>
      </c>
      <c r="B15" s="7" t="n">
        <v>725</v>
      </c>
      <c r="C15" s="7" t="n">
        <v>529467</v>
      </c>
      <c r="D15" s="2" t="n">
        <v>0.1</v>
      </c>
      <c r="E15" s="9" t="n">
        <f aca="false">IF(C15=0,"",B15/C15)</f>
        <v>0.0013693015806462</v>
      </c>
      <c r="F15" s="4" t="s">
        <v>43</v>
      </c>
      <c r="G15" s="3" t="s">
        <v>44</v>
      </c>
      <c r="H15" s="5" t="n">
        <v>46286</v>
      </c>
    </row>
    <row r="16" customFormat="false" ht="15" hidden="false" customHeight="false" outlineLevel="0" collapsed="false">
      <c r="A16" s="2" t="s">
        <v>58</v>
      </c>
      <c r="B16" s="7" t="n">
        <v>1099</v>
      </c>
      <c r="C16" s="7" t="n">
        <v>637448</v>
      </c>
      <c r="D16" s="2" t="n">
        <v>0.2</v>
      </c>
      <c r="E16" s="9" t="n">
        <f aca="false">IF(C16=0,"",B16/C16)</f>
        <v>0.00172406219801458</v>
      </c>
      <c r="F16" s="4" t="s">
        <v>43</v>
      </c>
      <c r="G16" s="3" t="s">
        <v>44</v>
      </c>
      <c r="H16" s="5" t="n">
        <v>46286</v>
      </c>
    </row>
    <row r="17" customFormat="false" ht="15" hidden="false" customHeight="false" outlineLevel="0" collapsed="false">
      <c r="A17" s="2" t="s">
        <v>59</v>
      </c>
      <c r="B17" s="7" t="n">
        <v>1091</v>
      </c>
      <c r="C17" s="7" t="n">
        <v>611147</v>
      </c>
      <c r="D17" s="2" t="n">
        <v>0.2</v>
      </c>
      <c r="E17" s="9" t="n">
        <f aca="false">IF(C17=0,"",B17/C17)</f>
        <v>0.00178516788923123</v>
      </c>
      <c r="F17" s="4" t="s">
        <v>43</v>
      </c>
      <c r="G17" s="3" t="s">
        <v>44</v>
      </c>
      <c r="H17" s="5" t="n">
        <v>46286</v>
      </c>
    </row>
    <row r="18" customFormat="false" ht="15" hidden="false" customHeight="false" outlineLevel="0" collapsed="false">
      <c r="A18" s="2" t="s">
        <v>60</v>
      </c>
      <c r="B18" s="7" t="n">
        <v>1237</v>
      </c>
      <c r="C18" s="7" t="n">
        <v>692777</v>
      </c>
      <c r="D18" s="2" t="n">
        <v>0.2</v>
      </c>
      <c r="E18" s="9" t="n">
        <f aca="false">IF(C18=0,"",B18/C18)</f>
        <v>0.00178556736150305</v>
      </c>
      <c r="F18" s="4" t="s">
        <v>43</v>
      </c>
      <c r="G18" s="3" t="s">
        <v>44</v>
      </c>
      <c r="H18" s="5" t="n">
        <v>46286</v>
      </c>
    </row>
    <row r="19" customFormat="false" ht="15" hidden="false" customHeight="false" outlineLevel="0" collapsed="false">
      <c r="A19" s="2" t="s">
        <v>61</v>
      </c>
      <c r="B19" s="7" t="n">
        <v>972</v>
      </c>
      <c r="C19" s="7" t="n">
        <v>607046</v>
      </c>
      <c r="D19" s="2" t="n">
        <v>0.2</v>
      </c>
      <c r="E19" s="9" t="n">
        <f aca="false">IF(C19=0,"",B19/C19)</f>
        <v>0.00160119661442461</v>
      </c>
      <c r="F19" s="4" t="s">
        <v>43</v>
      </c>
      <c r="G19" s="3" t="s">
        <v>44</v>
      </c>
      <c r="H19" s="5" t="n">
        <v>46286</v>
      </c>
    </row>
    <row r="20" customFormat="false" ht="15" hidden="false" customHeight="false" outlineLevel="0" collapsed="false">
      <c r="A20" s="2" t="s">
        <v>62</v>
      </c>
      <c r="B20" s="7" t="n">
        <v>808</v>
      </c>
      <c r="C20" s="7" t="n">
        <v>576127</v>
      </c>
      <c r="D20" s="2" t="n">
        <v>0.1</v>
      </c>
      <c r="E20" s="9" t="n">
        <f aca="false">IF(C20=0,"",B20/C20)</f>
        <v>0.00140246855294058</v>
      </c>
      <c r="F20" s="4" t="s">
        <v>43</v>
      </c>
      <c r="G20" s="3" t="s">
        <v>44</v>
      </c>
      <c r="H20" s="5" t="n">
        <v>46286</v>
      </c>
    </row>
    <row r="21" customFormat="false" ht="15" hidden="false" customHeight="false" outlineLevel="0" collapsed="false">
      <c r="A21" s="2" t="s">
        <v>63</v>
      </c>
      <c r="B21" s="7" t="n">
        <v>765</v>
      </c>
      <c r="C21" s="7" t="n">
        <v>567015</v>
      </c>
      <c r="D21" s="2" t="n">
        <v>0.1</v>
      </c>
      <c r="E21" s="9" t="n">
        <f aca="false">IF(C21=0,"",B21/C21)</f>
        <v>0.00134917065686093</v>
      </c>
      <c r="F21" s="4" t="s">
        <v>43</v>
      </c>
      <c r="G21" s="3" t="s">
        <v>44</v>
      </c>
      <c r="H21" s="5" t="n">
        <v>46286</v>
      </c>
    </row>
    <row r="22" customFormat="false" ht="15" hidden="false" customHeight="false" outlineLevel="0" collapsed="false">
      <c r="A22" s="2" t="s">
        <v>64</v>
      </c>
      <c r="B22" s="7" t="n">
        <v>872</v>
      </c>
      <c r="C22" s="7" t="n">
        <v>603996</v>
      </c>
      <c r="D22" s="2" t="n">
        <v>0.1</v>
      </c>
      <c r="E22" s="9" t="n">
        <f aca="false">IF(C22=0,"",B22/C22)</f>
        <v>0.00144371817031901</v>
      </c>
      <c r="F22" s="4" t="s">
        <v>43</v>
      </c>
      <c r="G22" s="3" t="s">
        <v>44</v>
      </c>
      <c r="H22" s="5" t="n">
        <v>46286</v>
      </c>
    </row>
    <row r="23" customFormat="false" ht="15" hidden="false" customHeight="false" outlineLevel="0" collapsed="false">
      <c r="A23" s="2" t="s">
        <v>65</v>
      </c>
      <c r="B23" s="7" t="n">
        <v>1195</v>
      </c>
      <c r="C23" s="7" t="n">
        <v>674993</v>
      </c>
      <c r="D23" s="2" t="n">
        <v>0.2</v>
      </c>
      <c r="E23" s="9" t="n">
        <f aca="false">IF(C23=0,"",B23/C23)</f>
        <v>0.0017703887299572</v>
      </c>
      <c r="F23" s="4" t="s">
        <v>43</v>
      </c>
      <c r="G23" s="3" t="s">
        <v>44</v>
      </c>
      <c r="H23" s="5" t="n">
        <v>46286</v>
      </c>
    </row>
    <row r="24" customFormat="false" ht="15" hidden="false" customHeight="false" outlineLevel="0" collapsed="false">
      <c r="A24" s="2" t="s">
        <v>66</v>
      </c>
      <c r="B24" s="7" t="n">
        <v>1197</v>
      </c>
      <c r="C24" s="7" t="n">
        <v>718036</v>
      </c>
      <c r="D24" s="2" t="n">
        <v>0.2</v>
      </c>
      <c r="E24" s="9" t="n">
        <f aca="false">IF(C24=0,"",B24/C24)</f>
        <v>0.00166704733467403</v>
      </c>
      <c r="F24" s="4" t="s">
        <v>43</v>
      </c>
      <c r="G24" s="3" t="s">
        <v>44</v>
      </c>
      <c r="H24" s="5" t="n">
        <v>46286</v>
      </c>
    </row>
    <row r="25" customFormat="false" ht="15" hidden="false" customHeight="false" outlineLevel="0" collapsed="false">
      <c r="A25" s="2" t="s">
        <v>67</v>
      </c>
      <c r="B25" s="7" t="n">
        <v>1164</v>
      </c>
      <c r="C25" s="7" t="n">
        <v>721004</v>
      </c>
      <c r="D25" s="2" t="n">
        <v>0.2</v>
      </c>
      <c r="E25" s="9" t="n">
        <f aca="false">IF(C25=0,"",B25/C25)</f>
        <v>0.0016144154540058</v>
      </c>
      <c r="F25" s="4" t="s">
        <v>43</v>
      </c>
      <c r="G25" s="3" t="s">
        <v>44</v>
      </c>
      <c r="H25" s="5" t="n">
        <v>46286</v>
      </c>
    </row>
    <row r="26" customFormat="false" ht="15" hidden="false" customHeight="false" outlineLevel="0" collapsed="false">
      <c r="A26" s="2" t="s">
        <v>68</v>
      </c>
      <c r="B26" s="7" t="n">
        <v>689</v>
      </c>
      <c r="C26" s="7" t="n">
        <v>565670</v>
      </c>
      <c r="D26" s="2" t="n">
        <v>0.1</v>
      </c>
      <c r="E26" s="9" t="n">
        <f aca="false">IF(C26=0,"",B26/C26)</f>
        <v>0.00121802464334329</v>
      </c>
      <c r="F26" s="4" t="s">
        <v>43</v>
      </c>
      <c r="G26" s="3" t="s">
        <v>44</v>
      </c>
      <c r="H26" s="5" t="n">
        <v>46286</v>
      </c>
    </row>
    <row r="27" customFormat="false" ht="15" hidden="false" customHeight="false" outlineLevel="0" collapsed="false">
      <c r="A27" s="2" t="s">
        <v>69</v>
      </c>
      <c r="B27" s="7" t="n">
        <v>529</v>
      </c>
      <c r="C27" s="7" t="n">
        <v>424773</v>
      </c>
      <c r="D27" s="2" t="n">
        <v>0.1</v>
      </c>
      <c r="E27" s="9" t="n">
        <f aca="false">IF(C27=0,"",B27/C27)</f>
        <v>0.00124537105701163</v>
      </c>
      <c r="F27" s="4" t="s">
        <v>43</v>
      </c>
      <c r="G27" s="3" t="s">
        <v>44</v>
      </c>
      <c r="H27" s="5" t="n">
        <v>46286</v>
      </c>
    </row>
    <row r="28" customFormat="false" ht="15" hidden="false" customHeight="false" outlineLevel="0" collapsed="false">
      <c r="A28" s="2" t="s">
        <v>70</v>
      </c>
      <c r="B28" s="7" t="n">
        <v>466</v>
      </c>
      <c r="C28" s="7" t="n">
        <v>393889</v>
      </c>
      <c r="D28" s="2" t="n">
        <v>0.1</v>
      </c>
      <c r="E28" s="9" t="n">
        <f aca="false">IF(C28=0,"",B28/C28)</f>
        <v>0.00118307441944304</v>
      </c>
      <c r="F28" s="4" t="s">
        <v>43</v>
      </c>
      <c r="G28" s="3" t="s">
        <v>44</v>
      </c>
      <c r="H28" s="5" t="n">
        <v>46286</v>
      </c>
    </row>
    <row r="29" customFormat="false" ht="15" hidden="false" customHeight="false" outlineLevel="0" collapsed="false">
      <c r="A29" s="2" t="s">
        <v>71</v>
      </c>
      <c r="B29" s="7" t="n">
        <v>651</v>
      </c>
      <c r="C29" s="7" t="n">
        <v>491457</v>
      </c>
      <c r="D29" s="2" t="n">
        <v>0.1</v>
      </c>
      <c r="E29" s="9" t="n">
        <f aca="false">IF(C29=0,"",B29/C29)</f>
        <v>0.00132463267386567</v>
      </c>
      <c r="F29" s="4" t="s">
        <v>43</v>
      </c>
      <c r="G29" s="3" t="s">
        <v>44</v>
      </c>
      <c r="H29" s="5" t="n">
        <v>46286</v>
      </c>
    </row>
    <row r="30" customFormat="false" ht="15" hidden="false" customHeight="false" outlineLevel="0" collapsed="false">
      <c r="A30" s="2" t="s">
        <v>72</v>
      </c>
      <c r="B30" s="7" t="n">
        <v>1137</v>
      </c>
      <c r="C30" s="7" t="n">
        <v>644919</v>
      </c>
      <c r="D30" s="2" t="n">
        <v>0.2</v>
      </c>
      <c r="E30" s="9" t="n">
        <f aca="false">IF(C30=0,"",B30/C30)</f>
        <v>0.00176301209919385</v>
      </c>
      <c r="F30" s="4" t="s">
        <v>43</v>
      </c>
      <c r="G30" s="3" t="s">
        <v>44</v>
      </c>
      <c r="H30" s="5" t="n">
        <v>46286</v>
      </c>
    </row>
    <row r="31" customFormat="false" ht="15" hidden="false" customHeight="false" outlineLevel="0" collapsed="false">
      <c r="A31" s="2" t="s">
        <v>73</v>
      </c>
      <c r="B31" s="7" t="n">
        <v>818</v>
      </c>
      <c r="C31" s="7" t="n">
        <v>565572</v>
      </c>
      <c r="D31" s="2" t="n">
        <v>0.1</v>
      </c>
      <c r="E31" s="9" t="n">
        <f aca="false">IF(C31=0,"",B31/C31)</f>
        <v>0.00144632336820069</v>
      </c>
      <c r="F31" s="4" t="s">
        <v>43</v>
      </c>
      <c r="G31" s="3" t="s">
        <v>44</v>
      </c>
      <c r="H31" s="5" t="n">
        <v>46286</v>
      </c>
    </row>
    <row r="32" customFormat="false" ht="15" hidden="false" customHeight="false" outlineLevel="0" collapsed="false">
      <c r="A32" s="2" t="s">
        <v>74</v>
      </c>
      <c r="B32" s="7" t="n">
        <v>693</v>
      </c>
      <c r="C32" s="7" t="n">
        <v>516120</v>
      </c>
      <c r="D32" s="2" t="n">
        <v>0.1</v>
      </c>
      <c r="E32" s="9" t="n">
        <f aca="false">IF(C32=0,"",B32/C32)</f>
        <v>0.00134271099744246</v>
      </c>
      <c r="F32" s="4" t="s">
        <v>43</v>
      </c>
      <c r="G32" s="3" t="s">
        <v>44</v>
      </c>
      <c r="H32" s="5" t="n">
        <v>46286</v>
      </c>
    </row>
    <row r="33" customFormat="false" ht="15" hidden="false" customHeight="false" outlineLevel="0" collapsed="false">
      <c r="A33" s="2" t="s">
        <v>75</v>
      </c>
      <c r="B33" s="7" t="n">
        <v>616</v>
      </c>
      <c r="C33" s="7" t="n">
        <v>481257</v>
      </c>
      <c r="D33" s="2" t="n">
        <v>0.1</v>
      </c>
      <c r="E33" s="9" t="n">
        <f aca="false">IF(C33=0,"",B33/C33)</f>
        <v>0.00127998138208899</v>
      </c>
      <c r="F33" s="4" t="s">
        <v>43</v>
      </c>
      <c r="G33" s="3" t="s">
        <v>44</v>
      </c>
      <c r="H33" s="5" t="n">
        <v>46286</v>
      </c>
    </row>
    <row r="34" customFormat="false" ht="15" hidden="false" customHeight="false" outlineLevel="0" collapsed="false">
      <c r="A34" s="2" t="s">
        <v>76</v>
      </c>
      <c r="B34" s="7" t="n">
        <v>776</v>
      </c>
      <c r="C34" s="7" t="n">
        <v>523918</v>
      </c>
      <c r="D34" s="2" t="n">
        <v>0.1</v>
      </c>
      <c r="E34" s="9" t="n">
        <f aca="false">IF(C34=0,"",B34/C34)</f>
        <v>0.00148114781320741</v>
      </c>
      <c r="F34" s="4" t="s">
        <v>43</v>
      </c>
      <c r="G34" s="3" t="s">
        <v>44</v>
      </c>
      <c r="H34" s="5" t="n">
        <v>46286</v>
      </c>
    </row>
    <row r="35" customFormat="false" ht="15" hidden="false" customHeight="false" outlineLevel="0" collapsed="false">
      <c r="A35" s="2" t="s">
        <v>77</v>
      </c>
      <c r="B35" s="7" t="n">
        <v>1081</v>
      </c>
      <c r="C35" s="7" t="n">
        <v>636221</v>
      </c>
      <c r="D35" s="2" t="n">
        <v>0.2</v>
      </c>
      <c r="E35" s="9" t="n">
        <f aca="false">IF(C35=0,"",B35/C35)</f>
        <v>0.00169909512575033</v>
      </c>
      <c r="F35" s="4" t="s">
        <v>43</v>
      </c>
      <c r="G35" s="3" t="s">
        <v>44</v>
      </c>
      <c r="H35" s="5" t="n">
        <v>46286</v>
      </c>
    </row>
    <row r="36" customFormat="false" ht="15" hidden="false" customHeight="false" outlineLevel="0" collapsed="false">
      <c r="A36" s="2" t="s">
        <v>78</v>
      </c>
      <c r="B36" s="7" t="n">
        <v>978</v>
      </c>
      <c r="C36" s="7" t="n">
        <v>616266</v>
      </c>
      <c r="D36" s="2" t="n">
        <v>0.2</v>
      </c>
      <c r="E36" s="9" t="n">
        <f aca="false">IF(C36=0,"",B36/C36)</f>
        <v>0.00158697705211711</v>
      </c>
      <c r="F36" s="4" t="s">
        <v>43</v>
      </c>
      <c r="G36" s="3" t="s">
        <v>44</v>
      </c>
      <c r="H36" s="5" t="n">
        <v>46286</v>
      </c>
    </row>
    <row r="37" customFormat="false" ht="15" hidden="false" customHeight="false" outlineLevel="0" collapsed="false">
      <c r="A37" s="2" t="s">
        <v>79</v>
      </c>
      <c r="B37" s="7" t="n">
        <v>723</v>
      </c>
      <c r="C37" s="7" t="n">
        <v>524868</v>
      </c>
      <c r="D37" s="2" t="n">
        <v>0.1</v>
      </c>
      <c r="E37" s="9" t="n">
        <f aca="false">IF(C37=0,"",B37/C37)</f>
        <v>0.00137748919728389</v>
      </c>
      <c r="F37" s="4" t="s">
        <v>43</v>
      </c>
      <c r="G37" s="3" t="s">
        <v>44</v>
      </c>
      <c r="H37" s="5" t="n">
        <v>46286</v>
      </c>
    </row>
    <row r="38" customFormat="false" ht="15" hidden="false" customHeight="false" outlineLevel="0" collapsed="false">
      <c r="A38" s="2" t="s">
        <v>80</v>
      </c>
      <c r="B38" s="7" t="n">
        <v>469</v>
      </c>
      <c r="C38" s="7" t="n">
        <v>467757</v>
      </c>
      <c r="D38" s="2" t="n">
        <v>0.1</v>
      </c>
      <c r="E38" s="9" t="n">
        <f aca="false">IF(C38=0,"",B38/C38)</f>
        <v>0.00100265736269046</v>
      </c>
      <c r="F38" s="4" t="s">
        <v>43</v>
      </c>
      <c r="G38" s="3" t="s">
        <v>44</v>
      </c>
      <c r="H38" s="5" t="n">
        <v>46286</v>
      </c>
    </row>
    <row r="39" customFormat="false" ht="15" hidden="false" customHeight="false" outlineLevel="0" collapsed="false">
      <c r="A39" s="2" t="s">
        <v>81</v>
      </c>
      <c r="B39" s="7" t="n">
        <v>572</v>
      </c>
      <c r="C39" s="7" t="n">
        <v>497267</v>
      </c>
      <c r="D39" s="2" t="n">
        <v>0.1</v>
      </c>
      <c r="E39" s="9" t="n">
        <f aca="false">IF(C39=0,"",B39/C39)</f>
        <v>0.00115028747131823</v>
      </c>
      <c r="F39" s="4" t="s">
        <v>43</v>
      </c>
      <c r="G39" s="3" t="s">
        <v>44</v>
      </c>
      <c r="H39" s="5" t="n">
        <v>46286</v>
      </c>
    </row>
    <row r="40" customFormat="false" ht="15" hidden="false" customHeight="false" outlineLevel="0" collapsed="false">
      <c r="A40" s="2" t="s">
        <v>82</v>
      </c>
      <c r="B40" s="7" t="n">
        <v>894</v>
      </c>
      <c r="C40" s="7" t="n">
        <v>591175</v>
      </c>
      <c r="D40" s="2" t="n">
        <v>0.2</v>
      </c>
      <c r="E40" s="9" t="n">
        <f aca="false">IF(C40=0,"",B40/C40)</f>
        <v>0.00151224256776758</v>
      </c>
      <c r="F40" s="4" t="s">
        <v>43</v>
      </c>
      <c r="G40" s="3" t="s">
        <v>44</v>
      </c>
      <c r="H40" s="5" t="n">
        <v>46286</v>
      </c>
    </row>
    <row r="41" customFormat="false" ht="15" hidden="false" customHeight="false" outlineLevel="0" collapsed="false">
      <c r="A41" s="2" t="s">
        <v>83</v>
      </c>
      <c r="B41" s="7" t="n">
        <v>968</v>
      </c>
      <c r="C41" s="7" t="n">
        <v>588975</v>
      </c>
      <c r="D41" s="2" t="n">
        <v>0.2</v>
      </c>
      <c r="E41" s="9" t="n">
        <f aca="false">IF(C41=0,"",B41/C41)</f>
        <v>0.00164353325692941</v>
      </c>
      <c r="F41" s="4" t="s">
        <v>43</v>
      </c>
      <c r="G41" s="3" t="s">
        <v>44</v>
      </c>
      <c r="H41" s="5" t="n">
        <v>46286</v>
      </c>
    </row>
    <row r="42" customFormat="false" ht="15" hidden="false" customHeight="false" outlineLevel="0" collapsed="false">
      <c r="A42" s="2" t="s">
        <v>84</v>
      </c>
      <c r="B42" s="7" t="n">
        <v>1009</v>
      </c>
      <c r="C42" s="7" t="n">
        <v>637607</v>
      </c>
      <c r="D42" s="2" t="n">
        <v>0.2</v>
      </c>
      <c r="E42" s="9" t="n">
        <f aca="false">IF(C42=0,"",B42/C42)</f>
        <v>0.00158247948971702</v>
      </c>
      <c r="F42" s="4" t="s">
        <v>43</v>
      </c>
      <c r="G42" s="3" t="s">
        <v>44</v>
      </c>
      <c r="H42" s="5" t="n">
        <v>46286</v>
      </c>
    </row>
    <row r="43" customFormat="false" ht="15" hidden="false" customHeight="false" outlineLevel="0" collapsed="false">
      <c r="A43" s="2" t="s">
        <v>85</v>
      </c>
      <c r="B43" s="7" t="n">
        <v>959</v>
      </c>
      <c r="C43" s="7" t="n">
        <v>582257</v>
      </c>
      <c r="D43" s="2" t="n">
        <v>0.2</v>
      </c>
      <c r="E43" s="9" t="n">
        <f aca="false">IF(C43=0,"",B43/C43)</f>
        <v>0.00164703902228741</v>
      </c>
      <c r="F43" s="4" t="s">
        <v>43</v>
      </c>
      <c r="G43" s="3" t="s">
        <v>44</v>
      </c>
      <c r="H43" s="5" t="n">
        <v>46286</v>
      </c>
    </row>
    <row r="44" customFormat="false" ht="15" hidden="false" customHeight="false" outlineLevel="0" collapsed="false">
      <c r="A44" s="2" t="s">
        <v>86</v>
      </c>
      <c r="B44" s="7" t="n">
        <v>900</v>
      </c>
      <c r="C44" s="7" t="n">
        <v>538825</v>
      </c>
      <c r="D44" s="2" t="n">
        <v>0.2</v>
      </c>
      <c r="E44" s="9" t="n">
        <f aca="false">IF(C44=0,"",B44/C44)</f>
        <v>0.0016703011181738</v>
      </c>
      <c r="F44" s="4" t="s">
        <v>43</v>
      </c>
      <c r="G44" s="3" t="s">
        <v>44</v>
      </c>
      <c r="H44" s="5" t="n">
        <v>46286</v>
      </c>
    </row>
    <row r="45" customFormat="false" ht="15" hidden="false" customHeight="false" outlineLevel="0" collapsed="false">
      <c r="A45" s="2" t="s">
        <v>87</v>
      </c>
      <c r="B45" s="7" t="n">
        <v>740</v>
      </c>
      <c r="C45" s="7" t="n">
        <v>504936</v>
      </c>
      <c r="D45" s="2" t="n">
        <v>0.1</v>
      </c>
      <c r="E45" s="9" t="n">
        <f aca="false">IF(C45=0,"",B45/C45)</f>
        <v>0.00146553226547523</v>
      </c>
      <c r="F45" s="4" t="s">
        <v>43</v>
      </c>
      <c r="G45" s="3" t="s">
        <v>44</v>
      </c>
      <c r="H45" s="5" t="n">
        <v>46286</v>
      </c>
    </row>
    <row r="46" customFormat="false" ht="15" hidden="false" customHeight="false" outlineLevel="0" collapsed="false">
      <c r="A46" s="2" t="s">
        <v>88</v>
      </c>
      <c r="B46" s="7" t="n">
        <v>1132</v>
      </c>
      <c r="C46" s="7" t="n">
        <v>618134</v>
      </c>
      <c r="D46" s="2" t="n">
        <v>0.2</v>
      </c>
      <c r="E46" s="9" t="n">
        <f aca="false">IF(C46=0,"",B46/C46)</f>
        <v>0.0018313181284317</v>
      </c>
      <c r="F46" s="4" t="s">
        <v>43</v>
      </c>
      <c r="G46" s="3" t="s">
        <v>44</v>
      </c>
      <c r="H46" s="5" t="n">
        <v>46286</v>
      </c>
    </row>
    <row r="47" customFormat="false" ht="15" hidden="false" customHeight="false" outlineLevel="0" collapsed="false">
      <c r="A47" s="2" t="s">
        <v>89</v>
      </c>
      <c r="B47" s="7" t="n">
        <v>1214</v>
      </c>
      <c r="C47" s="7" t="n">
        <v>725689</v>
      </c>
      <c r="D47" s="2" t="n">
        <v>0.2</v>
      </c>
      <c r="E47" s="9" t="n">
        <f aca="false">IF(C47=0,"",B47/C47)</f>
        <v>0.00167289293347426</v>
      </c>
      <c r="F47" s="4" t="s">
        <v>43</v>
      </c>
      <c r="G47" s="3" t="s">
        <v>44</v>
      </c>
      <c r="H47" s="5" t="n">
        <v>46286</v>
      </c>
    </row>
    <row r="48" customFormat="false" ht="15" hidden="false" customHeight="false" outlineLevel="0" collapsed="false">
      <c r="A48" s="2" t="s">
        <v>90</v>
      </c>
      <c r="B48" s="7" t="n">
        <v>1157</v>
      </c>
      <c r="C48" s="7" t="n">
        <v>696434</v>
      </c>
      <c r="D48" s="2" t="n">
        <v>0.2</v>
      </c>
      <c r="E48" s="9" t="n">
        <f aca="false">IF(C48=0,"",B48/C48)</f>
        <v>0.00166132038355393</v>
      </c>
      <c r="F48" s="4" t="s">
        <v>43</v>
      </c>
      <c r="G48" s="3" t="s">
        <v>44</v>
      </c>
      <c r="H48" s="5" t="n">
        <v>46286</v>
      </c>
    </row>
    <row r="49" customFormat="false" ht="15" hidden="false" customHeight="false" outlineLevel="0" collapsed="false">
      <c r="A49" s="2" t="s">
        <v>91</v>
      </c>
      <c r="B49" s="7" t="n">
        <v>853</v>
      </c>
      <c r="C49" s="7" t="n">
        <v>684255</v>
      </c>
      <c r="D49" s="2" t="n">
        <v>0.1</v>
      </c>
      <c r="E49" s="9" t="n">
        <f aca="false">IF(C49=0,"",B49/C49)</f>
        <v>0.00124661127795924</v>
      </c>
      <c r="F49" s="4" t="s">
        <v>43</v>
      </c>
      <c r="G49" s="3" t="s">
        <v>44</v>
      </c>
      <c r="H49" s="5" t="n">
        <v>46286</v>
      </c>
    </row>
    <row r="50" customFormat="false" ht="15" hidden="false" customHeight="false" outlineLevel="0" collapsed="false">
      <c r="A50" s="2" t="s">
        <v>92</v>
      </c>
      <c r="B50" s="7" t="n">
        <v>621</v>
      </c>
      <c r="C50" s="7" t="n">
        <v>622496</v>
      </c>
      <c r="D50" s="2" t="n">
        <v>0.1</v>
      </c>
      <c r="E50" s="9" t="n">
        <f aca="false">IF(C50=0,"",B50/C50)</f>
        <v>0.000997596771706164</v>
      </c>
      <c r="F50" s="4" t="s">
        <v>43</v>
      </c>
      <c r="G50" s="3" t="s">
        <v>44</v>
      </c>
      <c r="H50" s="5" t="n">
        <v>46286</v>
      </c>
    </row>
    <row r="51" customFormat="false" ht="15" hidden="false" customHeight="false" outlineLevel="0" collapsed="false">
      <c r="A51" s="2" t="s">
        <v>93</v>
      </c>
      <c r="B51" s="7" t="n">
        <v>518</v>
      </c>
      <c r="C51" s="7" t="n">
        <v>498646</v>
      </c>
      <c r="D51" s="2" t="n">
        <v>0.1</v>
      </c>
      <c r="E51" s="9" t="n">
        <f aca="false">IF(C51=0,"",B51/C51)</f>
        <v>0.00103881310589075</v>
      </c>
      <c r="F51" s="4" t="s">
        <v>43</v>
      </c>
      <c r="G51" s="3" t="s">
        <v>44</v>
      </c>
      <c r="H51" s="5" t="n">
        <v>46286</v>
      </c>
    </row>
    <row r="52" customFormat="false" ht="15" hidden="false" customHeight="false" outlineLevel="0" collapsed="false">
      <c r="A52" s="2" t="s">
        <v>94</v>
      </c>
      <c r="B52" s="7" t="n">
        <v>843</v>
      </c>
      <c r="C52" s="7" t="n">
        <v>592387</v>
      </c>
      <c r="D52" s="2" t="n">
        <v>0.1</v>
      </c>
      <c r="E52" s="9" t="n">
        <f aca="false">IF(C52=0,"",B52/C52)</f>
        <v>0.0014230562115644</v>
      </c>
      <c r="F52" s="4" t="s">
        <v>43</v>
      </c>
      <c r="G52" s="3" t="s">
        <v>44</v>
      </c>
      <c r="H52" s="5" t="n">
        <v>46286</v>
      </c>
    </row>
    <row r="53" customFormat="false" ht="15" hidden="false" customHeight="false" outlineLevel="0" collapsed="false">
      <c r="A53" s="2" t="s">
        <v>95</v>
      </c>
      <c r="B53" s="7" t="n">
        <v>1101</v>
      </c>
      <c r="C53" s="7" t="n">
        <v>682496</v>
      </c>
      <c r="D53" s="2" t="n">
        <v>0.2</v>
      </c>
      <c r="E53" s="9" t="n">
        <f aca="false">IF(C53=0,"",B53/C53)</f>
        <v>0.00161319626781695</v>
      </c>
      <c r="F53" s="4" t="s">
        <v>43</v>
      </c>
      <c r="G53" s="3" t="s">
        <v>44</v>
      </c>
      <c r="H53" s="5" t="n">
        <v>46286</v>
      </c>
    </row>
    <row r="54" customFormat="false" ht="15" hidden="false" customHeight="false" outlineLevel="0" collapsed="false">
      <c r="A54" s="2" t="s">
        <v>96</v>
      </c>
      <c r="B54" s="7" t="n">
        <v>1254</v>
      </c>
      <c r="C54" s="7" t="n">
        <v>762631</v>
      </c>
      <c r="D54" s="2" t="n">
        <v>0.2</v>
      </c>
      <c r="E54" s="9" t="n">
        <f aca="false">IF(C54=0,"",B54/C54)</f>
        <v>0.00164430766648615</v>
      </c>
      <c r="F54" s="4" t="s">
        <v>43</v>
      </c>
      <c r="G54" s="3" t="s">
        <v>44</v>
      </c>
      <c r="H54" s="5" t="n">
        <v>46286</v>
      </c>
    </row>
    <row r="55" customFormat="false" ht="15" hidden="false" customHeight="false" outlineLevel="0" collapsed="false">
      <c r="A55" s="2" t="s">
        <v>97</v>
      </c>
      <c r="B55" s="7" t="n">
        <v>1065</v>
      </c>
      <c r="C55" s="7" t="n">
        <v>661712</v>
      </c>
      <c r="D55" s="2" t="n">
        <v>0.2</v>
      </c>
      <c r="E55" s="9" t="n">
        <f aca="false">IF(C55=0,"",B55/C55)</f>
        <v>0.00160946151800179</v>
      </c>
      <c r="F55" s="4" t="s">
        <v>43</v>
      </c>
      <c r="G55" s="3" t="s">
        <v>44</v>
      </c>
      <c r="H55" s="5" t="n">
        <v>46286</v>
      </c>
    </row>
    <row r="56" customFormat="false" ht="15" hidden="false" customHeight="false" outlineLevel="0" collapsed="false">
      <c r="A56" s="2" t="s">
        <v>98</v>
      </c>
      <c r="B56" s="7" t="n">
        <v>928</v>
      </c>
      <c r="C56" s="7" t="n">
        <v>669231</v>
      </c>
      <c r="D56" s="2" t="n">
        <v>0.1</v>
      </c>
      <c r="E56" s="9" t="n">
        <f aca="false">IF(C56=0,"",B56/C56)</f>
        <v>0.00138666618850591</v>
      </c>
      <c r="F56" s="4" t="s">
        <v>43</v>
      </c>
      <c r="G56" s="3" t="s">
        <v>44</v>
      </c>
      <c r="H56" s="5" t="n">
        <v>46286</v>
      </c>
    </row>
    <row r="57" customFormat="false" ht="15" hidden="false" customHeight="false" outlineLevel="0" collapsed="false">
      <c r="A57" s="2" t="s">
        <v>99</v>
      </c>
      <c r="B57" s="7" t="n">
        <v>797</v>
      </c>
      <c r="C57" s="7" t="n">
        <v>608804</v>
      </c>
      <c r="D57" s="2" t="n">
        <v>0.1</v>
      </c>
      <c r="E57" s="9" t="n">
        <f aca="false">IF(C57=0,"",B57/C57)</f>
        <v>0.001309124118764</v>
      </c>
      <c r="F57" s="4" t="s">
        <v>43</v>
      </c>
      <c r="G57" s="3" t="s">
        <v>44</v>
      </c>
      <c r="H57" s="5" t="n">
        <v>46286</v>
      </c>
    </row>
    <row r="58" customFormat="false" ht="15" hidden="false" customHeight="false" outlineLevel="0" collapsed="false">
      <c r="A58" s="2" t="s">
        <v>100</v>
      </c>
      <c r="B58" s="7" t="n">
        <v>949</v>
      </c>
      <c r="C58" s="7" t="n">
        <v>650901</v>
      </c>
      <c r="D58" s="2" t="n">
        <v>0.1</v>
      </c>
      <c r="E58" s="9" t="n">
        <f aca="false">IF(C58=0,"",B58/C58)</f>
        <v>0.00145797901677828</v>
      </c>
      <c r="F58" s="4" t="s">
        <v>43</v>
      </c>
      <c r="G58" s="3" t="s">
        <v>44</v>
      </c>
      <c r="H58" s="5" t="n">
        <v>46286</v>
      </c>
    </row>
    <row r="59" customFormat="false" ht="15" hidden="false" customHeight="false" outlineLevel="0" collapsed="false">
      <c r="A59" s="2" t="s">
        <v>101</v>
      </c>
      <c r="B59" s="7" t="n">
        <v>1238</v>
      </c>
      <c r="C59" s="7" t="n">
        <v>781869</v>
      </c>
      <c r="D59" s="2" t="n">
        <v>0.2</v>
      </c>
      <c r="E59" s="9" t="n">
        <f aca="false">IF(C59=0,"",B59/C59)</f>
        <v>0.00158338545203864</v>
      </c>
      <c r="F59" s="4" t="s">
        <v>43</v>
      </c>
      <c r="G59" s="3" t="s">
        <v>44</v>
      </c>
      <c r="H59" s="5" t="n">
        <v>46286</v>
      </c>
    </row>
    <row r="60" customFormat="false" ht="15" hidden="false" customHeight="false" outlineLevel="0" collapsed="false">
      <c r="A60" s="2" t="s">
        <v>102</v>
      </c>
      <c r="B60" s="7" t="n">
        <v>1115</v>
      </c>
      <c r="C60" s="7" t="n">
        <v>698144</v>
      </c>
      <c r="D60" s="2" t="n">
        <v>0.2</v>
      </c>
      <c r="E60" s="9" t="n">
        <f aca="false">IF(C60=0,"",B60/C60)</f>
        <v>0.00159709171746803</v>
      </c>
      <c r="F60" s="4" t="s">
        <v>43</v>
      </c>
      <c r="G60" s="3" t="s">
        <v>44</v>
      </c>
      <c r="H60" s="5" t="n">
        <v>46286</v>
      </c>
    </row>
    <row r="61" customFormat="false" ht="15" hidden="false" customHeight="false" outlineLevel="0" collapsed="false">
      <c r="A61" s="2" t="s">
        <v>103</v>
      </c>
      <c r="B61" s="7" t="n">
        <v>933</v>
      </c>
      <c r="C61" s="7" t="n">
        <v>770109</v>
      </c>
      <c r="D61" s="2" t="n">
        <v>0.1</v>
      </c>
      <c r="E61" s="9" t="n">
        <f aca="false">IF(C61=0,"",B61/C61)</f>
        <v>0.00121151681125659</v>
      </c>
      <c r="F61" s="4" t="s">
        <v>43</v>
      </c>
      <c r="G61" s="3" t="s">
        <v>44</v>
      </c>
      <c r="H61" s="5" t="n">
        <v>46286</v>
      </c>
    </row>
    <row r="62" customFormat="false" ht="15" hidden="false" customHeight="false" outlineLevel="0" collapsed="false">
      <c r="A62" s="2" t="s">
        <v>104</v>
      </c>
      <c r="B62" s="7" t="n">
        <v>526</v>
      </c>
      <c r="C62" s="7" t="n">
        <v>610343</v>
      </c>
      <c r="D62" s="2" t="n">
        <v>0.1</v>
      </c>
      <c r="E62" s="9" t="n">
        <f aca="false">IF(C62=0,"",B62/C62)</f>
        <v>0.000861810490167005</v>
      </c>
      <c r="F62" s="4" t="s">
        <v>43</v>
      </c>
      <c r="G62" s="3" t="s">
        <v>44</v>
      </c>
      <c r="H62" s="5" t="n">
        <v>46286</v>
      </c>
    </row>
    <row r="63" customFormat="false" ht="15" hidden="false" customHeight="false" outlineLevel="0" collapsed="false">
      <c r="A63" s="2" t="s">
        <v>105</v>
      </c>
      <c r="B63" s="7" t="n">
        <v>565</v>
      </c>
      <c r="C63" s="7" t="n">
        <v>577071</v>
      </c>
      <c r="D63" s="2" t="n">
        <v>0.1</v>
      </c>
      <c r="E63" s="9" t="n">
        <f aca="false">IF(C63=0,"",B63/C63)</f>
        <v>0.000979082296632477</v>
      </c>
      <c r="F63" s="4" t="s">
        <v>43</v>
      </c>
      <c r="G63" s="3" t="s">
        <v>44</v>
      </c>
      <c r="H63" s="5" t="n">
        <v>46286</v>
      </c>
    </row>
    <row r="64" customFormat="false" ht="15" hidden="false" customHeight="false" outlineLevel="0" collapsed="false">
      <c r="A64" s="2" t="s">
        <v>106</v>
      </c>
      <c r="B64" s="7" t="n">
        <v>978</v>
      </c>
      <c r="C64" s="7" t="n">
        <v>668955</v>
      </c>
      <c r="D64" s="2" t="n">
        <v>0.1</v>
      </c>
      <c r="E64" s="9" t="n">
        <f aca="false">IF(C64=0,"",B64/C64)</f>
        <v>0.00146198174765119</v>
      </c>
      <c r="F64" s="4" t="s">
        <v>43</v>
      </c>
      <c r="G64" s="3" t="s">
        <v>44</v>
      </c>
      <c r="H64" s="5" t="n">
        <v>46286</v>
      </c>
    </row>
    <row r="65" customFormat="false" ht="15" hidden="false" customHeight="false" outlineLevel="0" collapsed="false">
      <c r="A65" s="2" t="s">
        <v>107</v>
      </c>
      <c r="B65" s="7" t="n">
        <v>903</v>
      </c>
      <c r="C65" s="7" t="n">
        <v>666255</v>
      </c>
      <c r="D65" s="2" t="n">
        <v>0.1</v>
      </c>
      <c r="E65" s="9" t="n">
        <f aca="false">IF(C65=0,"",B65/C65)</f>
        <v>0.00135533692054844</v>
      </c>
      <c r="F65" s="4" t="s">
        <v>43</v>
      </c>
      <c r="G65" s="3" t="s">
        <v>44</v>
      </c>
      <c r="H65" s="5" t="n">
        <v>46286</v>
      </c>
    </row>
    <row r="66" customFormat="false" ht="15" hidden="false" customHeight="false" outlineLevel="0" collapsed="false">
      <c r="A66" s="2" t="s">
        <v>108</v>
      </c>
      <c r="B66" s="7" t="n">
        <v>1009</v>
      </c>
      <c r="C66" s="7" t="n">
        <v>719541</v>
      </c>
      <c r="D66" s="2" t="n">
        <v>0.1</v>
      </c>
      <c r="E66" s="9" t="n">
        <f aca="false">IF(C66=0,"",B66/C66)</f>
        <v>0.00140228284420207</v>
      </c>
      <c r="F66" s="4" t="s">
        <v>43</v>
      </c>
      <c r="G66" s="3" t="s">
        <v>44</v>
      </c>
      <c r="H66" s="5" t="n">
        <v>46286</v>
      </c>
    </row>
    <row r="67" customFormat="false" ht="15" hidden="false" customHeight="false" outlineLevel="0" collapsed="false">
      <c r="A67" s="2" t="s">
        <v>109</v>
      </c>
      <c r="B67" s="7" t="n">
        <v>851</v>
      </c>
      <c r="C67" s="7" t="n">
        <v>647231</v>
      </c>
      <c r="D67" s="2" t="n">
        <v>0.1</v>
      </c>
      <c r="E67" s="9" t="n">
        <f aca="false">IF(C67=0,"",B67/C67)</f>
        <v>0.00131483195335205</v>
      </c>
      <c r="F67" s="4" t="s">
        <v>43</v>
      </c>
      <c r="G67" s="3" t="s">
        <v>44</v>
      </c>
      <c r="H67" s="5" t="n">
        <v>46286</v>
      </c>
    </row>
    <row r="68" customFormat="false" ht="15" hidden="false" customHeight="false" outlineLevel="0" collapsed="false">
      <c r="A68" s="2" t="s">
        <v>110</v>
      </c>
      <c r="B68" s="7" t="n">
        <v>683</v>
      </c>
      <c r="C68" s="7" t="n">
        <v>644899</v>
      </c>
      <c r="D68" s="2" t="n">
        <v>0.1</v>
      </c>
      <c r="E68" s="9" t="n">
        <f aca="false">IF(C68=0,"",B68/C68)</f>
        <v>0.00105908056920541</v>
      </c>
      <c r="F68" s="4" t="s">
        <v>43</v>
      </c>
      <c r="G68" s="3" t="s">
        <v>44</v>
      </c>
      <c r="H68" s="5" t="n">
        <v>46286</v>
      </c>
    </row>
    <row r="69" customFormat="false" ht="15" hidden="false" customHeight="false" outlineLevel="0" collapsed="false">
      <c r="A69" s="2" t="s">
        <v>111</v>
      </c>
      <c r="B69" s="7" t="n">
        <v>604</v>
      </c>
      <c r="C69" s="7" t="n">
        <v>575318</v>
      </c>
      <c r="D69" s="2" t="n">
        <v>0.1</v>
      </c>
      <c r="E69" s="9" t="n">
        <f aca="false">IF(C69=0,"",B69/C69)</f>
        <v>0.00104985416760818</v>
      </c>
      <c r="F69" s="4" t="s">
        <v>43</v>
      </c>
      <c r="G69" s="3" t="s">
        <v>44</v>
      </c>
      <c r="H69" s="5" t="n">
        <v>46286</v>
      </c>
    </row>
    <row r="70" customFormat="false" ht="15" hidden="false" customHeight="false" outlineLevel="0" collapsed="false">
      <c r="A70" s="2" t="s">
        <v>112</v>
      </c>
      <c r="B70" s="7" t="n">
        <v>790</v>
      </c>
      <c r="C70" s="7" t="n">
        <v>624685</v>
      </c>
      <c r="D70" s="2" t="n">
        <v>0.1</v>
      </c>
      <c r="E70" s="9" t="n">
        <f aca="false">IF(C70=0,"",B70/C70)</f>
        <v>0.00126463737723813</v>
      </c>
      <c r="F70" s="4" t="s">
        <v>43</v>
      </c>
      <c r="G70" s="3" t="s">
        <v>44</v>
      </c>
      <c r="H70" s="5" t="n">
        <v>46286</v>
      </c>
    </row>
    <row r="71" customFormat="false" ht="15" hidden="false" customHeight="false" outlineLevel="0" collapsed="false">
      <c r="A71" s="2" t="s">
        <v>113</v>
      </c>
      <c r="B71" s="7" t="n">
        <v>1262</v>
      </c>
      <c r="C71" s="7" t="n">
        <v>715316</v>
      </c>
      <c r="D71" s="2" t="n">
        <v>0.2</v>
      </c>
      <c r="E71" s="9" t="n">
        <f aca="false">IF(C71=0,"",B71/C71)</f>
        <v>0.00176425523824436</v>
      </c>
      <c r="F71" s="4" t="s">
        <v>43</v>
      </c>
      <c r="G71" s="3" t="s">
        <v>44</v>
      </c>
      <c r="H71" s="5" t="n">
        <v>46286</v>
      </c>
    </row>
    <row r="72" customFormat="false" ht="15" hidden="false" customHeight="false" outlineLevel="0" collapsed="false">
      <c r="A72" s="2" t="s">
        <v>114</v>
      </c>
      <c r="B72" s="7" t="n">
        <v>1041</v>
      </c>
      <c r="C72" s="7" t="n">
        <v>695656</v>
      </c>
      <c r="D72" s="2" t="n">
        <v>0.1</v>
      </c>
      <c r="E72" s="9" t="n">
        <f aca="false">IF(C72=0,"",B72/C72)</f>
        <v>0.00149642926963902</v>
      </c>
      <c r="F72" s="4" t="s">
        <v>43</v>
      </c>
      <c r="G72" s="3" t="s">
        <v>44</v>
      </c>
      <c r="H72" s="5" t="n">
        <v>46286</v>
      </c>
    </row>
    <row r="73" customFormat="false" ht="15" hidden="false" customHeight="false" outlineLevel="0" collapsed="false">
      <c r="A73" s="2" t="s">
        <v>115</v>
      </c>
      <c r="B73" s="7" t="n">
        <v>900</v>
      </c>
      <c r="C73" s="7" t="n">
        <v>750830</v>
      </c>
      <c r="D73" s="2" t="n">
        <v>0.1</v>
      </c>
      <c r="E73" s="9" t="n">
        <f aca="false">IF(C73=0,"",B73/C73)</f>
        <v>0.00119867346802871</v>
      </c>
      <c r="F73" s="4" t="s">
        <v>43</v>
      </c>
      <c r="G73" s="3" t="s">
        <v>44</v>
      </c>
      <c r="H73" s="5" t="n">
        <v>46286</v>
      </c>
    </row>
    <row r="74" customFormat="false" ht="15" hidden="false" customHeight="false" outlineLevel="0" collapsed="false">
      <c r="A74" s="2" t="s">
        <v>116</v>
      </c>
      <c r="B74" s="7" t="n">
        <v>575</v>
      </c>
      <c r="C74" s="7" t="n">
        <v>588058</v>
      </c>
      <c r="D74" s="2" t="n">
        <v>0.1</v>
      </c>
      <c r="E74" s="9" t="n">
        <f aca="false">IF(C74=0,"",B74/C74)</f>
        <v>0.000977794707324788</v>
      </c>
      <c r="F74" s="4" t="s">
        <v>43</v>
      </c>
      <c r="G74" s="3" t="s">
        <v>44</v>
      </c>
      <c r="H74" s="5" t="n">
        <v>46286</v>
      </c>
    </row>
    <row r="75" customFormat="false" ht="15" hidden="false" customHeight="false" outlineLevel="0" collapsed="false">
      <c r="A75" s="2" t="s">
        <v>117</v>
      </c>
      <c r="B75" s="7" t="n">
        <v>661</v>
      </c>
      <c r="C75" s="7" t="n">
        <v>585128</v>
      </c>
      <c r="D75" s="2" t="n">
        <v>0.1</v>
      </c>
      <c r="E75" s="9" t="n">
        <f aca="false">IF(C75=0,"",B75/C75)</f>
        <v>0.00112966735483518</v>
      </c>
      <c r="F75" s="4" t="s">
        <v>43</v>
      </c>
      <c r="G75" s="3" t="s">
        <v>44</v>
      </c>
      <c r="H75" s="5" t="n">
        <v>46286</v>
      </c>
    </row>
    <row r="76" customFormat="false" ht="15" hidden="false" customHeight="false" outlineLevel="0" collapsed="false">
      <c r="A76" s="2" t="s">
        <v>118</v>
      </c>
      <c r="B76" s="7" t="n">
        <v>884</v>
      </c>
      <c r="C76" s="7" t="n">
        <v>673635</v>
      </c>
      <c r="D76" s="2" t="n">
        <v>0.1</v>
      </c>
      <c r="E76" s="9" t="n">
        <f aca="false">IF(C76=0,"",B76/C76)</f>
        <v>0.00131228335819843</v>
      </c>
      <c r="F76" s="4" t="s">
        <v>43</v>
      </c>
      <c r="G76" s="3" t="s">
        <v>44</v>
      </c>
      <c r="H76" s="5" t="n">
        <v>46286</v>
      </c>
    </row>
    <row r="77" customFormat="false" ht="15" hidden="false" customHeight="false" outlineLevel="0" collapsed="false">
      <c r="A77" s="2" t="s">
        <v>119</v>
      </c>
      <c r="B77" s="7" t="n">
        <v>1033</v>
      </c>
      <c r="C77" s="7" t="n">
        <v>668463</v>
      </c>
      <c r="D77" s="2" t="n">
        <v>0.2</v>
      </c>
      <c r="E77" s="9" t="n">
        <f aca="false">IF(C77=0,"",B77/C77)</f>
        <v>0.00154533609190037</v>
      </c>
      <c r="F77" s="4" t="s">
        <v>43</v>
      </c>
      <c r="G77" s="3" t="s">
        <v>44</v>
      </c>
      <c r="H77" s="5" t="n">
        <v>46286</v>
      </c>
    </row>
    <row r="78" customFormat="false" ht="15" hidden="false" customHeight="false" outlineLevel="0" collapsed="false">
      <c r="A78" s="2" t="s">
        <v>120</v>
      </c>
      <c r="B78" s="7" t="n">
        <v>1264</v>
      </c>
      <c r="C78" s="7" t="n">
        <v>696796</v>
      </c>
      <c r="D78" s="2" t="n">
        <v>0.2</v>
      </c>
      <c r="E78" s="9" t="n">
        <f aca="false">IF(C78=0,"",B78/C78)</f>
        <v>0.0018140173020511</v>
      </c>
      <c r="F78" s="4" t="s">
        <v>43</v>
      </c>
      <c r="G78" s="3" t="s">
        <v>44</v>
      </c>
      <c r="H78" s="5" t="n">
        <v>46286</v>
      </c>
    </row>
    <row r="79" customFormat="false" ht="15" hidden="false" customHeight="false" outlineLevel="0" collapsed="false">
      <c r="A79" s="2" t="s">
        <v>121</v>
      </c>
      <c r="B79" s="7" t="n">
        <v>921</v>
      </c>
      <c r="C79" s="7" t="n">
        <v>668934</v>
      </c>
      <c r="D79" s="2" t="n">
        <v>0.1</v>
      </c>
      <c r="E79" s="9" t="n">
        <f aca="false">IF(C79=0,"",B79/C79)</f>
        <v>0.00137681744387339</v>
      </c>
      <c r="F79" s="4" t="s">
        <v>43</v>
      </c>
      <c r="G79" s="3" t="s">
        <v>44</v>
      </c>
      <c r="H79" s="5" t="n">
        <v>46286</v>
      </c>
    </row>
    <row r="80" customFormat="false" ht="15" hidden="false" customHeight="false" outlineLevel="0" collapsed="false">
      <c r="A80" s="2" t="s">
        <v>122</v>
      </c>
      <c r="B80" s="7" t="n">
        <v>733</v>
      </c>
      <c r="C80" s="7" t="n">
        <v>600192</v>
      </c>
      <c r="D80" s="2" t="n">
        <v>0.1</v>
      </c>
      <c r="E80" s="9" t="n">
        <f aca="false">IF(C80=0,"",B80/C80)</f>
        <v>0.00122127585839198</v>
      </c>
      <c r="F80" s="4" t="s">
        <v>43</v>
      </c>
      <c r="G80" s="3" t="s">
        <v>44</v>
      </c>
      <c r="H80" s="5" t="n">
        <v>46286</v>
      </c>
    </row>
    <row r="81" customFormat="false" ht="15" hidden="false" customHeight="false" outlineLevel="0" collapsed="false">
      <c r="A81" s="2" t="s">
        <v>123</v>
      </c>
      <c r="B81" s="7" t="n">
        <v>693</v>
      </c>
      <c r="C81" s="7" t="n">
        <v>584654</v>
      </c>
      <c r="D81" s="2" t="n">
        <v>0.1</v>
      </c>
      <c r="E81" s="9" t="n">
        <f aca="false">IF(C81=0,"",B81/C81)</f>
        <v>0.00118531644357175</v>
      </c>
      <c r="F81" s="4" t="s">
        <v>43</v>
      </c>
      <c r="G81" s="3" t="s">
        <v>44</v>
      </c>
      <c r="H81" s="5" t="n">
        <v>46286</v>
      </c>
    </row>
    <row r="82" customFormat="false" ht="15" hidden="false" customHeight="false" outlineLevel="0" collapsed="false">
      <c r="A82" s="2" t="s">
        <v>124</v>
      </c>
      <c r="B82" s="7" t="n">
        <v>913</v>
      </c>
      <c r="C82" s="7" t="n">
        <v>609816</v>
      </c>
      <c r="D82" s="2" t="n">
        <v>0.1</v>
      </c>
      <c r="E82" s="9" t="n">
        <f aca="false">IF(C82=0,"",B82/C82)</f>
        <v>0.00149717291773256</v>
      </c>
      <c r="F82" s="4" t="s">
        <v>43</v>
      </c>
      <c r="G82" s="3" t="s">
        <v>44</v>
      </c>
      <c r="H82" s="5" t="n">
        <v>46286</v>
      </c>
    </row>
    <row r="83" customFormat="false" ht="15" hidden="false" customHeight="false" outlineLevel="0" collapsed="false">
      <c r="A83" s="2" t="s">
        <v>125</v>
      </c>
      <c r="B83" s="7" t="n">
        <v>1097</v>
      </c>
      <c r="C83" s="7" t="n">
        <v>685336</v>
      </c>
      <c r="D83" s="2" t="n">
        <v>0.2</v>
      </c>
      <c r="E83" s="9" t="n">
        <f aca="false">IF(C83=0,"",B83/C83)</f>
        <v>0.00160067470554589</v>
      </c>
      <c r="F83" s="4" t="s">
        <v>43</v>
      </c>
      <c r="G83" s="3" t="s">
        <v>44</v>
      </c>
      <c r="H83" s="5" t="n">
        <v>46286</v>
      </c>
    </row>
    <row r="84" customFormat="false" ht="15" hidden="false" customHeight="false" outlineLevel="0" collapsed="false">
      <c r="A84" s="2" t="s">
        <v>126</v>
      </c>
      <c r="B84" s="7" t="n">
        <v>1033</v>
      </c>
      <c r="C84" s="7" t="n">
        <v>686712</v>
      </c>
      <c r="D84" s="2" t="n">
        <v>0.2</v>
      </c>
      <c r="E84" s="9" t="n">
        <f aca="false">IF(C84=0,"",B84/C84)</f>
        <v>0.00150426962103473</v>
      </c>
      <c r="F84" s="4" t="s">
        <v>43</v>
      </c>
      <c r="G84" s="3" t="s">
        <v>44</v>
      </c>
      <c r="H84" s="5" t="n">
        <v>46286</v>
      </c>
    </row>
    <row r="85" customFormat="false" ht="15" hidden="false" customHeight="false" outlineLevel="0" collapsed="false">
      <c r="A85" s="2" t="s">
        <v>127</v>
      </c>
      <c r="B85" s="7" t="n">
        <v>862</v>
      </c>
      <c r="C85" s="7" t="n">
        <v>743781</v>
      </c>
      <c r="D85" s="2" t="n">
        <v>0.1</v>
      </c>
      <c r="E85" s="9" t="n">
        <f aca="false">IF(C85=0,"",B85/C85)</f>
        <v>0.00115894329110316</v>
      </c>
      <c r="F85" s="4" t="s">
        <v>43</v>
      </c>
      <c r="G85" s="3" t="s">
        <v>44</v>
      </c>
      <c r="H85" s="5" t="n">
        <v>46286</v>
      </c>
    </row>
    <row r="86" customFormat="false" ht="15" hidden="false" customHeight="false" outlineLevel="0" collapsed="false">
      <c r="A86" s="2" t="s">
        <v>128</v>
      </c>
      <c r="B86" s="7" t="n">
        <v>505</v>
      </c>
      <c r="C86" s="7" t="n">
        <v>605595</v>
      </c>
      <c r="D86" s="2" t="n">
        <v>0.1</v>
      </c>
      <c r="E86" s="9" t="n">
        <f aca="false">IF(C86=0,"",B86/C86)</f>
        <v>0.000833890636481477</v>
      </c>
      <c r="F86" s="4" t="s">
        <v>43</v>
      </c>
      <c r="G86" s="3" t="s">
        <v>44</v>
      </c>
      <c r="H86" s="5" t="n">
        <v>46286</v>
      </c>
    </row>
    <row r="87" customFormat="false" ht="15" hidden="false" customHeight="false" outlineLevel="0" collapsed="false">
      <c r="A87" s="2" t="s">
        <v>129</v>
      </c>
      <c r="B87" s="7" t="n">
        <v>456</v>
      </c>
      <c r="C87" s="7" t="n">
        <v>530778</v>
      </c>
      <c r="D87" s="2" t="n">
        <v>0.1</v>
      </c>
      <c r="E87" s="9" t="n">
        <f aca="false">IF(C87=0,"",B87/C87)</f>
        <v>0.000859116240688197</v>
      </c>
      <c r="F87" s="4" t="s">
        <v>43</v>
      </c>
      <c r="G87" s="3" t="s">
        <v>44</v>
      </c>
      <c r="H87" s="5" t="n">
        <v>46286</v>
      </c>
    </row>
    <row r="88" customFormat="false" ht="15" hidden="false" customHeight="false" outlineLevel="0" collapsed="false">
      <c r="A88" s="2" t="s">
        <v>130</v>
      </c>
      <c r="B88" s="7" t="n">
        <v>715</v>
      </c>
      <c r="C88" s="7" t="n">
        <v>626429</v>
      </c>
      <c r="D88" s="2" t="n">
        <v>0.1</v>
      </c>
      <c r="E88" s="9" t="n">
        <f aca="false">IF(C88=0,"",B88/C88)</f>
        <v>0.00114139032516055</v>
      </c>
      <c r="F88" s="4" t="s">
        <v>43</v>
      </c>
      <c r="G88" s="3" t="s">
        <v>44</v>
      </c>
      <c r="H88" s="5" t="n">
        <v>46286</v>
      </c>
    </row>
    <row r="89" customFormat="false" ht="15" hidden="false" customHeight="false" outlineLevel="0" collapsed="false">
      <c r="A89" s="2" t="s">
        <v>131</v>
      </c>
      <c r="B89" s="7" t="n">
        <v>726</v>
      </c>
      <c r="C89" s="7" t="n">
        <v>574769</v>
      </c>
      <c r="D89" s="2" t="n">
        <v>0.1</v>
      </c>
      <c r="E89" s="9" t="n">
        <f aca="false">IF(C89=0,"",B89/C89)</f>
        <v>0.00126311613883143</v>
      </c>
      <c r="F89" s="4" t="s">
        <v>43</v>
      </c>
      <c r="G89" s="3" t="s">
        <v>44</v>
      </c>
      <c r="H89" s="5" t="n">
        <v>46286</v>
      </c>
    </row>
    <row r="90" customFormat="false" ht="15" hidden="false" customHeight="false" outlineLevel="0" collapsed="false">
      <c r="A90" s="2" t="s">
        <v>132</v>
      </c>
      <c r="B90" s="7" t="n">
        <v>1001</v>
      </c>
      <c r="C90" s="7" t="n">
        <v>682499</v>
      </c>
      <c r="D90" s="2" t="n">
        <v>0.1</v>
      </c>
      <c r="E90" s="9" t="n">
        <f aca="false">IF(C90=0,"",B90/C90)</f>
        <v>0.00146666881563196</v>
      </c>
      <c r="F90" s="4" t="s">
        <v>43</v>
      </c>
      <c r="G90" s="3" t="s">
        <v>44</v>
      </c>
      <c r="H90" s="5" t="n">
        <v>46286</v>
      </c>
    </row>
    <row r="91" customFormat="false" ht="15" hidden="false" customHeight="false" outlineLevel="0" collapsed="false">
      <c r="A91" s="2" t="s">
        <v>133</v>
      </c>
      <c r="B91" s="7" t="n">
        <v>834</v>
      </c>
      <c r="C91" s="7" t="n">
        <v>627702</v>
      </c>
      <c r="D91" s="2" t="n">
        <v>0.1</v>
      </c>
      <c r="E91" s="9" t="n">
        <f aca="false">IF(C91=0,"",B91/C91)</f>
        <v>0.00132865595457717</v>
      </c>
      <c r="F91" s="4" t="s">
        <v>43</v>
      </c>
      <c r="G91" s="3" t="s">
        <v>44</v>
      </c>
      <c r="H91" s="5" t="n">
        <v>46286</v>
      </c>
    </row>
    <row r="92" customFormat="false" ht="15" hidden="false" customHeight="false" outlineLevel="0" collapsed="false">
      <c r="A92" s="2" t="s">
        <v>134</v>
      </c>
      <c r="B92" s="7" t="n">
        <v>721</v>
      </c>
      <c r="C92" s="7" t="n">
        <v>600599</v>
      </c>
      <c r="D92" s="2" t="n">
        <v>0.1</v>
      </c>
      <c r="E92" s="9" t="n">
        <f aca="false">IF(C92=0,"",B92/C92)</f>
        <v>0.00120046819924775</v>
      </c>
      <c r="F92" s="4" t="s">
        <v>43</v>
      </c>
      <c r="G92" s="3" t="s">
        <v>44</v>
      </c>
      <c r="H92" s="5" t="n">
        <v>46286</v>
      </c>
    </row>
    <row r="93" customFormat="false" ht="15" hidden="false" customHeight="false" outlineLevel="0" collapsed="false">
      <c r="A93" s="2" t="s">
        <v>135</v>
      </c>
      <c r="B93" s="7" t="n">
        <v>643</v>
      </c>
      <c r="C93" s="7" t="n">
        <v>579721</v>
      </c>
      <c r="D93" s="2" t="n">
        <v>0.1</v>
      </c>
      <c r="E93" s="9" t="n">
        <f aca="false">IF(C93=0,"",B93/C93)</f>
        <v>0.00110915423108702</v>
      </c>
      <c r="F93" s="4" t="s">
        <v>43</v>
      </c>
      <c r="G93" s="3" t="s">
        <v>44</v>
      </c>
      <c r="H93" s="5" t="n">
        <v>46286</v>
      </c>
    </row>
    <row r="94" customFormat="false" ht="15" hidden="false" customHeight="false" outlineLevel="0" collapsed="false">
      <c r="A94" s="2" t="s">
        <v>136</v>
      </c>
      <c r="B94" s="7" t="n">
        <v>766</v>
      </c>
      <c r="C94" s="7" t="n">
        <v>591325</v>
      </c>
      <c r="D94" s="2" t="n">
        <v>0.1</v>
      </c>
      <c r="E94" s="9" t="n">
        <f aca="false">IF(C94=0,"",B94/C94)</f>
        <v>0.00129539593286264</v>
      </c>
      <c r="F94" s="4" t="s">
        <v>43</v>
      </c>
      <c r="G94" s="3" t="s">
        <v>44</v>
      </c>
      <c r="H94" s="5" t="n">
        <v>46286</v>
      </c>
    </row>
    <row r="95" customFormat="false" ht="15" hidden="false" customHeight="false" outlineLevel="0" collapsed="false">
      <c r="A95" s="2" t="s">
        <v>137</v>
      </c>
      <c r="B95" s="7" t="n">
        <v>1150</v>
      </c>
      <c r="C95" s="7" t="n">
        <v>699760</v>
      </c>
      <c r="D95" s="2" t="n">
        <v>0.2</v>
      </c>
      <c r="E95" s="9" t="n">
        <f aca="false">IF(C95=0,"",B95/C95)</f>
        <v>0.00164342060134903</v>
      </c>
      <c r="F95" s="4" t="s">
        <v>43</v>
      </c>
      <c r="G95" s="3" t="s">
        <v>44</v>
      </c>
      <c r="H95" s="5" t="n">
        <v>46286</v>
      </c>
    </row>
    <row r="96" customFormat="false" ht="15" hidden="false" customHeight="false" outlineLevel="0" collapsed="false">
      <c r="A96" s="2" t="s">
        <v>138</v>
      </c>
      <c r="B96" s="7" t="n">
        <v>1125</v>
      </c>
      <c r="C96" s="7" t="n">
        <v>731979</v>
      </c>
      <c r="D96" s="2" t="n">
        <v>0.2</v>
      </c>
      <c r="E96" s="9" t="n">
        <f aca="false">IF(C96=0,"",B96/C96)</f>
        <v>0.00153692933813675</v>
      </c>
      <c r="F96" s="4" t="s">
        <v>43</v>
      </c>
      <c r="G96" s="3" t="s">
        <v>44</v>
      </c>
      <c r="H96" s="5" t="n">
        <v>46286</v>
      </c>
    </row>
    <row r="97" customFormat="false" ht="15" hidden="false" customHeight="false" outlineLevel="0" collapsed="false">
      <c r="A97" s="2" t="s">
        <v>139</v>
      </c>
      <c r="B97" s="7" t="n">
        <v>881</v>
      </c>
      <c r="C97" s="7" t="n">
        <v>763750</v>
      </c>
      <c r="D97" s="2" t="n">
        <v>0.1</v>
      </c>
      <c r="E97" s="9" t="n">
        <f aca="false">IF(C97=0,"",B97/C97)</f>
        <v>0.00115351882160393</v>
      </c>
      <c r="F97" s="4" t="s">
        <v>43</v>
      </c>
      <c r="G97" s="3" t="s">
        <v>44</v>
      </c>
      <c r="H97" s="5" t="n">
        <v>46286</v>
      </c>
    </row>
    <row r="98" customFormat="false" ht="15" hidden="false" customHeight="false" outlineLevel="0" collapsed="false">
      <c r="A98" s="2" t="s">
        <v>140</v>
      </c>
      <c r="B98" s="7" t="n">
        <v>684</v>
      </c>
      <c r="C98" s="7" t="n">
        <v>660320</v>
      </c>
      <c r="D98" s="2" t="n">
        <v>0.1</v>
      </c>
      <c r="E98" s="9" t="n">
        <f aca="false">IF(C98=0,"",B98/C98)</f>
        <v>0.00103586140053308</v>
      </c>
      <c r="F98" s="4" t="s">
        <v>43</v>
      </c>
      <c r="G98" s="3" t="s">
        <v>44</v>
      </c>
      <c r="H98" s="5" t="n">
        <v>46286</v>
      </c>
    </row>
    <row r="99" customFormat="false" ht="15" hidden="false" customHeight="false" outlineLevel="0" collapsed="false">
      <c r="A99" s="2" t="s">
        <v>141</v>
      </c>
      <c r="B99" s="7" t="n">
        <v>608</v>
      </c>
      <c r="C99" s="7" t="n">
        <v>644267</v>
      </c>
      <c r="D99" s="2" t="n">
        <v>0.1</v>
      </c>
      <c r="E99" s="9" t="n">
        <f aca="false">IF(C99=0,"",B99/C99)</f>
        <v>0.000943708121011941</v>
      </c>
      <c r="F99" s="4" t="s">
        <v>43</v>
      </c>
      <c r="G99" s="3" t="s">
        <v>44</v>
      </c>
      <c r="H99" s="5" t="n">
        <v>46286</v>
      </c>
    </row>
    <row r="100" customFormat="false" ht="15" hidden="false" customHeight="false" outlineLevel="0" collapsed="false">
      <c r="A100" s="2" t="s">
        <v>142</v>
      </c>
      <c r="B100" s="7" t="n">
        <v>853</v>
      </c>
      <c r="C100" s="7" t="n">
        <v>657084</v>
      </c>
      <c r="D100" s="2" t="n">
        <v>0.1</v>
      </c>
      <c r="E100" s="9" t="n">
        <f aca="false">IF(C100=0,"",B100/C100)</f>
        <v>0.00129815974822093</v>
      </c>
      <c r="F100" s="4" t="s">
        <v>43</v>
      </c>
      <c r="G100" s="3" t="s">
        <v>44</v>
      </c>
      <c r="H100" s="5" t="n">
        <v>46286</v>
      </c>
    </row>
    <row r="101" customFormat="false" ht="15" hidden="false" customHeight="false" outlineLevel="0" collapsed="false">
      <c r="A101" s="2" t="s">
        <v>143</v>
      </c>
      <c r="B101" s="7" t="n">
        <v>983</v>
      </c>
      <c r="C101" s="7" t="n">
        <v>643947</v>
      </c>
      <c r="D101" s="2" t="n">
        <v>0.2</v>
      </c>
      <c r="E101" s="9" t="n">
        <f aca="false">IF(C101=0,"",B101/C101)</f>
        <v>0.00152652314553838</v>
      </c>
      <c r="F101" s="4" t="s">
        <v>43</v>
      </c>
      <c r="G101" s="3" t="s">
        <v>44</v>
      </c>
      <c r="H101" s="5" t="n">
        <v>46286</v>
      </c>
    </row>
    <row r="102" customFormat="false" ht="15" hidden="false" customHeight="false" outlineLevel="0" collapsed="false">
      <c r="A102" s="2" t="s">
        <v>144</v>
      </c>
      <c r="B102" s="7" t="n">
        <v>1258</v>
      </c>
      <c r="C102" s="7" t="n">
        <v>747542</v>
      </c>
      <c r="D102" s="2" t="n">
        <v>0.2</v>
      </c>
      <c r="E102" s="9" t="n">
        <f aca="false">IF(C102=0,"",B102/C102)</f>
        <v>0.00168284858910937</v>
      </c>
      <c r="F102" s="4" t="s">
        <v>43</v>
      </c>
      <c r="G102" s="3" t="s">
        <v>44</v>
      </c>
      <c r="H102" s="5" t="n">
        <v>46286</v>
      </c>
    </row>
    <row r="103" customFormat="false" ht="15" hidden="false" customHeight="false" outlineLevel="0" collapsed="false">
      <c r="A103" s="2" t="s">
        <v>145</v>
      </c>
      <c r="B103" s="7" t="n">
        <v>896</v>
      </c>
      <c r="C103" s="7" t="n">
        <v>632535</v>
      </c>
      <c r="D103" s="2" t="n">
        <v>0.1</v>
      </c>
      <c r="E103" s="9" t="n">
        <f aca="false">IF(C103=0,"",B103/C103)</f>
        <v>0.00141652240587477</v>
      </c>
      <c r="F103" s="4" t="s">
        <v>43</v>
      </c>
      <c r="G103" s="3" t="s">
        <v>44</v>
      </c>
      <c r="H103" s="5" t="n">
        <v>46286</v>
      </c>
    </row>
    <row r="104" customFormat="false" ht="15" hidden="false" customHeight="false" outlineLevel="0" collapsed="false">
      <c r="A104" s="2" t="s">
        <v>146</v>
      </c>
      <c r="B104" s="7" t="n">
        <v>628</v>
      </c>
      <c r="C104" s="7" t="n">
        <v>585521</v>
      </c>
      <c r="D104" s="2" t="n">
        <v>0.1</v>
      </c>
      <c r="E104" s="9" t="n">
        <f aca="false">IF(C104=0,"",B104/C104)</f>
        <v>0.00107254906314206</v>
      </c>
      <c r="F104" s="4" t="s">
        <v>43</v>
      </c>
      <c r="G104" s="3" t="s">
        <v>44</v>
      </c>
      <c r="H104" s="5" t="n">
        <v>46286</v>
      </c>
    </row>
    <row r="105" customFormat="false" ht="15" hidden="false" customHeight="false" outlineLevel="0" collapsed="false">
      <c r="A105" s="2" t="s">
        <v>147</v>
      </c>
      <c r="B105" s="7" t="n">
        <v>631</v>
      </c>
      <c r="C105" s="7" t="n">
        <v>577930</v>
      </c>
      <c r="D105" s="2" t="n">
        <v>0.1</v>
      </c>
      <c r="E105" s="9" t="n">
        <f aca="false">IF(C105=0,"",B105/C105)</f>
        <v>0.0010918277300019</v>
      </c>
      <c r="F105" s="4" t="s">
        <v>43</v>
      </c>
      <c r="G105" s="3" t="s">
        <v>44</v>
      </c>
      <c r="H105" s="5" t="n">
        <v>46286</v>
      </c>
    </row>
    <row r="107" customFormat="false" ht="15" hidden="false" customHeight="false" outlineLevel="0" collapsed="false">
      <c r="A107" s="10" t="s">
        <v>148</v>
      </c>
      <c r="B107" s="10" t="s">
        <v>149</v>
      </c>
      <c r="C107" s="10"/>
      <c r="D107" s="10"/>
      <c r="E107" s="10"/>
      <c r="F107" s="10"/>
      <c r="G107" s="10"/>
      <c r="H107" s="10"/>
    </row>
  </sheetData>
  <autoFilter ref="A1:H105"/>
  <hyperlinks>
    <hyperlink ref="F2" r:id="rId1" display="https://datalab.visitkorea.or.kr"/>
    <hyperlink ref="F3" r:id="rId2" display="https://datalab.visitkorea.or.kr"/>
    <hyperlink ref="F4" r:id="rId3" display="https://datalab.visitkorea.or.kr"/>
    <hyperlink ref="F5" r:id="rId4" display="https://datalab.visitkorea.or.kr"/>
    <hyperlink ref="F6" r:id="rId5" display="https://datalab.visitkorea.or.kr"/>
    <hyperlink ref="F7" r:id="rId6" display="https://datalab.visitkorea.or.kr"/>
    <hyperlink ref="F8" r:id="rId7" display="https://datalab.visitkorea.or.kr"/>
    <hyperlink ref="F9" r:id="rId8" display="https://datalab.visitkorea.or.kr"/>
    <hyperlink ref="F10" r:id="rId9" display="https://datalab.visitkorea.or.kr"/>
    <hyperlink ref="F11" r:id="rId10" display="https://datalab.visitkorea.or.kr"/>
    <hyperlink ref="F12" r:id="rId11" display="https://datalab.visitkorea.or.kr"/>
    <hyperlink ref="F13" r:id="rId12" display="https://datalab.visitkorea.or.kr"/>
    <hyperlink ref="F14" r:id="rId13" display="https://datalab.visitkorea.or.kr"/>
    <hyperlink ref="F15" r:id="rId14" display="https://datalab.visitkorea.or.kr"/>
    <hyperlink ref="F16" r:id="rId15" display="https://datalab.visitkorea.or.kr"/>
    <hyperlink ref="F17" r:id="rId16" display="https://datalab.visitkorea.or.kr"/>
    <hyperlink ref="F18" r:id="rId17" display="https://datalab.visitkorea.or.kr"/>
    <hyperlink ref="F19" r:id="rId18" display="https://datalab.visitkorea.or.kr"/>
    <hyperlink ref="F20" r:id="rId19" display="https://datalab.visitkorea.or.kr"/>
    <hyperlink ref="F21" r:id="rId20" display="https://datalab.visitkorea.or.kr"/>
    <hyperlink ref="F22" r:id="rId21" display="https://datalab.visitkorea.or.kr"/>
    <hyperlink ref="F23" r:id="rId22" display="https://datalab.visitkorea.or.kr"/>
    <hyperlink ref="F24" r:id="rId23" display="https://datalab.visitkorea.or.kr"/>
    <hyperlink ref="F25" r:id="rId24" display="https://datalab.visitkorea.or.kr"/>
    <hyperlink ref="F26" r:id="rId25" display="https://datalab.visitkorea.or.kr"/>
    <hyperlink ref="F27" r:id="rId26" display="https://datalab.visitkorea.or.kr"/>
    <hyperlink ref="F28" r:id="rId27" display="https://datalab.visitkorea.or.kr"/>
    <hyperlink ref="F29" r:id="rId28" display="https://datalab.visitkorea.or.kr"/>
    <hyperlink ref="F30" r:id="rId29" display="https://datalab.visitkorea.or.kr"/>
    <hyperlink ref="F31" r:id="rId30" display="https://datalab.visitkorea.or.kr"/>
    <hyperlink ref="F32" r:id="rId31" display="https://datalab.visitkorea.or.kr"/>
    <hyperlink ref="F33" r:id="rId32" display="https://datalab.visitkorea.or.kr"/>
    <hyperlink ref="F34" r:id="rId33" display="https://datalab.visitkorea.or.kr"/>
    <hyperlink ref="F35" r:id="rId34" display="https://datalab.visitkorea.or.kr"/>
    <hyperlink ref="F36" r:id="rId35" display="https://datalab.visitkorea.or.kr"/>
    <hyperlink ref="F37" r:id="rId36" display="https://datalab.visitkorea.or.kr"/>
    <hyperlink ref="F38" r:id="rId37" display="https://datalab.visitkorea.or.kr"/>
    <hyperlink ref="F39" r:id="rId38" display="https://datalab.visitkorea.or.kr"/>
    <hyperlink ref="F40" r:id="rId39" display="https://datalab.visitkorea.or.kr"/>
    <hyperlink ref="F41" r:id="rId40" display="https://datalab.visitkorea.or.kr"/>
    <hyperlink ref="F42" r:id="rId41" display="https://datalab.visitkorea.or.kr"/>
    <hyperlink ref="F43" r:id="rId42" display="https://datalab.visitkorea.or.kr"/>
    <hyperlink ref="F44" r:id="rId43" display="https://datalab.visitkorea.or.kr"/>
    <hyperlink ref="F45" r:id="rId44" display="https://datalab.visitkorea.or.kr"/>
    <hyperlink ref="F46" r:id="rId45" display="https://datalab.visitkorea.or.kr"/>
    <hyperlink ref="F47" r:id="rId46" display="https://datalab.visitkorea.or.kr"/>
    <hyperlink ref="F48" r:id="rId47" display="https://datalab.visitkorea.or.kr"/>
    <hyperlink ref="F49" r:id="rId48" display="https://datalab.visitkorea.or.kr"/>
    <hyperlink ref="F50" r:id="rId49" display="https://datalab.visitkorea.or.kr"/>
    <hyperlink ref="F51" r:id="rId50" display="https://datalab.visitkorea.or.kr"/>
    <hyperlink ref="F52" r:id="rId51" display="https://datalab.visitkorea.or.kr"/>
    <hyperlink ref="F53" r:id="rId52" display="https://datalab.visitkorea.or.kr"/>
    <hyperlink ref="F54" r:id="rId53" display="https://datalab.visitkorea.or.kr"/>
    <hyperlink ref="F55" r:id="rId54" display="https://datalab.visitkorea.or.kr"/>
    <hyperlink ref="F56" r:id="rId55" display="https://datalab.visitkorea.or.kr"/>
    <hyperlink ref="F57" r:id="rId56" display="https://datalab.visitkorea.or.kr"/>
    <hyperlink ref="F58" r:id="rId57" display="https://datalab.visitkorea.or.kr"/>
    <hyperlink ref="F59" r:id="rId58" display="https://datalab.visitkorea.or.kr"/>
    <hyperlink ref="F60" r:id="rId59" display="https://datalab.visitkorea.or.kr"/>
    <hyperlink ref="F61" r:id="rId60" display="https://datalab.visitkorea.or.kr"/>
    <hyperlink ref="F62" r:id="rId61" display="https://datalab.visitkorea.or.kr"/>
    <hyperlink ref="F63" r:id="rId62" display="https://datalab.visitkorea.or.kr"/>
    <hyperlink ref="F64" r:id="rId63" display="https://datalab.visitkorea.or.kr"/>
    <hyperlink ref="F65" r:id="rId64" display="https://datalab.visitkorea.or.kr"/>
    <hyperlink ref="F66" r:id="rId65" display="https://datalab.visitkorea.or.kr"/>
    <hyperlink ref="F67" r:id="rId66" display="https://datalab.visitkorea.or.kr"/>
    <hyperlink ref="F68" r:id="rId67" display="https://datalab.visitkorea.or.kr"/>
    <hyperlink ref="F69" r:id="rId68" display="https://datalab.visitkorea.or.kr"/>
    <hyperlink ref="F70" r:id="rId69" display="https://datalab.visitkorea.or.kr"/>
    <hyperlink ref="F71" r:id="rId70" display="https://datalab.visitkorea.or.kr"/>
    <hyperlink ref="F72" r:id="rId71" display="https://datalab.visitkorea.or.kr"/>
    <hyperlink ref="F73" r:id="rId72" display="https://datalab.visitkorea.or.kr"/>
    <hyperlink ref="F74" r:id="rId73" display="https://datalab.visitkorea.or.kr"/>
    <hyperlink ref="F75" r:id="rId74" display="https://datalab.visitkorea.or.kr"/>
    <hyperlink ref="F76" r:id="rId75" display="https://datalab.visitkorea.or.kr"/>
    <hyperlink ref="F77" r:id="rId76" display="https://datalab.visitkorea.or.kr"/>
    <hyperlink ref="F78" r:id="rId77" display="https://datalab.visitkorea.or.kr"/>
    <hyperlink ref="F79" r:id="rId78" display="https://datalab.visitkorea.or.kr"/>
    <hyperlink ref="F80" r:id="rId79" display="https://datalab.visitkorea.or.kr"/>
    <hyperlink ref="F81" r:id="rId80" display="https://datalab.visitkorea.or.kr"/>
    <hyperlink ref="F82" r:id="rId81" display="https://datalab.visitkorea.or.kr"/>
    <hyperlink ref="F83" r:id="rId82" display="https://datalab.visitkorea.or.kr"/>
    <hyperlink ref="F84" r:id="rId83" display="https://datalab.visitkorea.or.kr"/>
    <hyperlink ref="F85" r:id="rId84" display="https://datalab.visitkorea.or.kr"/>
    <hyperlink ref="F86" r:id="rId85" display="https://datalab.visitkorea.or.kr"/>
    <hyperlink ref="F87" r:id="rId86" display="https://datalab.visitkorea.or.kr"/>
    <hyperlink ref="F88" r:id="rId87" display="https://datalab.visitkorea.or.kr"/>
    <hyperlink ref="F89" r:id="rId88" display="https://datalab.visitkorea.or.kr"/>
    <hyperlink ref="F90" r:id="rId89" display="https://datalab.visitkorea.or.kr"/>
    <hyperlink ref="F91" r:id="rId90" display="https://datalab.visitkorea.or.kr"/>
    <hyperlink ref="F92" r:id="rId91" display="https://datalab.visitkorea.or.kr"/>
    <hyperlink ref="F93" r:id="rId92" display="https://datalab.visitkorea.or.kr"/>
    <hyperlink ref="F94" r:id="rId93" display="https://datalab.visitkorea.or.kr"/>
    <hyperlink ref="F95" r:id="rId94" display="https://datalab.visitkorea.or.kr"/>
    <hyperlink ref="F96" r:id="rId95" display="https://datalab.visitkorea.or.kr"/>
    <hyperlink ref="F97" r:id="rId96" display="https://datalab.visitkorea.or.kr"/>
    <hyperlink ref="F98" r:id="rId97" display="https://datalab.visitkorea.or.kr"/>
    <hyperlink ref="F99" r:id="rId98" display="https://datalab.visitkorea.or.kr"/>
    <hyperlink ref="F100" r:id="rId99" display="https://datalab.visitkorea.or.kr"/>
    <hyperlink ref="F101" r:id="rId100" display="https://datalab.visitkorea.or.kr"/>
    <hyperlink ref="F102" r:id="rId101" display="https://datalab.visitkorea.or.kr"/>
    <hyperlink ref="F103" r:id="rId102" display="https://datalab.visitkorea.or.kr"/>
    <hyperlink ref="F104" r:id="rId103" display="https://datalab.visitkorea.or.kr"/>
    <hyperlink ref="F105" r:id="rId104" display="https://datalab.visitkorea.or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8.38"/>
    <col collapsed="false" customWidth="true" hidden="false" outlineLevel="0" max="2" min="2" style="0" width="36.72"/>
    <col collapsed="false" customWidth="true" hidden="false" outlineLevel="0" max="3" min="3" style="0" width="48.41"/>
    <col collapsed="false" customWidth="true" hidden="false" outlineLevel="0" max="4" min="4" style="0" width="58.42"/>
    <col collapsed="false" customWidth="true" hidden="false" outlineLevel="0" max="5" min="5" style="0" width="30.05"/>
    <col collapsed="false" customWidth="true" hidden="false" outlineLevel="0" max="6" min="6" style="0" width="18.36"/>
  </cols>
  <sheetData>
    <row r="1" customFormat="false" ht="15" hidden="false" customHeight="false" outlineLevel="0" collapsed="false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</row>
    <row r="2" customFormat="false" ht="35.05" hidden="false" customHeight="false" outlineLevel="0" collapsed="false">
      <c r="A2" s="3" t="s">
        <v>156</v>
      </c>
      <c r="B2" s="4" t="s">
        <v>10</v>
      </c>
      <c r="C2" s="2" t="s">
        <v>157</v>
      </c>
      <c r="D2" s="2" t="s">
        <v>158</v>
      </c>
      <c r="E2" s="2" t="s">
        <v>159</v>
      </c>
      <c r="F2" s="3" t="s">
        <v>160</v>
      </c>
    </row>
    <row r="3" customFormat="false" ht="35.05" hidden="false" customHeight="false" outlineLevel="0" collapsed="false">
      <c r="A3" s="3" t="s">
        <v>161</v>
      </c>
      <c r="B3" s="4" t="s">
        <v>162</v>
      </c>
      <c r="C3" s="2" t="s">
        <v>163</v>
      </c>
      <c r="D3" s="2" t="s">
        <v>164</v>
      </c>
      <c r="E3" s="2" t="s">
        <v>159</v>
      </c>
      <c r="F3" s="3" t="s">
        <v>160</v>
      </c>
    </row>
  </sheetData>
  <autoFilter ref="A1:F3"/>
  <hyperlinks>
    <hyperlink ref="B2" r:id="rId1" display="https://www.data.go.kr/data/15108292/openapi.do"/>
    <hyperlink ref="B3" r:id="rId2" display="https://www.data.go.kr/data/15108296/openapi.d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100.15"/>
  </cols>
  <sheetData>
    <row r="1" customFormat="false" ht="15" hidden="false" customHeight="false" outlineLevel="0" collapsed="false">
      <c r="A1" s="6" t="s">
        <v>165</v>
      </c>
      <c r="B1" s="6" t="s">
        <v>166</v>
      </c>
    </row>
    <row r="2" customFormat="false" ht="15" hidden="false" customHeight="false" outlineLevel="0" collapsed="false">
      <c r="A2" s="3" t="s">
        <v>167</v>
      </c>
      <c r="B2" s="3" t="s">
        <v>168</v>
      </c>
    </row>
    <row r="3" customFormat="false" ht="23.85" hidden="false" customHeight="false" outlineLevel="0" collapsed="false">
      <c r="A3" s="3" t="s">
        <v>169</v>
      </c>
      <c r="B3" s="3" t="s">
        <v>170</v>
      </c>
    </row>
    <row r="4" customFormat="false" ht="15" hidden="false" customHeight="false" outlineLevel="0" collapsed="false">
      <c r="A4" s="3" t="s">
        <v>171</v>
      </c>
      <c r="B4" s="3" t="s">
        <v>172</v>
      </c>
    </row>
    <row r="5" customFormat="false" ht="15" hidden="false" customHeight="false" outlineLevel="0" collapsed="false">
      <c r="A5" s="3" t="s">
        <v>173</v>
      </c>
      <c r="B5" s="3" t="s">
        <v>174</v>
      </c>
    </row>
    <row r="6" customFormat="false" ht="15" hidden="false" customHeight="false" outlineLevel="0" collapsed="false">
      <c r="A6" s="3" t="s">
        <v>6</v>
      </c>
      <c r="B6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2026-09-21T22:20:30Z</dcterms:created>
  <dc:creator>openpyxl</dc:creator>
  <dc:description/>
  <dc:language>ko-KR</dc:language>
  <cp:lastModifiedBy/>
  <dcterms:modified xsi:type="dcterms:W3CDTF">2026-09-21T22:20:30Z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