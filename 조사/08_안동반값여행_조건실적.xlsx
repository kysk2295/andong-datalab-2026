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조건·실적" sheetId="1" state="visible" r:id="rId3"/>
    <sheet name="유형별 한도" sheetId="2" state="visible" r:id="rId4"/>
    <sheet name="지정관광지" sheetId="3" state="visible" r:id="rId5"/>
    <sheet name="소비 인정 기준" sheetId="4" state="visible" r:id="rId6"/>
    <sheet name="출처·메모" sheetId="5" state="visible" r:id="rId7"/>
  </sheets>
  <definedNames>
    <definedName function="false" hidden="true" localSheetId="3" name="_xlnm._FilterDatabase" vbProcedure="false">'소비 인정 기준'!$A$1:$D$8</definedName>
    <definedName function="false" hidden="true" localSheetId="1" name="_xlnm._FilterDatabase" vbProcedure="false">'유형별 한도'!$A$1:$J$8</definedName>
    <definedName function="false" hidden="true" localSheetId="0" name="_xlnm._FilterDatabase" vbProcedure="false">조건·실적!$A$1:$M$3</definedName>
    <definedName function="false" hidden="true" localSheetId="2" name="_xlnm._FilterDatabase" vbProcedure="false">지정관광지!$A$1:$F$37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<sst xmlns="http://schemas.openxmlformats.org/spreadsheetml/2006/main" count="268" uniqueCount="130">
  <si>
    <t xml:space="preserve">차수</t>
  </si>
  <si>
    <t xml:space="preserve">신청 기간</t>
  </si>
  <si>
    <t xml:space="preserve">여행 기간</t>
  </si>
  <si>
    <t xml:space="preserve">인증 조건</t>
  </si>
  <si>
    <t xml:space="preserve">지정 관광지 목록</t>
  </si>
  <si>
    <t xml:space="preserve">환급률·한도</t>
  </si>
  <si>
    <t xml:space="preserve">선착순 인원</t>
  </si>
  <si>
    <t xml:space="preserve">사업 예산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</si>
  <si>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나눔고딕"/>
        <family val="2"/>
        <charset val="1"/>
      </rPr>
      <t xml:space="preserve">차 신청 건수</t>
    </r>
  </si>
  <si>
    <t xml:space="preserve">출처 URL</t>
  </si>
  <si>
    <t xml:space="preserve">게시일</t>
  </si>
  <si>
    <t xml:space="preserve">조사일</t>
  </si>
  <si>
    <t xml:space="preserve">비고</t>
  </si>
  <si>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차</t>
    </r>
  </si>
  <si>
    <r>
      <rPr>
        <sz val="10"/>
        <rFont val="Arial"/>
        <family val="0"/>
        <charset val="1"/>
      </rPr>
      <t xml:space="preserve">2026-09-14(</t>
    </r>
    <r>
      <rPr>
        <sz val="10"/>
        <rFont val="나눔고딕"/>
        <family val="2"/>
        <charset val="1"/>
      </rPr>
      <t xml:space="preserve">월</t>
    </r>
    <r>
      <rPr>
        <sz val="10"/>
        <rFont val="Arial"/>
        <family val="0"/>
        <charset val="1"/>
      </rPr>
      <t xml:space="preserve">) 10:00 </t>
    </r>
    <r>
      <rPr>
        <sz val="10"/>
        <rFont val="나눔고딕"/>
        <family val="2"/>
        <charset val="1"/>
      </rPr>
      <t xml:space="preserve">선착순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여행일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  <charset val="1"/>
      </rPr>
      <t xml:space="preserve">일 전까지 온라인 사전신청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</si>
  <si>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2026-09-17(</t>
    </r>
    <r>
      <rPr>
        <sz val="10"/>
        <rFont val="나눔고딕"/>
        <family val="2"/>
        <charset val="1"/>
      </rPr>
      <t xml:space="preserve">목</t>
    </r>
    <r>
      <rPr>
        <sz val="10"/>
        <rFont val="Arial"/>
        <family val="0"/>
        <charset val="1"/>
      </rPr>
      <t xml:space="preserve">)~10-31(</t>
    </r>
    <r>
      <rPr>
        <sz val="10"/>
        <rFont val="나눔고딕"/>
        <family val="2"/>
        <charset val="1"/>
      </rPr>
      <t xml:space="preserve">토</t>
    </r>
    <r>
      <rPr>
        <sz val="10"/>
        <rFont val="Arial"/>
        <family val="0"/>
        <charset val="1"/>
      </rPr>
      <t xml:space="preserve">)</t>
    </r>
  </si>
  <si>
    <t xml:space="preserve">안동시 지정 관광지 1개소 이상 방문 사진(신청대표자·구성원 얼굴 모두 + 랜드마크·간판 노출) + 모바일 안동사랑상품권(CHAK) 대표자 명의 결제 영수증. 여행 종료 후 14일 이내 정산 신청</t>
  </si>
  <si>
    <r>
      <rPr>
        <sz val="10"/>
        <rFont val="Arial"/>
        <family val="0"/>
        <charset val="1"/>
      </rPr>
      <t xml:space="preserve">36</t>
    </r>
    <r>
      <rPr>
        <sz val="10"/>
        <rFont val="나눔고딕"/>
        <family val="2"/>
        <charset val="1"/>
      </rPr>
      <t xml:space="preserve">곳</t>
    </r>
    <r>
      <rPr>
        <sz val="10"/>
        <rFont val="Arial"/>
        <family val="0"/>
        <charset val="1"/>
      </rPr>
      <t xml:space="preserve">('</t>
    </r>
    <r>
      <rPr>
        <sz val="10"/>
        <rFont val="나눔고딕"/>
        <family val="2"/>
        <charset val="1"/>
      </rPr>
      <t xml:space="preserve">지정관광지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  <charset val="1"/>
      </rPr>
      <t xml:space="preserve">시트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</si>
  <si>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50%(</t>
    </r>
    <r>
      <rPr>
        <sz val="10"/>
        <rFont val="나눔고딕"/>
        <family val="2"/>
        <charset val="1"/>
      </rPr>
      <t xml:space="preserve">청년 </t>
    </r>
    <r>
      <rPr>
        <sz val="10"/>
        <rFont val="Arial"/>
        <family val="0"/>
        <charset val="1"/>
      </rPr>
      <t xml:space="preserve">70%) </t>
    </r>
    <r>
      <rPr>
        <sz val="10"/>
        <rFont val="나눔고딕"/>
        <family val="2"/>
        <charset val="1"/>
      </rPr>
      <t xml:space="preserve">모바일 안동사랑상품권 환급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최소 소비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  <charset val="1"/>
      </rPr>
      <t xml:space="preserve">만원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최대 환급 개인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  <charset val="1"/>
      </rPr>
      <t xml:space="preserve">만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팀 </t>
    </r>
    <r>
      <rPr>
        <sz val="10"/>
        <rFont val="Arial"/>
        <family val="0"/>
        <charset val="1"/>
      </rPr>
      <t xml:space="preserve">20</t>
    </r>
    <r>
      <rPr>
        <sz val="10"/>
        <rFont val="나눔고딕"/>
        <family val="2"/>
        <charset val="1"/>
      </rPr>
      <t xml:space="preserve">만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가족 </t>
    </r>
    <r>
      <rPr>
        <sz val="10"/>
        <rFont val="Arial"/>
        <family val="0"/>
        <charset val="1"/>
      </rPr>
      <t xml:space="preserve">2~5</t>
    </r>
    <r>
      <rPr>
        <sz val="10"/>
        <rFont val="나눔고딕"/>
        <family val="2"/>
        <charset val="1"/>
      </rPr>
      <t xml:space="preserve">인 </t>
    </r>
    <r>
      <rPr>
        <sz val="10"/>
        <rFont val="Arial"/>
        <family val="0"/>
        <charset val="1"/>
      </rPr>
      <t xml:space="preserve">20</t>
    </r>
    <r>
      <rPr>
        <sz val="10"/>
        <rFont val="나눔고딕"/>
        <family val="2"/>
        <charset val="1"/>
      </rPr>
      <t xml:space="preserve">만</t>
    </r>
    <r>
      <rPr>
        <sz val="10"/>
        <rFont val="Arial"/>
        <family val="0"/>
        <charset val="1"/>
      </rPr>
      <t xml:space="preserve">~50</t>
    </r>
    <r>
      <rPr>
        <sz val="10"/>
        <rFont val="나눔고딕"/>
        <family val="2"/>
        <charset val="1"/>
      </rPr>
      <t xml:space="preserve">만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청년 </t>
    </r>
    <r>
      <rPr>
        <sz val="10"/>
        <rFont val="Arial"/>
        <family val="0"/>
        <charset val="1"/>
      </rPr>
      <t xml:space="preserve">14</t>
    </r>
    <r>
      <rPr>
        <sz val="10"/>
        <rFont val="나눔고딕"/>
        <family val="2"/>
        <charset val="1"/>
      </rPr>
      <t xml:space="preserve">만원</t>
    </r>
    <r>
      <rPr>
        <sz val="10"/>
        <rFont val="Arial"/>
        <family val="0"/>
        <charset val="1"/>
      </rPr>
      <t xml:space="preserve">('</t>
    </r>
    <r>
      <rPr>
        <sz val="10"/>
        <rFont val="나눔고딕"/>
        <family val="2"/>
        <charset val="1"/>
      </rPr>
      <t xml:space="preserve">유형별 한도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  <charset val="1"/>
      </rPr>
      <t xml:space="preserve">시트</t>
    </r>
    <r>
      <rPr>
        <sz val="10"/>
        <rFont val="Arial"/>
        <family val="0"/>
        <charset val="1"/>
      </rPr>
      <t xml:space="preserve">)</t>
    </r>
  </si>
  <si>
    <t xml:space="preserve">약 5,000명(선착순)</t>
  </si>
  <si>
    <t xml:space="preserve">못 찾음 — 찾아본 곳: 공고문 원문, 안동시 선정 보도(천지일보·아시아투데이 2026-08-11), 문체부 하반기 시행 보도(소셜포커스 2026-08-28), 1차 마감 보도(아주경제 2026-09-17) · (9/22 재검색) CNB뉴스·경북일보 2026-09-16 1차 마감 기사, 안동시 2차 추경(2026-08) 보도에도 반값여행 금액 없음</t>
  </si>
  <si>
    <r>
      <rPr>
        <sz val="10"/>
        <rFont val="Arial"/>
        <family val="0"/>
        <charset val="1"/>
      </rPr>
      <t xml:space="preserve">6,715</t>
    </r>
    <r>
      <rPr>
        <sz val="10"/>
        <rFont val="나눔고딕"/>
        <family val="2"/>
        <charset val="1"/>
      </rPr>
      <t xml:space="preserve">명 신청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접수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  <charset val="1"/>
      </rPr>
      <t xml:space="preserve">시간여 만에 마감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배정 예산 조기 소진</t>
    </r>
    <r>
      <rPr>
        <sz val="10"/>
        <rFont val="Arial"/>
        <family val="0"/>
        <charset val="1"/>
      </rPr>
      <t xml:space="preserve">)</t>
    </r>
  </si>
  <si>
    <t xml:space="preserve">https://andonghalftour.kr / https://www.ajunews.com/view/20260917163314884</t>
  </si>
  <si>
    <t xml:space="preserve">공고 2026-09-10 / 기사 2026-09-17</t>
  </si>
  <si>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차 신청 건수 </t>
    </r>
    <r>
      <rPr>
        <sz val="10"/>
        <rFont val="Arial"/>
        <family val="0"/>
        <charset val="1"/>
      </rPr>
      <t xml:space="preserve">= </t>
    </r>
    <r>
      <rPr>
        <sz val="10"/>
        <rFont val="나눔고딕"/>
        <family val="2"/>
        <charset val="1"/>
      </rPr>
      <t xml:space="preserve">아주경제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안동시 발표 인용</t>
    </r>
    <r>
      <rPr>
        <sz val="10"/>
        <rFont val="Arial"/>
        <family val="0"/>
        <charset val="1"/>
      </rPr>
      <t xml:space="preserve">). '</t>
    </r>
    <r>
      <rPr>
        <sz val="10"/>
        <rFont val="나눔고딕"/>
        <family val="2"/>
        <charset val="1"/>
      </rPr>
      <t xml:space="preserve">건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이 아니라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명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으로 보도됨</t>
    </r>
  </si>
  <si>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차</t>
    </r>
  </si>
  <si>
    <r>
      <rPr>
        <sz val="10"/>
        <rFont val="Arial"/>
        <family val="0"/>
        <charset val="1"/>
      </rPr>
      <t xml:space="preserve">2026-10-12(</t>
    </r>
    <r>
      <rPr>
        <sz val="10"/>
        <rFont val="나눔고딕"/>
        <family val="2"/>
        <charset val="1"/>
      </rPr>
      <t xml:space="preserve">월</t>
    </r>
    <r>
      <rPr>
        <sz val="10"/>
        <rFont val="Arial"/>
        <family val="0"/>
        <charset val="1"/>
      </rPr>
      <t xml:space="preserve">) 10:00</t>
    </r>
  </si>
  <si>
    <r>
      <rPr>
        <sz val="10"/>
        <rFont val="Arial"/>
        <family val="0"/>
        <charset val="1"/>
      </rPr>
      <t xml:space="preserve">2026-10-15(</t>
    </r>
    <r>
      <rPr>
        <sz val="10"/>
        <rFont val="나눔고딕"/>
        <family val="2"/>
        <charset val="1"/>
      </rPr>
      <t xml:space="preserve">목</t>
    </r>
    <r>
      <rPr>
        <sz val="10"/>
        <rFont val="Arial"/>
        <family val="0"/>
        <charset val="1"/>
      </rPr>
      <t xml:space="preserve">)~11-30(</t>
    </r>
    <r>
      <rPr>
        <sz val="10"/>
        <rFont val="나눔고딕"/>
        <family val="2"/>
        <charset val="1"/>
      </rPr>
      <t xml:space="preserve">월</t>
    </r>
    <r>
      <rPr>
        <sz val="10"/>
        <rFont val="Arial"/>
        <family val="0"/>
        <charset val="1"/>
      </rPr>
      <t xml:space="preserve">)</t>
    </r>
  </si>
  <si>
    <t xml:space="preserve">공고: '1회차 사업예산에 따라 변동 가능' / 기사: '1차 참여자의 실제 여행 여부와 환급 실적 등에 따라 조정'</t>
  </si>
  <si>
    <t xml:space="preserve">해당 없음(미시작)</t>
  </si>
  <si>
    <t xml:space="preserve">유형</t>
  </si>
  <si>
    <t xml:space="preserve">인원 구성</t>
  </si>
  <si>
    <t xml:space="preserve">환급률</t>
  </si>
  <si>
    <t xml:space="preserve">최소 소비액(원)</t>
  </si>
  <si>
    <t xml:space="preserve">최대 소비액(원)</t>
  </si>
  <si>
    <t xml:space="preserve">최대 환급액(계산, 원)</t>
  </si>
  <si>
    <t xml:space="preserve">최대 환급액(공고, 원)</t>
  </si>
  <si>
    <t xml:space="preserve">일치</t>
  </si>
  <si>
    <t xml:space="preserve">출처</t>
  </si>
  <si>
    <t xml:space="preserve">개인</t>
  </si>
  <si>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인 한정</t>
    </r>
  </si>
  <si>
    <t xml:space="preserve">안동시 공고 제2026-2170호(2026-09-10 수정 공고), 팀 보유 PDF data/팀원취합/2026 안동반값여행 공고문.pdf</t>
  </si>
  <si>
    <t xml:space="preserve">팀</t>
  </si>
  <si>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인 이상</t>
    </r>
  </si>
  <si>
    <t xml:space="preserve">가족 2인</t>
  </si>
  <si>
    <t xml:space="preserve">동일 주거지 2인</t>
  </si>
  <si>
    <t xml:space="preserve">가족 3인</t>
  </si>
  <si>
    <t xml:space="preserve">동일 주거지 3인</t>
  </si>
  <si>
    <t xml:space="preserve">가족 4인</t>
  </si>
  <si>
    <t xml:space="preserve">동일 주거지 4인</t>
  </si>
  <si>
    <t xml:space="preserve">가족 5인</t>
  </si>
  <si>
    <t xml:space="preserve">동일 주거지 5인</t>
  </si>
  <si>
    <t xml:space="preserve">청년(만19~34세)</t>
  </si>
  <si>
    <t xml:space="preserve">메모</t>
  </si>
  <si>
    <t xml:space="preserve">환급액은 실제 인정 소비금액 기준 5,000원 단위. 청년은 청년 유형 신청 시에만 70%. 여행유형별 중복 지원 불가. 문체부 발표(단체 최대 20만원)와 달리 안동은 가족 5인까지 최대 50만원.</t>
  </si>
  <si>
    <t xml:space="preserve">권역</t>
  </si>
  <si>
    <t xml:space="preserve">지정 관광지</t>
  </si>
  <si>
    <t xml:space="preserve">하회마을권역</t>
  </si>
  <si>
    <t xml:space="preserve">하회마을</t>
  </si>
  <si>
    <t xml:space="preserve">2026-09-10</t>
  </si>
  <si>
    <t xml:space="preserve">병산서원</t>
  </si>
  <si>
    <t xml:space="preserve">부용대</t>
  </si>
  <si>
    <t xml:space="preserve">체화정</t>
  </si>
  <si>
    <t xml:space="preserve">하회세계탈박물관</t>
  </si>
  <si>
    <t xml:space="preserve">북서부권</t>
  </si>
  <si>
    <t xml:space="preserve">봉정사</t>
  </si>
  <si>
    <t xml:space="preserve">이천동 마애여래입상(제비원 석불)</t>
  </si>
  <si>
    <t xml:space="preserve">연미사</t>
  </si>
  <si>
    <t xml:space="preserve">원도심 및 안동댐권</t>
  </si>
  <si>
    <t xml:space="preserve">찜닭골목</t>
  </si>
  <si>
    <t xml:space="preserve">태사묘</t>
  </si>
  <si>
    <t xml:space="preserve">임청각</t>
  </si>
  <si>
    <t xml:space="preserve">법흥사지 칠층전탑</t>
  </si>
  <si>
    <t xml:space="preserve">월영교</t>
  </si>
  <si>
    <t xml:space="preserve">기획 2단계(월영교) 장소</t>
  </si>
  <si>
    <t xml:space="preserve">안동시립박물관</t>
  </si>
  <si>
    <t xml:space="preserve">유교랜드</t>
  </si>
  <si>
    <t xml:space="preserve">도산권</t>
  </si>
  <si>
    <t xml:space="preserve">도산서원</t>
  </si>
  <si>
    <t xml:space="preserve">한국국학진흥원</t>
  </si>
  <si>
    <t xml:space="preserve">예끼마을</t>
  </si>
  <si>
    <t xml:space="preserve">선성현문화단지</t>
  </si>
  <si>
    <t xml:space="preserve">선성수상길</t>
  </si>
  <si>
    <t xml:space="preserve">안동국제컨벤션센터</t>
  </si>
  <si>
    <t xml:space="preserve">한국문화테마파크</t>
  </si>
  <si>
    <t xml:space="preserve">이육사문학관</t>
  </si>
  <si>
    <t xml:space="preserve">군자마을</t>
  </si>
  <si>
    <t xml:space="preserve">고산정</t>
  </si>
  <si>
    <t xml:space="preserve">농암종택</t>
  </si>
  <si>
    <t xml:space="preserve">경북산림과학박물관</t>
  </si>
  <si>
    <t xml:space="preserve">남서부권</t>
  </si>
  <si>
    <t xml:space="preserve">권정생동화나라</t>
  </si>
  <si>
    <t xml:space="preserve">단호샌드파크 캠핑장</t>
  </si>
  <si>
    <t xml:space="preserve">남동부권</t>
  </si>
  <si>
    <t xml:space="preserve">만휴정</t>
  </si>
  <si>
    <t xml:space="preserve">묵계서원</t>
  </si>
  <si>
    <t xml:space="preserve">경상북도독립운동기념관</t>
  </si>
  <si>
    <t xml:space="preserve">안동포타운</t>
  </si>
  <si>
    <t xml:space="preserve">금소생태공원</t>
  </si>
  <si>
    <t xml:space="preserve">지역축제</t>
  </si>
  <si>
    <t xml:space="preserve">안동국제탈춤페스티벌</t>
  </si>
  <si>
    <t xml:space="preserve">하회선유줄불놀이</t>
  </si>
  <si>
    <t xml:space="preserve">권역별 개수</t>
  </si>
  <si>
    <t xml:space="preserve">합계</t>
  </si>
  <si>
    <t xml:space="preserve">구분</t>
  </si>
  <si>
    <t xml:space="preserve">내용</t>
  </si>
  <si>
    <t xml:space="preserve">관광소비 인정</t>
  </si>
  <si>
    <t xml:space="preserve">도서/문화/공연/오락 · 숙박업 · 음식점 · 카페/베이커리 · 편의점/슈퍼/마트</t>
  </si>
  <si>
    <t xml:space="preserve">관광소비 불인정</t>
  </si>
  <si>
    <t xml:space="preserve">가전/통신 · 미용/뷰티/위생 · 부동산 · 산모/육아 · 스포츠/헬스 · 의류/잡화/안경 · 자동차/자전거 · 주방/가전/인테리어 · 주유소 · 학원/교육 · 의료/보건</t>
  </si>
  <si>
    <t xml:space="preserve">교통비</t>
  </si>
  <si>
    <t xml:space="preserve">안동시 관광택시 및 시티투어 교통비만 인정(톨게이트비·시외버스·기차요금 불인정) → 11번 관광택시와 연결</t>
  </si>
  <si>
    <t xml:space="preserve">결제 수단</t>
  </si>
  <si>
    <t xml:space="preserve">모바일 안동사랑상품권(CHAK) 대표자 명의 결제. 충전 불가 시 대표자 명의 카드 1개 인정. 온라인 공연 예약 등 미가맹점은 카드 예외 인정</t>
  </si>
  <si>
    <t xml:space="preserve">숙박</t>
  </si>
  <si>
    <t xml:space="preserve">카드 결제 내역·현금영수증 인정(예약확인서·간이영수증·계좌이체 불인정), 쿠폰·포인트 등 비현금 결제분 불인정</t>
  </si>
  <si>
    <t xml:space="preserve">지원금</t>
  </si>
  <si>
    <t xml:space="preserve">정산 승인 후 14일 이내 지급, 안동사랑상품권 가맹점·사이버안동장터 사용, 사용기한 2027-04-30(미사용 시 환수)</t>
  </si>
  <si>
    <t xml:space="preserve">지원 제외</t>
  </si>
  <si>
    <t xml:space="preserve">안동시 및 연접 시군(영주·예천·의성·청송·영양·봉화) 주민, 국내·외 거주 외국인</t>
  </si>
  <si>
    <t xml:space="preserve">공고</t>
  </si>
  <si>
    <t xml:space="preserve">안동시 공고 제2026-2170호(2026-09-10 수정 공고), 팀 보유 PDF data/팀원취합/2026 안동반값여행 공고문.pdf. 신청·정산은 공식 누리집 https://andonghalftour.kr 에서만(전화·메일·우편 불가). 문의 1660-1748.</t>
  </si>
  <si>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  <charset val="1"/>
      </rPr>
      <t xml:space="preserve">차 실적</t>
    </r>
  </si>
  <si>
    <t xml:space="preserve">아주경제 2026-09-17 16:37 '안동 반값여행, 접수 5시간 만에 1차 마감…6715명 신청' https://www.ajunews.com/view/20260917163314884</t>
  </si>
  <si>
    <t xml:space="preserve">전국 맥락</t>
  </si>
  <si>
    <r>
      <rPr>
        <sz val="10"/>
        <rFont val="Arial"/>
        <family val="0"/>
        <charset val="1"/>
      </rPr>
      <t xml:space="preserve">2026 </t>
    </r>
    <r>
      <rPr>
        <sz val="10"/>
        <rFont val="나눔고딕"/>
        <family val="2"/>
        <charset val="1"/>
      </rPr>
      <t xml:space="preserve">하반기 지역사랑 휴가지원 </t>
    </r>
    <r>
      <rPr>
        <sz val="10"/>
        <rFont val="Arial"/>
        <family val="0"/>
        <charset val="1"/>
      </rPr>
      <t xml:space="preserve">13</t>
    </r>
    <r>
      <rPr>
        <sz val="10"/>
        <rFont val="나눔고딕"/>
        <family val="2"/>
        <charset val="1"/>
      </rPr>
      <t xml:space="preserve">곳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밀양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거창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완도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영광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  <charset val="1"/>
      </rPr>
      <t xml:space="preserve">화천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고성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경남</t>
    </r>
    <r>
      <rPr>
        <sz val="10"/>
        <rFont val="Arial"/>
        <family val="0"/>
        <charset val="1"/>
      </rPr>
      <t xml:space="preserve">)·</t>
    </r>
    <r>
      <rPr>
        <sz val="10"/>
        <rFont val="나눔고딕"/>
        <family val="2"/>
        <charset val="1"/>
      </rPr>
      <t xml:space="preserve">산청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함양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안동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영천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서천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태안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장흥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  <charset val="1"/>
      </rPr>
      <t xml:space="preserve">소셜포커스 </t>
    </r>
    <r>
      <rPr>
        <sz val="10"/>
        <rFont val="Arial"/>
        <family val="0"/>
        <charset val="1"/>
      </rPr>
      <t xml:space="preserve">2026-08-28 https://www.socialfocus.co.kr/news/articleView.html?idxno=23937</t>
    </r>
  </si>
  <si>
    <t xml:space="preserve">못 찾음 — 위 '조건·실적' 시트에 찾아본 곳 기록. 안동시 관광과(054-840-5000 대표) 또는 정보공개청구로 확인 필요.</t>
  </si>
  <si>
    <t xml:space="preserve">관광택시 연계</t>
  </si>
  <si>
    <t xml:space="preserve">티머니GO 앱 '여행/생활 → 반값여행 → 안동관광택시' 경로로 관광택시 5만원 할인 예약 가능(관광택시 공지 2026-07-27). 11번 파일 참조.</t>
  </si>
  <si>
    <t xml:space="preserve">2026-09-21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</si>
</sst>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%"/>
    <numFmt numFmtId="167" formatCode="#,##0"/>
  </numFmts>
  <fonts count="8">
    <font>
      <sz val="11"/>
      <color theme="1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나눔고딕"/>
      <family val="2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나눔고딕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5.01"/>
    <col collapsed="false" customWidth="true" hidden="false" outlineLevel="0" max="2" min="2" style="1" width="21.7"/>
    <col collapsed="false" customWidth="true" hidden="false" outlineLevel="0" max="3" min="3" style="1" width="16.69"/>
    <col collapsed="false" customWidth="true" hidden="false" outlineLevel="0" max="4" min="4" style="1" width="33.38"/>
    <col collapsed="false" customWidth="true" hidden="false" outlineLevel="0" max="5" min="5" style="1" width="13.35"/>
    <col collapsed="false" customWidth="true" hidden="false" outlineLevel="0" max="6" min="6" style="1" width="33.38"/>
    <col collapsed="false" customWidth="true" hidden="false" outlineLevel="0" max="7" min="7" style="1" width="21.7"/>
    <col collapsed="false" customWidth="true" hidden="false" outlineLevel="0" max="8" min="8" style="1" width="28.38"/>
    <col collapsed="false" customWidth="true" hidden="false" outlineLevel="0" max="9" min="9" style="1" width="21.7"/>
    <col collapsed="false" customWidth="true" hidden="false" outlineLevel="0" max="10" min="10" style="1" width="33.38"/>
    <col collapsed="false" customWidth="true" hidden="false" outlineLevel="0" max="11" min="11" style="1" width="16.69"/>
    <col collapsed="false" customWidth="true" hidden="false" outlineLevel="0" max="12" min="12" style="1" width="9.18"/>
    <col collapsed="false" customWidth="true" hidden="false" outlineLevel="0" max="13" min="13" style="1" width="25.0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57" hidden="false" customHeight="true" outlineLevel="0" collapsed="false">
      <c r="A2" s="4" t="s">
        <v>13</v>
      </c>
      <c r="B2" s="4" t="s">
        <v>14</v>
      </c>
      <c r="C2" s="4" t="s">
        <v>15</v>
      </c>
      <c r="D2" s="5" t="s">
        <v>16</v>
      </c>
      <c r="E2" s="4" t="s">
        <v>17</v>
      </c>
      <c r="F2" s="4" t="s">
        <v>18</v>
      </c>
      <c r="G2" s="5" t="s">
        <v>19</v>
      </c>
      <c r="H2" s="5" t="s">
        <v>20</v>
      </c>
      <c r="I2" s="4" t="s">
        <v>21</v>
      </c>
      <c r="J2" s="4" t="s">
        <v>22</v>
      </c>
      <c r="K2" s="5" t="s">
        <v>23</v>
      </c>
      <c r="L2" s="6" t="n">
        <v>46286</v>
      </c>
      <c r="M2" s="4" t="s">
        <v>24</v>
      </c>
    </row>
    <row r="3" customFormat="false" ht="57" hidden="false" customHeight="true" outlineLevel="0" collapsed="false">
      <c r="A3" s="4" t="s">
        <v>25</v>
      </c>
      <c r="B3" s="4" t="s">
        <v>26</v>
      </c>
      <c r="C3" s="4" t="s">
        <v>27</v>
      </c>
      <c r="D3" s="5" t="s">
        <v>16</v>
      </c>
      <c r="E3" s="4" t="s">
        <v>17</v>
      </c>
      <c r="F3" s="4" t="s">
        <v>18</v>
      </c>
      <c r="G3" s="5" t="s">
        <v>28</v>
      </c>
      <c r="H3" s="5" t="s">
        <v>20</v>
      </c>
      <c r="I3" s="5" t="s">
        <v>29</v>
      </c>
      <c r="J3" s="4" t="s">
        <v>22</v>
      </c>
      <c r="K3" s="5" t="s">
        <v>23</v>
      </c>
      <c r="L3" s="6" t="n">
        <v>46286</v>
      </c>
      <c r="M3" s="4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1" width="15.02"/>
    <col collapsed="false" customWidth="true" hidden="false" outlineLevel="0" max="3" min="3" style="1" width="6.68"/>
    <col collapsed="false" customWidth="true" hidden="false" outlineLevel="0" max="5" min="4" style="1" width="11.68"/>
    <col collapsed="false" customWidth="true" hidden="false" outlineLevel="0" max="7" min="6" style="1" width="15.02"/>
    <col collapsed="false" customWidth="true" hidden="false" outlineLevel="0" max="8" min="8" style="1" width="6.68"/>
    <col collapsed="false" customWidth="true" hidden="false" outlineLevel="0" max="9" min="9" style="1" width="50.08"/>
    <col collapsed="false" customWidth="true" hidden="false" outlineLevel="0" max="10" min="10" style="1" width="9.18"/>
  </cols>
  <sheetData>
    <row r="1" customFormat="false" ht="23.25" hidden="false" customHeight="true" outlineLevel="0" collapsed="false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11</v>
      </c>
    </row>
    <row r="2" customFormat="false" ht="23.25" hidden="false" customHeight="true" outlineLevel="0" collapsed="false">
      <c r="A2" s="5" t="s">
        <v>39</v>
      </c>
      <c r="B2" s="4" t="s">
        <v>40</v>
      </c>
      <c r="C2" s="7" t="n">
        <v>0.5</v>
      </c>
      <c r="D2" s="8" t="n">
        <v>100000</v>
      </c>
      <c r="E2" s="8" t="n">
        <v>200000</v>
      </c>
      <c r="F2" s="8" t="n">
        <f aca="false">E2*C2</f>
        <v>100000</v>
      </c>
      <c r="G2" s="8" t="n">
        <v>100000</v>
      </c>
      <c r="H2" s="4" t="str">
        <f aca="false">IF(F2=G2,"일치","확인")</f>
        <v>일치</v>
      </c>
      <c r="I2" s="5" t="s">
        <v>41</v>
      </c>
      <c r="J2" s="6" t="n">
        <v>46286</v>
      </c>
    </row>
    <row r="3" customFormat="false" ht="23.25" hidden="false" customHeight="true" outlineLevel="0" collapsed="false">
      <c r="A3" s="5" t="s">
        <v>42</v>
      </c>
      <c r="B3" s="4" t="s">
        <v>43</v>
      </c>
      <c r="C3" s="7" t="n">
        <v>0.5</v>
      </c>
      <c r="D3" s="8" t="n">
        <v>100000</v>
      </c>
      <c r="E3" s="8" t="n">
        <v>400000</v>
      </c>
      <c r="F3" s="8" t="n">
        <f aca="false">E3*C3</f>
        <v>200000</v>
      </c>
      <c r="G3" s="8" t="n">
        <v>200000</v>
      </c>
      <c r="H3" s="4" t="str">
        <f aca="false">IF(F3=G3,"일치","확인")</f>
        <v>일치</v>
      </c>
      <c r="I3" s="5" t="s">
        <v>41</v>
      </c>
      <c r="J3" s="6" t="n">
        <v>46286</v>
      </c>
    </row>
    <row r="4" customFormat="false" ht="23.25" hidden="false" customHeight="true" outlineLevel="0" collapsed="false">
      <c r="A4" s="5" t="s">
        <v>44</v>
      </c>
      <c r="B4" s="5" t="s">
        <v>45</v>
      </c>
      <c r="C4" s="7" t="n">
        <v>0.5</v>
      </c>
      <c r="D4" s="8" t="n">
        <v>100000</v>
      </c>
      <c r="E4" s="8" t="n">
        <v>400000</v>
      </c>
      <c r="F4" s="8" t="n">
        <f aca="false">E4*C4</f>
        <v>200000</v>
      </c>
      <c r="G4" s="8" t="n">
        <v>200000</v>
      </c>
      <c r="H4" s="4" t="str">
        <f aca="false">IF(F4=G4,"일치","확인")</f>
        <v>일치</v>
      </c>
      <c r="I4" s="5" t="s">
        <v>41</v>
      </c>
      <c r="J4" s="6" t="n">
        <v>46286</v>
      </c>
    </row>
    <row r="5" customFormat="false" ht="23.25" hidden="false" customHeight="true" outlineLevel="0" collapsed="false">
      <c r="A5" s="5" t="s">
        <v>46</v>
      </c>
      <c r="B5" s="5" t="s">
        <v>47</v>
      </c>
      <c r="C5" s="7" t="n">
        <v>0.5</v>
      </c>
      <c r="D5" s="8" t="n">
        <v>100000</v>
      </c>
      <c r="E5" s="8" t="n">
        <v>600000</v>
      </c>
      <c r="F5" s="8" t="n">
        <f aca="false">E5*C5</f>
        <v>300000</v>
      </c>
      <c r="G5" s="8" t="n">
        <v>300000</v>
      </c>
      <c r="H5" s="4" t="str">
        <f aca="false">IF(F5=G5,"일치","확인")</f>
        <v>일치</v>
      </c>
      <c r="I5" s="5" t="s">
        <v>41</v>
      </c>
      <c r="J5" s="6" t="n">
        <v>46286</v>
      </c>
    </row>
    <row r="6" customFormat="false" ht="23.25" hidden="false" customHeight="true" outlineLevel="0" collapsed="false">
      <c r="A6" s="5" t="s">
        <v>48</v>
      </c>
      <c r="B6" s="5" t="s">
        <v>49</v>
      </c>
      <c r="C6" s="7" t="n">
        <v>0.5</v>
      </c>
      <c r="D6" s="8" t="n">
        <v>100000</v>
      </c>
      <c r="E6" s="8" t="n">
        <v>800000</v>
      </c>
      <c r="F6" s="8" t="n">
        <f aca="false">E6*C6</f>
        <v>400000</v>
      </c>
      <c r="G6" s="8" t="n">
        <v>400000</v>
      </c>
      <c r="H6" s="4" t="str">
        <f aca="false">IF(F6=G6,"일치","확인")</f>
        <v>일치</v>
      </c>
      <c r="I6" s="5" t="s">
        <v>41</v>
      </c>
      <c r="J6" s="6" t="n">
        <v>46286</v>
      </c>
    </row>
    <row r="7" customFormat="false" ht="23.25" hidden="false" customHeight="true" outlineLevel="0" collapsed="false">
      <c r="A7" s="5" t="s">
        <v>50</v>
      </c>
      <c r="B7" s="5" t="s">
        <v>51</v>
      </c>
      <c r="C7" s="7" t="n">
        <v>0.5</v>
      </c>
      <c r="D7" s="8" t="n">
        <v>100000</v>
      </c>
      <c r="E7" s="8" t="n">
        <v>1000000</v>
      </c>
      <c r="F7" s="8" t="n">
        <f aca="false">E7*C7</f>
        <v>500000</v>
      </c>
      <c r="G7" s="8" t="n">
        <v>500000</v>
      </c>
      <c r="H7" s="4" t="str">
        <f aca="false">IF(F7=G7,"일치","확인")</f>
        <v>일치</v>
      </c>
      <c r="I7" s="5" t="s">
        <v>41</v>
      </c>
      <c r="J7" s="6" t="n">
        <v>46286</v>
      </c>
    </row>
    <row r="8" customFormat="false" ht="23.25" hidden="false" customHeight="true" outlineLevel="0" collapsed="false">
      <c r="A8" s="5" t="s">
        <v>52</v>
      </c>
      <c r="B8" s="4" t="s">
        <v>40</v>
      </c>
      <c r="C8" s="7" t="n">
        <v>0.7</v>
      </c>
      <c r="D8" s="8" t="n">
        <v>100000</v>
      </c>
      <c r="E8" s="8" t="n">
        <v>200000</v>
      </c>
      <c r="F8" s="8" t="n">
        <f aca="false">E8*C8</f>
        <v>140000</v>
      </c>
      <c r="G8" s="8" t="n">
        <v>140000</v>
      </c>
      <c r="H8" s="4" t="str">
        <f aca="false">IF(F8=G8,"일치","확인")</f>
        <v>일치</v>
      </c>
      <c r="I8" s="5" t="s">
        <v>41</v>
      </c>
      <c r="J8" s="6" t="n">
        <v>46286</v>
      </c>
    </row>
    <row r="10" customFormat="false" ht="15" hidden="false" customHeight="true" outlineLevel="0" collapsed="false">
      <c r="A10" s="9" t="s">
        <v>53</v>
      </c>
      <c r="B10" s="9" t="s">
        <v>54</v>
      </c>
      <c r="C10" s="9"/>
      <c r="D10" s="9"/>
      <c r="E10" s="9"/>
      <c r="F10" s="9"/>
      <c r="G10" s="9"/>
      <c r="H10" s="9"/>
      <c r="I10" s="9"/>
      <c r="J10" s="9"/>
    </row>
  </sheetData>
  <autoFilter ref="A1:J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15.02"/>
    <col collapsed="false" customWidth="true" hidden="false" outlineLevel="0" max="2" min="2" style="1" width="25.04"/>
    <col collapsed="false" customWidth="true" hidden="false" outlineLevel="0" max="3" min="3" style="1" width="18.36"/>
    <col collapsed="false" customWidth="true" hidden="false" outlineLevel="0" max="4" min="4" style="1" width="50.08"/>
    <col collapsed="false" customWidth="true" hidden="false" outlineLevel="0" max="6" min="5" style="1" width="9.18"/>
  </cols>
  <sheetData>
    <row r="1" customFormat="false" ht="15" hidden="false" customHeight="true" outlineLevel="0" collapsed="false">
      <c r="A1" s="2" t="s">
        <v>55</v>
      </c>
      <c r="B1" s="2" t="s">
        <v>56</v>
      </c>
      <c r="C1" s="2" t="s">
        <v>12</v>
      </c>
      <c r="D1" s="2" t="s">
        <v>38</v>
      </c>
      <c r="E1" s="2" t="s">
        <v>10</v>
      </c>
      <c r="F1" s="2" t="s">
        <v>11</v>
      </c>
    </row>
    <row r="2" customFormat="false" ht="23.25" hidden="false" customHeight="true" outlineLevel="0" collapsed="false">
      <c r="A2" s="5" t="s">
        <v>57</v>
      </c>
      <c r="B2" s="5" t="s">
        <v>58</v>
      </c>
      <c r="C2" s="4"/>
      <c r="D2" s="5" t="s">
        <v>41</v>
      </c>
      <c r="E2" s="4" t="s">
        <v>59</v>
      </c>
      <c r="F2" s="6" t="n">
        <v>46286</v>
      </c>
    </row>
    <row r="3" customFormat="false" ht="23.25" hidden="false" customHeight="true" outlineLevel="0" collapsed="false">
      <c r="A3" s="5" t="s">
        <v>57</v>
      </c>
      <c r="B3" s="5" t="s">
        <v>60</v>
      </c>
      <c r="C3" s="4"/>
      <c r="D3" s="5" t="s">
        <v>41</v>
      </c>
      <c r="E3" s="4" t="s">
        <v>59</v>
      </c>
      <c r="F3" s="6" t="n">
        <v>46286</v>
      </c>
    </row>
    <row r="4" customFormat="false" ht="23.25" hidden="false" customHeight="true" outlineLevel="0" collapsed="false">
      <c r="A4" s="5" t="s">
        <v>57</v>
      </c>
      <c r="B4" s="5" t="s">
        <v>61</v>
      </c>
      <c r="C4" s="4"/>
      <c r="D4" s="5" t="s">
        <v>41</v>
      </c>
      <c r="E4" s="4" t="s">
        <v>59</v>
      </c>
      <c r="F4" s="6" t="n">
        <v>46286</v>
      </c>
    </row>
    <row r="5" customFormat="false" ht="23.25" hidden="false" customHeight="true" outlineLevel="0" collapsed="false">
      <c r="A5" s="5" t="s">
        <v>57</v>
      </c>
      <c r="B5" s="5" t="s">
        <v>62</v>
      </c>
      <c r="C5" s="4"/>
      <c r="D5" s="5" t="s">
        <v>41</v>
      </c>
      <c r="E5" s="4" t="s">
        <v>59</v>
      </c>
      <c r="F5" s="6" t="n">
        <v>46286</v>
      </c>
    </row>
    <row r="6" customFormat="false" ht="23.25" hidden="false" customHeight="true" outlineLevel="0" collapsed="false">
      <c r="A6" s="5" t="s">
        <v>57</v>
      </c>
      <c r="B6" s="5" t="s">
        <v>63</v>
      </c>
      <c r="C6" s="4"/>
      <c r="D6" s="5" t="s">
        <v>41</v>
      </c>
      <c r="E6" s="4" t="s">
        <v>59</v>
      </c>
      <c r="F6" s="6" t="n">
        <v>46286</v>
      </c>
    </row>
    <row r="7" customFormat="false" ht="23.25" hidden="false" customHeight="true" outlineLevel="0" collapsed="false">
      <c r="A7" s="5" t="s">
        <v>64</v>
      </c>
      <c r="B7" s="5" t="s">
        <v>65</v>
      </c>
      <c r="C7" s="4"/>
      <c r="D7" s="5" t="s">
        <v>41</v>
      </c>
      <c r="E7" s="4" t="s">
        <v>59</v>
      </c>
      <c r="F7" s="6" t="n">
        <v>46286</v>
      </c>
    </row>
    <row r="8" customFormat="false" ht="23.25" hidden="false" customHeight="true" outlineLevel="0" collapsed="false">
      <c r="A8" s="5" t="s">
        <v>64</v>
      </c>
      <c r="B8" s="5" t="s">
        <v>66</v>
      </c>
      <c r="C8" s="4"/>
      <c r="D8" s="5" t="s">
        <v>41</v>
      </c>
      <c r="E8" s="4" t="s">
        <v>59</v>
      </c>
      <c r="F8" s="6" t="n">
        <v>46286</v>
      </c>
    </row>
    <row r="9" customFormat="false" ht="23.25" hidden="false" customHeight="true" outlineLevel="0" collapsed="false">
      <c r="A9" s="5" t="s">
        <v>64</v>
      </c>
      <c r="B9" s="5" t="s">
        <v>67</v>
      </c>
      <c r="C9" s="4"/>
      <c r="D9" s="5" t="s">
        <v>41</v>
      </c>
      <c r="E9" s="4" t="s">
        <v>59</v>
      </c>
      <c r="F9" s="6" t="n">
        <v>46286</v>
      </c>
    </row>
    <row r="10" customFormat="false" ht="23.25" hidden="false" customHeight="true" outlineLevel="0" collapsed="false">
      <c r="A10" s="5" t="s">
        <v>68</v>
      </c>
      <c r="B10" s="5" t="s">
        <v>69</v>
      </c>
      <c r="C10" s="4"/>
      <c r="D10" s="5" t="s">
        <v>41</v>
      </c>
      <c r="E10" s="4" t="s">
        <v>59</v>
      </c>
      <c r="F10" s="6" t="n">
        <v>46286</v>
      </c>
    </row>
    <row r="11" customFormat="false" ht="23.25" hidden="false" customHeight="true" outlineLevel="0" collapsed="false">
      <c r="A11" s="5" t="s">
        <v>68</v>
      </c>
      <c r="B11" s="5" t="s">
        <v>70</v>
      </c>
      <c r="C11" s="4"/>
      <c r="D11" s="5" t="s">
        <v>41</v>
      </c>
      <c r="E11" s="4" t="s">
        <v>59</v>
      </c>
      <c r="F11" s="6" t="n">
        <v>46286</v>
      </c>
    </row>
    <row r="12" customFormat="false" ht="23.25" hidden="false" customHeight="true" outlineLevel="0" collapsed="false">
      <c r="A12" s="5" t="s">
        <v>68</v>
      </c>
      <c r="B12" s="5" t="s">
        <v>71</v>
      </c>
      <c r="C12" s="4"/>
      <c r="D12" s="5" t="s">
        <v>41</v>
      </c>
      <c r="E12" s="4" t="s">
        <v>59</v>
      </c>
      <c r="F12" s="6" t="n">
        <v>46286</v>
      </c>
    </row>
    <row r="13" customFormat="false" ht="23.25" hidden="false" customHeight="true" outlineLevel="0" collapsed="false">
      <c r="A13" s="5" t="s">
        <v>68</v>
      </c>
      <c r="B13" s="5" t="s">
        <v>72</v>
      </c>
      <c r="C13" s="4"/>
      <c r="D13" s="5" t="s">
        <v>41</v>
      </c>
      <c r="E13" s="4" t="s">
        <v>59</v>
      </c>
      <c r="F13" s="6" t="n">
        <v>46286</v>
      </c>
    </row>
    <row r="14" customFormat="false" ht="23.25" hidden="false" customHeight="true" outlineLevel="0" collapsed="false">
      <c r="A14" s="5" t="s">
        <v>68</v>
      </c>
      <c r="B14" s="5" t="s">
        <v>73</v>
      </c>
      <c r="C14" s="5" t="s">
        <v>74</v>
      </c>
      <c r="D14" s="5" t="s">
        <v>41</v>
      </c>
      <c r="E14" s="4" t="s">
        <v>59</v>
      </c>
      <c r="F14" s="6" t="n">
        <v>46286</v>
      </c>
    </row>
    <row r="15" customFormat="false" ht="23.25" hidden="false" customHeight="true" outlineLevel="0" collapsed="false">
      <c r="A15" s="5" t="s">
        <v>68</v>
      </c>
      <c r="B15" s="5" t="s">
        <v>75</v>
      </c>
      <c r="C15" s="4"/>
      <c r="D15" s="5" t="s">
        <v>41</v>
      </c>
      <c r="E15" s="4" t="s">
        <v>59</v>
      </c>
      <c r="F15" s="6" t="n">
        <v>46286</v>
      </c>
    </row>
    <row r="16" customFormat="false" ht="23.25" hidden="false" customHeight="true" outlineLevel="0" collapsed="false">
      <c r="A16" s="5" t="s">
        <v>68</v>
      </c>
      <c r="B16" s="5" t="s">
        <v>76</v>
      </c>
      <c r="C16" s="4"/>
      <c r="D16" s="5" t="s">
        <v>41</v>
      </c>
      <c r="E16" s="4" t="s">
        <v>59</v>
      </c>
      <c r="F16" s="6" t="n">
        <v>46286</v>
      </c>
    </row>
    <row r="17" customFormat="false" ht="23.25" hidden="false" customHeight="true" outlineLevel="0" collapsed="false">
      <c r="A17" s="5" t="s">
        <v>77</v>
      </c>
      <c r="B17" s="5" t="s">
        <v>78</v>
      </c>
      <c r="C17" s="4"/>
      <c r="D17" s="5" t="s">
        <v>41</v>
      </c>
      <c r="E17" s="4" t="s">
        <v>59</v>
      </c>
      <c r="F17" s="6" t="n">
        <v>46286</v>
      </c>
    </row>
    <row r="18" customFormat="false" ht="23.25" hidden="false" customHeight="true" outlineLevel="0" collapsed="false">
      <c r="A18" s="5" t="s">
        <v>77</v>
      </c>
      <c r="B18" s="5" t="s">
        <v>79</v>
      </c>
      <c r="C18" s="4"/>
      <c r="D18" s="5" t="s">
        <v>41</v>
      </c>
      <c r="E18" s="4" t="s">
        <v>59</v>
      </c>
      <c r="F18" s="6" t="n">
        <v>46286</v>
      </c>
    </row>
    <row r="19" customFormat="false" ht="23.25" hidden="false" customHeight="true" outlineLevel="0" collapsed="false">
      <c r="A19" s="5" t="s">
        <v>77</v>
      </c>
      <c r="B19" s="5" t="s">
        <v>80</v>
      </c>
      <c r="C19" s="4"/>
      <c r="D19" s="5" t="s">
        <v>41</v>
      </c>
      <c r="E19" s="4" t="s">
        <v>59</v>
      </c>
      <c r="F19" s="6" t="n">
        <v>46286</v>
      </c>
    </row>
    <row r="20" customFormat="false" ht="23.25" hidden="false" customHeight="true" outlineLevel="0" collapsed="false">
      <c r="A20" s="5" t="s">
        <v>77</v>
      </c>
      <c r="B20" s="5" t="s">
        <v>81</v>
      </c>
      <c r="C20" s="4"/>
      <c r="D20" s="5" t="s">
        <v>41</v>
      </c>
      <c r="E20" s="4" t="s">
        <v>59</v>
      </c>
      <c r="F20" s="6" t="n">
        <v>46286</v>
      </c>
    </row>
    <row r="21" customFormat="false" ht="23.25" hidden="false" customHeight="true" outlineLevel="0" collapsed="false">
      <c r="A21" s="5" t="s">
        <v>77</v>
      </c>
      <c r="B21" s="5" t="s">
        <v>82</v>
      </c>
      <c r="C21" s="4"/>
      <c r="D21" s="5" t="s">
        <v>41</v>
      </c>
      <c r="E21" s="4" t="s">
        <v>59</v>
      </c>
      <c r="F21" s="6" t="n">
        <v>46286</v>
      </c>
    </row>
    <row r="22" customFormat="false" ht="23.25" hidden="false" customHeight="true" outlineLevel="0" collapsed="false">
      <c r="A22" s="5" t="s">
        <v>77</v>
      </c>
      <c r="B22" s="5" t="s">
        <v>83</v>
      </c>
      <c r="C22" s="4"/>
      <c r="D22" s="5" t="s">
        <v>41</v>
      </c>
      <c r="E22" s="4" t="s">
        <v>59</v>
      </c>
      <c r="F22" s="6" t="n">
        <v>46286</v>
      </c>
    </row>
    <row r="23" customFormat="false" ht="23.25" hidden="false" customHeight="true" outlineLevel="0" collapsed="false">
      <c r="A23" s="5" t="s">
        <v>77</v>
      </c>
      <c r="B23" s="5" t="s">
        <v>84</v>
      </c>
      <c r="C23" s="4"/>
      <c r="D23" s="5" t="s">
        <v>41</v>
      </c>
      <c r="E23" s="4" t="s">
        <v>59</v>
      </c>
      <c r="F23" s="6" t="n">
        <v>46286</v>
      </c>
    </row>
    <row r="24" customFormat="false" ht="23.25" hidden="false" customHeight="true" outlineLevel="0" collapsed="false">
      <c r="A24" s="5" t="s">
        <v>77</v>
      </c>
      <c r="B24" s="5" t="s">
        <v>85</v>
      </c>
      <c r="C24" s="4"/>
      <c r="D24" s="5" t="s">
        <v>41</v>
      </c>
      <c r="E24" s="4" t="s">
        <v>59</v>
      </c>
      <c r="F24" s="6" t="n">
        <v>46286</v>
      </c>
    </row>
    <row r="25" customFormat="false" ht="23.25" hidden="false" customHeight="true" outlineLevel="0" collapsed="false">
      <c r="A25" s="5" t="s">
        <v>77</v>
      </c>
      <c r="B25" s="5" t="s">
        <v>86</v>
      </c>
      <c r="C25" s="4"/>
      <c r="D25" s="5" t="s">
        <v>41</v>
      </c>
      <c r="E25" s="4" t="s">
        <v>59</v>
      </c>
      <c r="F25" s="6" t="n">
        <v>46286</v>
      </c>
    </row>
    <row r="26" customFormat="false" ht="23.25" hidden="false" customHeight="true" outlineLevel="0" collapsed="false">
      <c r="A26" s="5" t="s">
        <v>77</v>
      </c>
      <c r="B26" s="5" t="s">
        <v>87</v>
      </c>
      <c r="C26" s="4"/>
      <c r="D26" s="5" t="s">
        <v>41</v>
      </c>
      <c r="E26" s="4" t="s">
        <v>59</v>
      </c>
      <c r="F26" s="6" t="n">
        <v>46286</v>
      </c>
    </row>
    <row r="27" customFormat="false" ht="23.25" hidden="false" customHeight="true" outlineLevel="0" collapsed="false">
      <c r="A27" s="5" t="s">
        <v>77</v>
      </c>
      <c r="B27" s="5" t="s">
        <v>88</v>
      </c>
      <c r="C27" s="4"/>
      <c r="D27" s="5" t="s">
        <v>41</v>
      </c>
      <c r="E27" s="4" t="s">
        <v>59</v>
      </c>
      <c r="F27" s="6" t="n">
        <v>46286</v>
      </c>
    </row>
    <row r="28" customFormat="false" ht="23.25" hidden="false" customHeight="true" outlineLevel="0" collapsed="false">
      <c r="A28" s="5" t="s">
        <v>77</v>
      </c>
      <c r="B28" s="5" t="s">
        <v>89</v>
      </c>
      <c r="C28" s="4"/>
      <c r="D28" s="5" t="s">
        <v>41</v>
      </c>
      <c r="E28" s="4" t="s">
        <v>59</v>
      </c>
      <c r="F28" s="6" t="n">
        <v>46286</v>
      </c>
    </row>
    <row r="29" customFormat="false" ht="23.25" hidden="false" customHeight="true" outlineLevel="0" collapsed="false">
      <c r="A29" s="5" t="s">
        <v>90</v>
      </c>
      <c r="B29" s="5" t="s">
        <v>91</v>
      </c>
      <c r="C29" s="4"/>
      <c r="D29" s="5" t="s">
        <v>41</v>
      </c>
      <c r="E29" s="4" t="s">
        <v>59</v>
      </c>
      <c r="F29" s="6" t="n">
        <v>46286</v>
      </c>
    </row>
    <row r="30" customFormat="false" ht="23.25" hidden="false" customHeight="true" outlineLevel="0" collapsed="false">
      <c r="A30" s="5" t="s">
        <v>90</v>
      </c>
      <c r="B30" s="5" t="s">
        <v>92</v>
      </c>
      <c r="C30" s="4"/>
      <c r="D30" s="5" t="s">
        <v>41</v>
      </c>
      <c r="E30" s="4" t="s">
        <v>59</v>
      </c>
      <c r="F30" s="6" t="n">
        <v>46286</v>
      </c>
    </row>
    <row r="31" customFormat="false" ht="23.25" hidden="false" customHeight="true" outlineLevel="0" collapsed="false">
      <c r="A31" s="5" t="s">
        <v>93</v>
      </c>
      <c r="B31" s="5" t="s">
        <v>94</v>
      </c>
      <c r="C31" s="4"/>
      <c r="D31" s="5" t="s">
        <v>41</v>
      </c>
      <c r="E31" s="4" t="s">
        <v>59</v>
      </c>
      <c r="F31" s="6" t="n">
        <v>46286</v>
      </c>
    </row>
    <row r="32" customFormat="false" ht="23.25" hidden="false" customHeight="true" outlineLevel="0" collapsed="false">
      <c r="A32" s="5" t="s">
        <v>93</v>
      </c>
      <c r="B32" s="5" t="s">
        <v>95</v>
      </c>
      <c r="C32" s="4"/>
      <c r="D32" s="5" t="s">
        <v>41</v>
      </c>
      <c r="E32" s="4" t="s">
        <v>59</v>
      </c>
      <c r="F32" s="6" t="n">
        <v>46286</v>
      </c>
    </row>
    <row r="33" customFormat="false" ht="23.25" hidden="false" customHeight="true" outlineLevel="0" collapsed="false">
      <c r="A33" s="5" t="s">
        <v>93</v>
      </c>
      <c r="B33" s="5" t="s">
        <v>96</v>
      </c>
      <c r="C33" s="4"/>
      <c r="D33" s="5" t="s">
        <v>41</v>
      </c>
      <c r="E33" s="4" t="s">
        <v>59</v>
      </c>
      <c r="F33" s="6" t="n">
        <v>46286</v>
      </c>
    </row>
    <row r="34" customFormat="false" ht="23.25" hidden="false" customHeight="true" outlineLevel="0" collapsed="false">
      <c r="A34" s="5" t="s">
        <v>93</v>
      </c>
      <c r="B34" s="5" t="s">
        <v>97</v>
      </c>
      <c r="C34" s="4"/>
      <c r="D34" s="5" t="s">
        <v>41</v>
      </c>
      <c r="E34" s="4" t="s">
        <v>59</v>
      </c>
      <c r="F34" s="6" t="n">
        <v>46286</v>
      </c>
    </row>
    <row r="35" customFormat="false" ht="23.25" hidden="false" customHeight="true" outlineLevel="0" collapsed="false">
      <c r="A35" s="5" t="s">
        <v>93</v>
      </c>
      <c r="B35" s="5" t="s">
        <v>98</v>
      </c>
      <c r="C35" s="4"/>
      <c r="D35" s="5" t="s">
        <v>41</v>
      </c>
      <c r="E35" s="4" t="s">
        <v>59</v>
      </c>
      <c r="F35" s="6" t="n">
        <v>46286</v>
      </c>
    </row>
    <row r="36" customFormat="false" ht="23.25" hidden="false" customHeight="true" outlineLevel="0" collapsed="false">
      <c r="A36" s="5" t="s">
        <v>99</v>
      </c>
      <c r="B36" s="5" t="s">
        <v>100</v>
      </c>
      <c r="C36" s="4"/>
      <c r="D36" s="5" t="s">
        <v>41</v>
      </c>
      <c r="E36" s="4" t="s">
        <v>59</v>
      </c>
      <c r="F36" s="6" t="n">
        <v>46286</v>
      </c>
    </row>
    <row r="37" customFormat="false" ht="23.25" hidden="false" customHeight="true" outlineLevel="0" collapsed="false">
      <c r="A37" s="5" t="s">
        <v>99</v>
      </c>
      <c r="B37" s="5" t="s">
        <v>101</v>
      </c>
      <c r="C37" s="4"/>
      <c r="D37" s="5" t="s">
        <v>41</v>
      </c>
      <c r="E37" s="4" t="s">
        <v>59</v>
      </c>
      <c r="F37" s="6" t="n">
        <v>46286</v>
      </c>
    </row>
    <row r="38" customFormat="false" ht="15" hidden="false" customHeight="true" outlineLevel="0" collapsed="false">
      <c r="A38" s="9"/>
      <c r="B38" s="9"/>
      <c r="C38" s="9"/>
      <c r="D38" s="9"/>
      <c r="E38" s="9"/>
      <c r="F38" s="9"/>
    </row>
    <row r="39" customFormat="false" ht="15" hidden="false" customHeight="true" outlineLevel="0" collapsed="false">
      <c r="A39" s="9" t="s">
        <v>102</v>
      </c>
      <c r="B39" s="9"/>
      <c r="C39" s="9"/>
      <c r="D39" s="9"/>
      <c r="E39" s="9"/>
      <c r="F39" s="9"/>
    </row>
    <row r="40" customFormat="false" ht="15" hidden="false" customHeight="true" outlineLevel="0" collapsed="false">
      <c r="A40" s="9" t="s">
        <v>57</v>
      </c>
      <c r="B40" s="9" t="n">
        <f aca="false">COUNTIF($A$2:$A$37,A40)</f>
        <v>5</v>
      </c>
      <c r="C40" s="9"/>
      <c r="D40" s="9"/>
      <c r="E40" s="9"/>
      <c r="F40" s="9"/>
    </row>
    <row r="41" customFormat="false" ht="15" hidden="false" customHeight="true" outlineLevel="0" collapsed="false">
      <c r="A41" s="9" t="s">
        <v>64</v>
      </c>
      <c r="B41" s="9" t="n">
        <f aca="false">COUNTIF($A$2:$A$37,A41)</f>
        <v>3</v>
      </c>
      <c r="C41" s="9"/>
      <c r="D41" s="9"/>
      <c r="E41" s="9"/>
      <c r="F41" s="9"/>
    </row>
    <row r="42" customFormat="false" ht="15" hidden="false" customHeight="true" outlineLevel="0" collapsed="false">
      <c r="A42" s="9" t="s">
        <v>68</v>
      </c>
      <c r="B42" s="9" t="n">
        <f aca="false">COUNTIF($A$2:$A$37,A42)</f>
        <v>7</v>
      </c>
      <c r="C42" s="9"/>
      <c r="D42" s="9"/>
      <c r="E42" s="9"/>
      <c r="F42" s="9"/>
    </row>
    <row r="43" customFormat="false" ht="15" hidden="false" customHeight="true" outlineLevel="0" collapsed="false">
      <c r="A43" s="9" t="s">
        <v>77</v>
      </c>
      <c r="B43" s="9" t="n">
        <f aca="false">COUNTIF($A$2:$A$37,A43)</f>
        <v>12</v>
      </c>
      <c r="C43" s="9"/>
      <c r="D43" s="9"/>
      <c r="E43" s="9"/>
      <c r="F43" s="9"/>
    </row>
    <row r="44" customFormat="false" ht="15" hidden="false" customHeight="true" outlineLevel="0" collapsed="false">
      <c r="A44" s="9" t="s">
        <v>90</v>
      </c>
      <c r="B44" s="9" t="n">
        <f aca="false">COUNTIF($A$2:$A$37,A44)</f>
        <v>2</v>
      </c>
      <c r="C44" s="9"/>
      <c r="D44" s="9"/>
      <c r="E44" s="9"/>
      <c r="F44" s="9"/>
    </row>
    <row r="45" customFormat="false" ht="15" hidden="false" customHeight="true" outlineLevel="0" collapsed="false">
      <c r="A45" s="9" t="s">
        <v>93</v>
      </c>
      <c r="B45" s="9" t="n">
        <f aca="false">COUNTIF($A$2:$A$37,A45)</f>
        <v>5</v>
      </c>
      <c r="C45" s="9"/>
      <c r="D45" s="9"/>
      <c r="E45" s="9"/>
      <c r="F45" s="9"/>
    </row>
    <row r="46" customFormat="false" ht="15" hidden="false" customHeight="true" outlineLevel="0" collapsed="false">
      <c r="A46" s="9" t="s">
        <v>99</v>
      </c>
      <c r="B46" s="9" t="n">
        <f aca="false">COUNTIF($A$2:$A$37,A46)</f>
        <v>2</v>
      </c>
      <c r="C46" s="9"/>
      <c r="D46" s="9"/>
      <c r="E46" s="9"/>
      <c r="F46" s="9"/>
    </row>
    <row r="47" customFormat="false" ht="15" hidden="false" customHeight="true" outlineLevel="0" collapsed="false">
      <c r="A47" s="9" t="s">
        <v>103</v>
      </c>
      <c r="B47" s="9" t="n">
        <f aca="false">SUM(B40:B46)</f>
        <v>36</v>
      </c>
      <c r="C47" s="9"/>
      <c r="D47" s="9"/>
      <c r="E47" s="9"/>
      <c r="F47" s="9"/>
    </row>
  </sheetData>
  <autoFilter ref="A1:F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1" width="83.46"/>
    <col collapsed="false" customWidth="true" hidden="false" outlineLevel="0" max="3" min="3" style="1" width="41.73"/>
    <col collapsed="false" customWidth="true" hidden="false" outlineLevel="0" max="4" min="4" style="1" width="9.18"/>
  </cols>
  <sheetData>
    <row r="1" customFormat="false" ht="15" hidden="false" customHeight="true" outlineLevel="0" collapsed="false">
      <c r="A1" s="2" t="s">
        <v>104</v>
      </c>
      <c r="B1" s="2" t="s">
        <v>105</v>
      </c>
      <c r="C1" s="2" t="s">
        <v>38</v>
      </c>
      <c r="D1" s="2" t="s">
        <v>11</v>
      </c>
    </row>
    <row r="2" customFormat="false" ht="23.25" hidden="false" customHeight="true" outlineLevel="0" collapsed="false">
      <c r="A2" s="5" t="s">
        <v>106</v>
      </c>
      <c r="B2" s="5" t="s">
        <v>107</v>
      </c>
      <c r="C2" s="5" t="s">
        <v>41</v>
      </c>
      <c r="D2" s="6" t="n">
        <v>46286</v>
      </c>
    </row>
    <row r="3" customFormat="false" ht="23.25" hidden="false" customHeight="true" outlineLevel="0" collapsed="false">
      <c r="A3" s="5" t="s">
        <v>108</v>
      </c>
      <c r="B3" s="5" t="s">
        <v>109</v>
      </c>
      <c r="C3" s="5" t="s">
        <v>41</v>
      </c>
      <c r="D3" s="6" t="n">
        <v>46286</v>
      </c>
    </row>
    <row r="4" customFormat="false" ht="23.25" hidden="false" customHeight="true" outlineLevel="0" collapsed="false">
      <c r="A4" s="5" t="s">
        <v>110</v>
      </c>
      <c r="B4" s="5" t="s">
        <v>111</v>
      </c>
      <c r="C4" s="5" t="s">
        <v>41</v>
      </c>
      <c r="D4" s="6" t="n">
        <v>46286</v>
      </c>
    </row>
    <row r="5" customFormat="false" ht="23.25" hidden="false" customHeight="true" outlineLevel="0" collapsed="false">
      <c r="A5" s="5" t="s">
        <v>112</v>
      </c>
      <c r="B5" s="5" t="s">
        <v>113</v>
      </c>
      <c r="C5" s="5" t="s">
        <v>41</v>
      </c>
      <c r="D5" s="6" t="n">
        <v>46286</v>
      </c>
    </row>
    <row r="6" customFormat="false" ht="23.25" hidden="false" customHeight="true" outlineLevel="0" collapsed="false">
      <c r="A6" s="5" t="s">
        <v>114</v>
      </c>
      <c r="B6" s="5" t="s">
        <v>115</v>
      </c>
      <c r="C6" s="5" t="s">
        <v>41</v>
      </c>
      <c r="D6" s="6" t="n">
        <v>46286</v>
      </c>
    </row>
    <row r="7" customFormat="false" ht="23.25" hidden="false" customHeight="true" outlineLevel="0" collapsed="false">
      <c r="A7" s="5" t="s">
        <v>116</v>
      </c>
      <c r="B7" s="5" t="s">
        <v>117</v>
      </c>
      <c r="C7" s="5" t="s">
        <v>41</v>
      </c>
      <c r="D7" s="6" t="n">
        <v>46286</v>
      </c>
    </row>
    <row r="8" customFormat="false" ht="23.25" hidden="false" customHeight="true" outlineLevel="0" collapsed="false">
      <c r="A8" s="5" t="s">
        <v>118</v>
      </c>
      <c r="B8" s="5" t="s">
        <v>119</v>
      </c>
      <c r="C8" s="5" t="s">
        <v>41</v>
      </c>
      <c r="D8" s="6" t="n">
        <v>46286</v>
      </c>
    </row>
  </sheetData>
  <autoFilter ref="A1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100.15"/>
  </cols>
  <sheetData>
    <row r="1" customFormat="false" ht="15" hidden="false" customHeight="true" outlineLevel="0" collapsed="false">
      <c r="A1" s="10" t="s">
        <v>104</v>
      </c>
      <c r="B1" s="10" t="s">
        <v>105</v>
      </c>
    </row>
    <row r="2" customFormat="false" ht="23.25" hidden="false" customHeight="true" outlineLevel="0" collapsed="false">
      <c r="A2" s="5" t="s">
        <v>120</v>
      </c>
      <c r="B2" s="5" t="s">
        <v>121</v>
      </c>
    </row>
    <row r="3" customFormat="false" ht="15" hidden="false" customHeight="true" outlineLevel="0" collapsed="false">
      <c r="A3" s="4" t="s">
        <v>122</v>
      </c>
      <c r="B3" s="5" t="s">
        <v>123</v>
      </c>
    </row>
    <row r="4" customFormat="false" ht="23.25" hidden="false" customHeight="true" outlineLevel="0" collapsed="false">
      <c r="A4" s="5" t="s">
        <v>124</v>
      </c>
      <c r="B4" s="4" t="s">
        <v>125</v>
      </c>
    </row>
    <row r="5" customFormat="false" ht="15" hidden="false" customHeight="true" outlineLevel="0" collapsed="false">
      <c r="A5" s="5" t="s">
        <v>7</v>
      </c>
      <c r="B5" s="5" t="s">
        <v>126</v>
      </c>
    </row>
    <row r="6" customFormat="false" ht="15" hidden="false" customHeight="true" outlineLevel="0" collapsed="false">
      <c r="A6" s="5" t="s">
        <v>127</v>
      </c>
      <c r="B6" s="5" t="s">
        <v>128</v>
      </c>
    </row>
    <row r="7" customFormat="false" ht="15" hidden="false" customHeight="true" outlineLevel="0" collapsed="false">
      <c r="A7" s="5" t="s">
        <v>11</v>
      </c>
      <c r="B7" s="4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2026-09-21T22:20:30Z</dcterms:created>
  <dc:creator>openpyxl</dc:creator>
  <dc:description/>
  <dc:language>ko-KR</dc:language>
  <cp:lastModifiedBy/>
  <dcterms:modified xsi:type="dcterms:W3CDTF">2026-09-21T23:01:28Z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