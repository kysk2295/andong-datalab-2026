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우리 시군 계산" sheetId="2" state="visible" r:id="rId4"/>
    <sheet name="가중치" sheetId="3" state="visible" r:id="rId5"/>
    <sheet name="진단표" sheetId="4" state="visible" r:id="rId6"/>
    <sheet name="유형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<sst xmlns="http://schemas.openxmlformats.org/spreadsheetml/2006/main" count="231" uniqueCount="215">
  <si>
    <t xml:space="preserve">안동 이어드림 · ⑦ 전국 진단표</t>
  </si>
  <si>
    <t xml:space="preserve">무엇을 하나</t>
  </si>
  <si>
    <t xml:space="preserve">전국 시·군이 "방문은 오는데 소비·체류로 안 이어지는" 문제를 네 지표로 스스로 진단하는 탐색 지표다. 정책 효과 점수가 아니라, 추가 진단이 필요한 곳과 문제 유형을 골라낸다.</t>
  </si>
  <si>
    <t xml:space="preserve">대상: 네 지표가 모두 있는 시·군 144곳(외지인 방문 연인원 2026년 1~8월 100만 이상, 광역시 자치구 제외).</t>
  </si>
  <si>
    <t xml:space="preserve">쓰는 법</t>
  </si>
  <si>
    <t xml:space="preserve">1. 「가중치」에서 네 지표의 가중치를 바꾸면 「진단표」의 점수·순위가 다시 계산된다(기본 같은 가중치).</t>
  </si>
  <si>
    <t xml:space="preserve">2. 「우리 시군 계산」에 우리 시·군의 네 값을 넣으면 문제 백분위, 진단 점수, 전국 순위, 유형이 나온다. 예시로 안동 값이 들어 있다.</t>
  </si>
  <si>
    <t xml:space="preserve">3. 「유형」 시트에서 같은 문제 조합을 가진 시·군 목록을 본다. 유형 = 문제 백분위 75 이상(하위 25%)인 지표의 조합.</t>
  </si>
  <si>
    <t xml:space="preserve">읽는 법</t>
  </si>
  <si>
    <t xml:space="preserve">문제 백분위: 0 = 전국에서 가장 좋음, 100 = 가장 나쁨. 네 지표 모두 값이 낮을수록 문제로 본다.</t>
  </si>
  <si>
    <t xml:space="preserve">가중치에 따라 순위가 크게 흔들리는 곳이 많다(「진단표」 순위 P10~P90). 그래서 점수 하나보다 유형으로 읽는다.</t>
  </si>
  <si>
    <t xml:space="preserve">노란 칸 = 바꿔 넣는 값 · 파란 글자 = 데이터로 계산한 고정값 · 검은 글자 = 수식</t>
  </si>
  <si>
    <t xml:space="preserve">우리 시·군 계산 — 노란 칸에 네 값을 넣는다 (예시: 안동)</t>
  </si>
  <si>
    <t xml:space="preserve">지표</t>
  </si>
  <si>
    <t xml:space="preserve">우리 값</t>
  </si>
  <si>
    <t xml:space="preserve">전국 중앙</t>
  </si>
  <si>
    <t xml:space="preserve">문제 백분위</t>
  </si>
  <si>
    <t xml:space="preserve">해석</t>
  </si>
  <si>
    <t xml:space="preserve">체험·문화 소비 변화율</t>
  </si>
  <si>
    <t xml:space="preserve">평균 숙박일수</t>
  </si>
  <si>
    <t xml:space="preserve">저녁 전환율</t>
  </si>
  <si>
    <t xml:space="preserve">야간 방문 비중</t>
  </si>
  <si>
    <t xml:space="preserve">진단 점수</t>
  </si>
  <si>
    <t xml:space="preserve">전국 144곳 중 순위</t>
  </si>
  <si>
    <t xml:space="preserve">유형</t>
  </si>
  <si>
    <t xml:space="preserve">같은 유형 시·군 수</t>
  </si>
  <si>
    <t xml:space="preserve">※ 유형이 같은 시·군 목록은 「유형」 시트. 이 표는 추가 진단이 필요한 곳을 찾는 탐색 지표이며 정책 효과 점수가 아니다.</t>
  </si>
  <si>
    <t xml:space="preserve">가중치 — 노란 칸만 바꾼다 (합이 1이 아니어도 자동으로 나눈다)</t>
  </si>
  <si>
    <t xml:space="preserve">가중치</t>
  </si>
  <si>
    <t xml:space="preserve">정의</t>
  </si>
  <si>
    <t xml:space="preserve">출처</t>
  </si>
  <si>
    <t xml:space="preserve">외지인 방문당 체험·문화 소비(문화서비스+관광유원시설+기타레저)의 2024→2026 1~8월 변화율. 낮을수록 문제</t>
  </si>
  <si>
    <t xml:space="preserve">데이터랩 BDT_02_01_003(외지인 카드) ÷ BDT_01_01_006(방문)</t>
  </si>
  <si>
    <t xml:space="preserve">숙박 방문객의 평균 숙박일수(2025 월평균). 짧을수록 문제</t>
  </si>
  <si>
    <t xml:space="preserve">데이터랩 LN_02_01_013</t>
  </si>
  <si>
    <t xml:space="preserve">18~21시 방문 ÷ 14~18시 방문(2026 1~8월). 낮 방문객이 저녁까지 남는 정도. 낮을수록 문제</t>
  </si>
  <si>
    <t xml:space="preserve">데이터랩 BDT_01_01_006 시간대</t>
  </si>
  <si>
    <t xml:space="preserve">21~24시 방문 ÷ 06~24시 방문(2026 1~8월). 낮을수록 문제</t>
  </si>
  <si>
    <t xml:space="preserve">합계</t>
  </si>
  <si>
    <t xml:space="preserve">전국 144개 시·군 진단표 (가중치를 바꾸면 점수·순위·유형이 다시 계산된다)</t>
  </si>
  <si>
    <t xml:space="preserve">시·군</t>
  </si>
  <si>
    <t xml:space="preserve">체험·문화 소비 변화율
문제 백분위</t>
  </si>
  <si>
    <t xml:space="preserve">평균 숙박일수
문제 백분위</t>
  </si>
  <si>
    <t xml:space="preserve">저녁 전환율
문제 백분위</t>
  </si>
  <si>
    <t xml:space="preserve">야간 방문 비중
문제 백분위</t>
  </si>
  <si>
    <t xml:space="preserve">순위</t>
  </si>
  <si>
    <t xml:space="preserve">순위 P10
(가중치 무작위)</t>
  </si>
  <si>
    <t xml:space="preserve">순위 P90</t>
  </si>
  <si>
    <t xml:space="preserve">상위 20 안에
드는 비율</t>
  </si>
  <si>
    <t xml:space="preserve">기장군</t>
  </si>
  <si>
    <t xml:space="preserve">진안군</t>
  </si>
  <si>
    <t xml:space="preserve">청도군</t>
  </si>
  <si>
    <t xml:space="preserve">합천군</t>
  </si>
  <si>
    <t xml:space="preserve">화순군</t>
  </si>
  <si>
    <t xml:space="preserve">완주군</t>
  </si>
  <si>
    <t xml:space="preserve">인제군</t>
  </si>
  <si>
    <t xml:space="preserve">순창군</t>
  </si>
  <si>
    <t xml:space="preserve">담양군</t>
  </si>
  <si>
    <t xml:space="preserve">금산군</t>
  </si>
  <si>
    <t xml:space="preserve">횡성군</t>
  </si>
  <si>
    <t xml:space="preserve">단양군</t>
  </si>
  <si>
    <t xml:space="preserve">울주군</t>
  </si>
  <si>
    <t xml:space="preserve">임실군</t>
  </si>
  <si>
    <t xml:space="preserve">고령군</t>
  </si>
  <si>
    <t xml:space="preserve">의령군</t>
  </si>
  <si>
    <t xml:space="preserve">예산군</t>
  </si>
  <si>
    <t xml:space="preserve">구례군</t>
  </si>
  <si>
    <t xml:space="preserve">보성군</t>
  </si>
  <si>
    <t xml:space="preserve">의성군</t>
  </si>
  <si>
    <t xml:space="preserve">영덕군</t>
  </si>
  <si>
    <t xml:space="preserve">여주시</t>
  </si>
  <si>
    <t xml:space="preserve">서천군</t>
  </si>
  <si>
    <t xml:space="preserve">남원시</t>
  </si>
  <si>
    <t xml:space="preserve">함평군</t>
  </si>
  <si>
    <t xml:space="preserve">창녕군</t>
  </si>
  <si>
    <t xml:space="preserve">부여군</t>
  </si>
  <si>
    <t xml:space="preserve">강진군</t>
  </si>
  <si>
    <t xml:space="preserve">양양군</t>
  </si>
  <si>
    <t xml:space="preserve">성주군</t>
  </si>
  <si>
    <t xml:space="preserve">광양시</t>
  </si>
  <si>
    <t xml:space="preserve">하동군</t>
  </si>
  <si>
    <t xml:space="preserve">군위군</t>
  </si>
  <si>
    <t xml:space="preserve">나주시</t>
  </si>
  <si>
    <t xml:space="preserve">공주시</t>
  </si>
  <si>
    <t xml:space="preserve">영천시</t>
  </si>
  <si>
    <t xml:space="preserve">곡성군</t>
  </si>
  <si>
    <t xml:space="preserve">진천군</t>
  </si>
  <si>
    <t xml:space="preserve">밀양시</t>
  </si>
  <si>
    <t xml:space="preserve">서산시</t>
  </si>
  <si>
    <t xml:space="preserve">강화군</t>
  </si>
  <si>
    <t xml:space="preserve">장수군</t>
  </si>
  <si>
    <t xml:space="preserve">부안군</t>
  </si>
  <si>
    <t xml:space="preserve">연천군</t>
  </si>
  <si>
    <t xml:space="preserve">양평군</t>
  </si>
  <si>
    <t xml:space="preserve">영월군</t>
  </si>
  <si>
    <t xml:space="preserve">남해군</t>
  </si>
  <si>
    <t xml:space="preserve">산청군</t>
  </si>
  <si>
    <t xml:space="preserve">신안군</t>
  </si>
  <si>
    <t xml:space="preserve">김포시</t>
  </si>
  <si>
    <t xml:space="preserve">순천시</t>
  </si>
  <si>
    <t xml:space="preserve">옹진군</t>
  </si>
  <si>
    <t xml:space="preserve">울진군</t>
  </si>
  <si>
    <t xml:space="preserve">양주시</t>
  </si>
  <si>
    <t xml:space="preserve">함안군</t>
  </si>
  <si>
    <t xml:space="preserve">괴산군</t>
  </si>
  <si>
    <t xml:space="preserve">안동시</t>
  </si>
  <si>
    <t xml:space="preserve">보은군</t>
  </si>
  <si>
    <t xml:space="preserve">장성군</t>
  </si>
  <si>
    <t xml:space="preserve">옥천군</t>
  </si>
  <si>
    <t xml:space="preserve">정읍시</t>
  </si>
  <si>
    <t xml:space="preserve">음성군</t>
  </si>
  <si>
    <t xml:space="preserve">문경시</t>
  </si>
  <si>
    <t xml:space="preserve">광명시</t>
  </si>
  <si>
    <t xml:space="preserve">포천시</t>
  </si>
  <si>
    <t xml:space="preserve">김제시</t>
  </si>
  <si>
    <t xml:space="preserve">홍성군</t>
  </si>
  <si>
    <t xml:space="preserve">삼척시</t>
  </si>
  <si>
    <t xml:space="preserve">경주시</t>
  </si>
  <si>
    <t xml:space="preserve">평택시</t>
  </si>
  <si>
    <t xml:space="preserve">당진시</t>
  </si>
  <si>
    <t xml:space="preserve">해남군</t>
  </si>
  <si>
    <t xml:space="preserve">양산시</t>
  </si>
  <si>
    <t xml:space="preserve">함양군</t>
  </si>
  <si>
    <t xml:space="preserve">달성군</t>
  </si>
  <si>
    <t xml:space="preserve">청송군</t>
  </si>
  <si>
    <t xml:space="preserve">과천시</t>
  </si>
  <si>
    <t xml:space="preserve">김해시</t>
  </si>
  <si>
    <t xml:space="preserve">칠곡군</t>
  </si>
  <si>
    <t xml:space="preserve">영암군</t>
  </si>
  <si>
    <t xml:space="preserve">태안군</t>
  </si>
  <si>
    <t xml:space="preserve">논산시</t>
  </si>
  <si>
    <t xml:space="preserve">강릉시</t>
  </si>
  <si>
    <t xml:space="preserve">파주시</t>
  </si>
  <si>
    <t xml:space="preserve">이천시</t>
  </si>
  <si>
    <t xml:space="preserve">거창군</t>
  </si>
  <si>
    <t xml:space="preserve">증평군</t>
  </si>
  <si>
    <t xml:space="preserve">화성시</t>
  </si>
  <si>
    <t xml:space="preserve">광주시</t>
  </si>
  <si>
    <t xml:space="preserve">시흥시</t>
  </si>
  <si>
    <t xml:space="preserve">영광군</t>
  </si>
  <si>
    <t xml:space="preserve">영주시</t>
  </si>
  <si>
    <t xml:space="preserve">가평군</t>
  </si>
  <si>
    <t xml:space="preserve">아산시</t>
  </si>
  <si>
    <t xml:space="preserve">하남시</t>
  </si>
  <si>
    <t xml:space="preserve">고창군</t>
  </si>
  <si>
    <t xml:space="preserve">동해시</t>
  </si>
  <si>
    <t xml:space="preserve">남양주시</t>
  </si>
  <si>
    <t xml:space="preserve">충주시</t>
  </si>
  <si>
    <t xml:space="preserve">사천시</t>
  </si>
  <si>
    <t xml:space="preserve">구리시</t>
  </si>
  <si>
    <t xml:space="preserve">봉화군</t>
  </si>
  <si>
    <t xml:space="preserve">화천군</t>
  </si>
  <si>
    <t xml:space="preserve">무안군</t>
  </si>
  <si>
    <t xml:space="preserve">안성시</t>
  </si>
  <si>
    <t xml:space="preserve">정선군</t>
  </si>
  <si>
    <t xml:space="preserve">속초시</t>
  </si>
  <si>
    <t xml:space="preserve">무주군</t>
  </si>
  <si>
    <t xml:space="preserve">여수시</t>
  </si>
  <si>
    <t xml:space="preserve">장흥군</t>
  </si>
  <si>
    <t xml:space="preserve">평창군</t>
  </si>
  <si>
    <t xml:space="preserve">익산시</t>
  </si>
  <si>
    <t xml:space="preserve">영동군</t>
  </si>
  <si>
    <t xml:space="preserve">홍천군</t>
  </si>
  <si>
    <t xml:space="preserve">의왕시</t>
  </si>
  <si>
    <t xml:space="preserve">청양군</t>
  </si>
  <si>
    <t xml:space="preserve">계룡시</t>
  </si>
  <si>
    <t xml:space="preserve">통영시</t>
  </si>
  <si>
    <t xml:space="preserve">제천시</t>
  </si>
  <si>
    <t xml:space="preserve">춘천시</t>
  </si>
  <si>
    <t xml:space="preserve">경산시</t>
  </si>
  <si>
    <t xml:space="preserve">구미시</t>
  </si>
  <si>
    <t xml:space="preserve">목포시</t>
  </si>
  <si>
    <t xml:space="preserve">김천시</t>
  </si>
  <si>
    <t xml:space="preserve">의정부시</t>
  </si>
  <si>
    <t xml:space="preserve">태백시</t>
  </si>
  <si>
    <t xml:space="preserve">상주시</t>
  </si>
  <si>
    <t xml:space="preserve">예천군</t>
  </si>
  <si>
    <t xml:space="preserve">군산시</t>
  </si>
  <si>
    <t xml:space="preserve">거제시</t>
  </si>
  <si>
    <t xml:space="preserve">서귀포시</t>
  </si>
  <si>
    <t xml:space="preserve">군포시</t>
  </si>
  <si>
    <t xml:space="preserve">보령시</t>
  </si>
  <si>
    <t xml:space="preserve">철원군</t>
  </si>
  <si>
    <t xml:space="preserve">원주시</t>
  </si>
  <si>
    <t xml:space="preserve">제주시</t>
  </si>
  <si>
    <t xml:space="preserve">오산시</t>
  </si>
  <si>
    <t xml:space="preserve">고흥군</t>
  </si>
  <si>
    <t xml:space="preserve">진도군</t>
  </si>
  <si>
    <t xml:space="preserve">진주시</t>
  </si>
  <si>
    <t xml:space="preserve">동두천시</t>
  </si>
  <si>
    <t xml:space="preserve">양구군</t>
  </si>
  <si>
    <t xml:space="preserve">완도군</t>
  </si>
  <si>
    <t xml:space="preserve">영양군</t>
  </si>
  <si>
    <t xml:space="preserve">문제 유형별 시·군 (기본 가중치, 문제 백분위 75 이상인 지표의 조합)</t>
  </si>
  <si>
    <t xml:space="preserve">시·군 수</t>
  </si>
  <si>
    <t xml:space="preserve">해당 없음</t>
  </si>
  <si>
    <t xml:space="preserve">남원시, 공주시, 영월군, 김포시, 양주시, 괴산군, 옥천군, 정읍시, 홍성군, 당진시, 해남군, 양산시, 달성군, 김해시, 논산시, 파주시, 이천시, 광주시, 시흥시, 영광군, 남양주시, 충주시, 사천시, 구리시, 화천군, 무안군, 안성시, 무주군, 장흥군, 영동군, 청양군, 계룡시, 제천시, 김천시, 의정부시, 태백시, 상주시, 예천군, 군산시, 거제시, 군포시, 철원군, 원주시, 제주시, 오산시, 고흥군, 진주시, 동두천시, 양구군, 완도군, 영양군</t>
  </si>
  <si>
    <t xml:space="preserve">숙박</t>
  </si>
  <si>
    <t xml:space="preserve">단양군, 광양시, 서산시, 강화군, 부안군, 양평군, 신안군, 옹진군, 보은군, 삼척시, 경주시, 태안군, 가평군, 동해시, 정선군, 속초시, 여수시, 평창군, 홍천군, 통영시, 춘천시, 목포시, 서귀포시, 보령시, 진도군</t>
  </si>
  <si>
    <t xml:space="preserve">체험</t>
  </si>
  <si>
    <t xml:space="preserve">횡성군, 예산군, 부여군, 성주군, 나주시, 진천군, 연천군, 순천시, 음성군, 문경시, 평택시, 거창군, 화성시, 영주시, 아산시, 하남시, 익산시, 경산시, 구미시</t>
  </si>
  <si>
    <t xml:space="preserve">저녁 · 야간</t>
  </si>
  <si>
    <t xml:space="preserve">합천군, 순창군, 담양군, 금산군, 임실군, 보성군, 함평군, 강진군, 하동군, 군위군, 영천시, 곡성군, 장수군, 산청군, 함안군, 장성군, 김제시, 영암군</t>
  </si>
  <si>
    <t xml:space="preserve">체험 · 저녁 · 야간</t>
  </si>
  <si>
    <t xml:space="preserve">진안군, 청도군, 화순군, 완주군, 인제군, 고령군, 의령군, 의성군, 밀양시</t>
  </si>
  <si>
    <t xml:space="preserve">체험 · 숙박</t>
  </si>
  <si>
    <t xml:space="preserve">영덕군, 양양군, 남해군, 울진군, 안동시, 광명시, 강릉시</t>
  </si>
  <si>
    <t xml:space="preserve">저녁</t>
  </si>
  <si>
    <t xml:space="preserve">서천군, 포천시, 함양군, 청송군, 고창군, 봉화군</t>
  </si>
  <si>
    <t xml:space="preserve">야간</t>
  </si>
  <si>
    <t xml:space="preserve">창녕군, 과천시, 칠곡군, 증평군, 의왕시</t>
  </si>
  <si>
    <t xml:space="preserve">숙박 · 저녁 · 야간</t>
  </si>
  <si>
    <t xml:space="preserve">울주군, 구례군</t>
  </si>
  <si>
    <t xml:space="preserve">체험 · 숙박 · 저녁 · 야간</t>
  </si>
  <si>
    <t xml:space="preserve">숙박 · 야간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</si>
</sst>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"/>
    <numFmt numFmtId="167" formatCode="0.00"/>
    <numFmt numFmtId="168" formatCode="0.000"/>
    <numFmt numFmtId="169" formatCode="0.0"/>
    <numFmt numFmtId="170" formatCode="0%"/>
  </numFmts>
  <fonts count="10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8000"/>
      <name val="맑은 고딕"/>
      <family val="0"/>
      <charset val="1"/>
    </font>
    <font>
      <sz val="9"/>
      <color rgb="FF666666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17</xdr:col>
      <xdr:colOff>131040</xdr:colOff>
      <xdr:row>17</xdr:row>
      <xdr:rowOff>116280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7095960" y="692640"/>
          <a:ext cx="6857640" cy="3200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4.3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1.7"/>
    <col collapsed="false" customWidth="true" hidden="false" outlineLevel="0" max="4" min="2" style="0" width="10.02"/>
    <col collapsed="false" customWidth="true" hidden="false" outlineLevel="0" max="5" min="5" style="0" width="25.04"/>
  </cols>
  <sheetData>
    <row r="1" customFormat="false" ht="39.55" hidden="false" customHeight="false" outlineLevel="0" collapsed="false">
      <c r="A1" s="4" t="s">
        <v>12</v>
      </c>
    </row>
    <row r="3" customFormat="false" ht="15" hidden="false" customHeight="false" outlineLevel="0" collapsed="false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</row>
    <row r="4" customFormat="false" ht="15" hidden="false" customHeight="false" outlineLevel="0" collapsed="false">
      <c r="A4" s="6" t="s">
        <v>18</v>
      </c>
      <c r="B4" s="7" t="n">
        <v>-0.16790570949359</v>
      </c>
      <c r="C4" s="8" t="n">
        <f aca="false">MEDIAN(진단표!$B$4:$B$147)</f>
        <v>-0.0204875580324971</v>
      </c>
      <c r="D4" s="9" t="n">
        <f aca="false">100*(1-(COUNTIF(진단표!$B$4:$B$147,"&lt;"&amp;B4)+1)/(COUNT(진단표!$B$4:$B$147)+1))</f>
        <v>84.8275862068966</v>
      </c>
      <c r="E4" s="10" t="str">
        <f aca="false">IF(D4&gt;=75,"하위 25%: 이 지표가 문제",IF(D4&lt;=25,"상위 25%: 강점","중간"))</f>
        <v>하위 25%: 이 지표가 문제</v>
      </c>
    </row>
    <row r="5" customFormat="false" ht="15" hidden="false" customHeight="false" outlineLevel="0" collapsed="false">
      <c r="A5" s="6" t="s">
        <v>19</v>
      </c>
      <c r="B5" s="11" t="n">
        <v>3.06583333333333</v>
      </c>
      <c r="C5" s="12" t="n">
        <f aca="false">MEDIAN(진단표!$C$4:$C$147)</f>
        <v>3.55708333333333</v>
      </c>
      <c r="D5" s="9" t="n">
        <f aca="false">100*(1-(COUNTIF(진단표!$C$4:$C$147,"&lt;"&amp;B5)+1)/(COUNT(진단표!$C$4:$C$147)+1))</f>
        <v>82.7586206896552</v>
      </c>
      <c r="E5" s="10" t="str">
        <f aca="false">IF(D5&gt;=75,"하위 25%: 이 지표가 문제",IF(D5&lt;=25,"상위 25%: 강점","중간"))</f>
        <v>하위 25%: 이 지표가 문제</v>
      </c>
    </row>
    <row r="6" customFormat="false" ht="15" hidden="false" customHeight="false" outlineLevel="0" collapsed="false">
      <c r="A6" s="6" t="s">
        <v>20</v>
      </c>
      <c r="B6" s="13" t="n">
        <v>0.557317798642795</v>
      </c>
      <c r="C6" s="14" t="n">
        <f aca="false">MEDIAN(진단표!$D$4:$D$147)</f>
        <v>0.519258319774755</v>
      </c>
      <c r="D6" s="9" t="n">
        <f aca="false">100*(1-(COUNTIF(진단표!$D$4:$D$147,"&lt;"&amp;B6)+1)/(COUNT(진단표!$D$4:$D$147)+1))</f>
        <v>26.2068965517241</v>
      </c>
      <c r="E6" s="10" t="str">
        <f aca="false">IF(D6&gt;=75,"하위 25%: 이 지표가 문제",IF(D6&lt;=25,"상위 25%: 강점","중간"))</f>
        <v>중간</v>
      </c>
    </row>
    <row r="7" customFormat="false" ht="15" hidden="false" customHeight="false" outlineLevel="0" collapsed="false">
      <c r="A7" s="6" t="s">
        <v>21</v>
      </c>
      <c r="B7" s="7" t="n">
        <v>0.105074176917603</v>
      </c>
      <c r="C7" s="8" t="n">
        <f aca="false">MEDIAN(진단표!$E$4:$E$147)</f>
        <v>0.0921339067424279</v>
      </c>
      <c r="D7" s="9" t="n">
        <f aca="false">100*(1-(COUNTIF(진단표!$E$4:$E$147,"&lt;"&amp;B7)+1)/(COUNT(진단표!$E$4:$E$147)+1))</f>
        <v>23.448275862069</v>
      </c>
      <c r="E7" s="10" t="str">
        <f aca="false">IF(D7&gt;=75,"하위 25%: 이 지표가 문제",IF(D7&lt;=25,"상위 25%: 강점","중간"))</f>
        <v>상위 25%: 강점</v>
      </c>
    </row>
    <row r="9" customFormat="false" ht="15" hidden="false" customHeight="false" outlineLevel="0" collapsed="false">
      <c r="A9" s="6" t="s">
        <v>22</v>
      </c>
      <c r="B9" s="15" t="n">
        <f aca="false">(D4*가중치!B4+D5*가중치!B5+D6*가중치!B6+D7*가중치!B7)/가중치!B8</f>
        <v>54.3103448275862</v>
      </c>
    </row>
    <row r="10" customFormat="false" ht="15" hidden="false" customHeight="false" outlineLevel="0" collapsed="false">
      <c r="A10" s="6" t="s">
        <v>23</v>
      </c>
      <c r="B10" s="9" t="n">
        <f aca="false">COUNTIF(진단표!$J$4:$J$147,"&gt;"&amp;B9)+1</f>
        <v>56</v>
      </c>
    </row>
    <row r="11" customFormat="false" ht="15" hidden="false" customHeight="false" outlineLevel="0" collapsed="false">
      <c r="A11" s="6" t="s">
        <v>24</v>
      </c>
      <c r="B11" s="10" t="str">
        <f aca="false">IF(D4&gt;=75,"체험 ","")&amp;IF(D5&gt;=75,"숙박 ","")&amp;IF(D6&gt;=75,"저녁 ","")&amp;IF(D7&gt;=75,"야간","")</f>
        <v>체험 숙박 </v>
      </c>
    </row>
    <row r="12" customFormat="false" ht="15" hidden="false" customHeight="false" outlineLevel="0" collapsed="false">
      <c r="A12" s="6" t="s">
        <v>25</v>
      </c>
      <c r="B12" s="10" t="n">
        <f aca="false">IF(B11="","-",COUNTIF(진단표!$L$4:$L$147,B11))</f>
        <v>7</v>
      </c>
    </row>
    <row r="14" customFormat="false" ht="32.8" hidden="false" customHeight="false" outlineLevel="0" collapsed="false">
      <c r="A14" s="1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8.35"/>
    <col collapsed="false" customWidth="true" hidden="false" outlineLevel="0" max="3" min="3" style="0" width="58.42"/>
    <col collapsed="false" customWidth="true" hidden="false" outlineLevel="0" max="4" min="4" style="0" width="36.72"/>
  </cols>
  <sheetData>
    <row r="1" customFormat="false" ht="52.2" hidden="false" customHeight="false" outlineLevel="0" collapsed="false">
      <c r="A1" s="4" t="s">
        <v>27</v>
      </c>
    </row>
    <row r="3" customFormat="false" ht="15" hidden="false" customHeight="false" outlineLevel="0" collapsed="false">
      <c r="A3" s="5" t="s">
        <v>13</v>
      </c>
      <c r="B3" s="5" t="s">
        <v>28</v>
      </c>
      <c r="C3" s="5" t="s">
        <v>29</v>
      </c>
      <c r="D3" s="5" t="s">
        <v>30</v>
      </c>
    </row>
    <row r="4" customFormat="false" ht="15" hidden="false" customHeight="false" outlineLevel="0" collapsed="false">
      <c r="A4" s="6" t="s">
        <v>18</v>
      </c>
      <c r="B4" s="11" t="n">
        <v>0.25</v>
      </c>
      <c r="C4" s="10" t="s">
        <v>31</v>
      </c>
      <c r="D4" s="10" t="s">
        <v>32</v>
      </c>
    </row>
    <row r="5" customFormat="false" ht="15" hidden="false" customHeight="false" outlineLevel="0" collapsed="false">
      <c r="A5" s="6" t="s">
        <v>19</v>
      </c>
      <c r="B5" s="11" t="n">
        <v>0.25</v>
      </c>
      <c r="C5" s="10" t="s">
        <v>33</v>
      </c>
      <c r="D5" s="10" t="s">
        <v>34</v>
      </c>
    </row>
    <row r="6" customFormat="false" ht="15" hidden="false" customHeight="false" outlineLevel="0" collapsed="false">
      <c r="A6" s="6" t="s">
        <v>20</v>
      </c>
      <c r="B6" s="11" t="n">
        <v>0.25</v>
      </c>
      <c r="C6" s="10" t="s">
        <v>35</v>
      </c>
      <c r="D6" s="10" t="s">
        <v>36</v>
      </c>
    </row>
    <row r="7" customFormat="false" ht="15" hidden="false" customHeight="false" outlineLevel="0" collapsed="false">
      <c r="A7" s="6" t="s">
        <v>21</v>
      </c>
      <c r="B7" s="11" t="n">
        <v>0.25</v>
      </c>
      <c r="C7" s="10" t="s">
        <v>37</v>
      </c>
      <c r="D7" s="10" t="s">
        <v>36</v>
      </c>
    </row>
    <row r="8" customFormat="false" ht="15" hidden="false" customHeight="false" outlineLevel="0" collapsed="false">
      <c r="A8" s="6" t="s">
        <v>38</v>
      </c>
      <c r="B8" s="17" t="n">
        <f aca="false">SUM(B4:B7)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9.18"/>
    <col collapsed="false" customWidth="true" hidden="false" outlineLevel="0" max="5" min="3" style="0" width="8.35"/>
    <col collapsed="false" customWidth="true" hidden="false" outlineLevel="0" max="9" min="6" style="0" width="9.18"/>
    <col collapsed="false" customWidth="true" hidden="false" outlineLevel="0" max="10" min="10" style="0" width="7.51"/>
    <col collapsed="false" customWidth="true" hidden="false" outlineLevel="0" max="11" min="11" style="0" width="5.84"/>
    <col collapsed="false" customWidth="true" hidden="false" outlineLevel="0" max="12" min="12" style="0" width="18.36"/>
    <col collapsed="false" customWidth="true" hidden="false" outlineLevel="0" max="13" min="13" style="0" width="8.35"/>
    <col collapsed="false" customWidth="true" hidden="false" outlineLevel="0" max="14" min="14" style="0" width="7.51"/>
    <col collapsed="false" customWidth="true" hidden="false" outlineLevel="0" max="15" min="15" style="0" width="9.18"/>
  </cols>
  <sheetData>
    <row r="1" customFormat="false" ht="90.25" hidden="false" customHeight="false" outlineLevel="0" collapsed="false">
      <c r="A1" s="4" t="s">
        <v>39</v>
      </c>
    </row>
    <row r="3" customFormat="false" ht="30.55" hidden="false" customHeight="false" outlineLevel="0" collapsed="false">
      <c r="A3" s="5" t="s">
        <v>40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22</v>
      </c>
      <c r="K3" s="5" t="s">
        <v>45</v>
      </c>
      <c r="L3" s="5" t="s">
        <v>24</v>
      </c>
      <c r="M3" s="5" t="s">
        <v>46</v>
      </c>
      <c r="N3" s="5" t="s">
        <v>47</v>
      </c>
      <c r="O3" s="5" t="s">
        <v>48</v>
      </c>
    </row>
    <row r="4" customFormat="false" ht="15" hidden="false" customHeight="false" outlineLevel="0" collapsed="false">
      <c r="A4" s="10" t="s">
        <v>49</v>
      </c>
      <c r="B4" s="18" t="n">
        <v>-0.170696151023529</v>
      </c>
      <c r="C4" s="19" t="n">
        <v>3.04583333333333</v>
      </c>
      <c r="D4" s="20" t="n">
        <v>0.454033828762161</v>
      </c>
      <c r="E4" s="18" t="n">
        <v>0.0728460423154381</v>
      </c>
      <c r="F4" s="9" t="n">
        <f aca="false">100*(1-(COUNTIF($B$4:$B$147,"&lt;"&amp;B4)+1)/COUNT($B$4:$B$147))</f>
        <v>85.4166666666667</v>
      </c>
      <c r="G4" s="9" t="n">
        <f aca="false">100*(1-(COUNTIF($C$4:$C$147,"&lt;"&amp;C4)+1)/COUNT($C$4:$C$147))</f>
        <v>86.8055555555556</v>
      </c>
      <c r="H4" s="9" t="n">
        <f aca="false">100*(1-(COUNTIF($D$4:$D$147,"&lt;"&amp;D4)+1)/COUNT($D$4:$D$147))</f>
        <v>85.4166666666667</v>
      </c>
      <c r="I4" s="9" t="n">
        <f aca="false">100*(1-(COUNTIF($E$4:$E$147,"&lt;"&amp;E4)+1)/COUNT($E$4:$E$147))</f>
        <v>94.4444444444444</v>
      </c>
      <c r="J4" s="15" t="n">
        <f aca="false">(F4*가중치!$B$4+G4*가중치!$B$5+H4*가중치!$B$6+I4*가중치!$B$7)/가중치!$B$8</f>
        <v>88.0208333333333</v>
      </c>
      <c r="K4" s="9" t="n">
        <f aca="false">RANK(J4,$J$4:$J$147,0)</f>
        <v>1</v>
      </c>
      <c r="L4" s="10" t="str">
        <f aca="false">IF(F4&gt;=75,"체험 ","")&amp;IF(G4&gt;=75,"숙박 ","")&amp;IF(H4&gt;=75,"저녁 ","")&amp;IF(I4&gt;=75,"야간","")</f>
        <v>체험 숙박 저녁 야간</v>
      </c>
      <c r="M4" s="21" t="n">
        <v>1</v>
      </c>
      <c r="N4" s="21" t="n">
        <v>5</v>
      </c>
      <c r="O4" s="22" t="n">
        <v>1</v>
      </c>
    </row>
    <row r="5" customFormat="false" ht="15" hidden="false" customHeight="false" outlineLevel="0" collapsed="false">
      <c r="A5" s="10" t="s">
        <v>50</v>
      </c>
      <c r="B5" s="18" t="n">
        <v>-0.414491008542374</v>
      </c>
      <c r="C5" s="19" t="n">
        <v>3.46916666666667</v>
      </c>
      <c r="D5" s="20" t="n">
        <v>0.417824221570876</v>
      </c>
      <c r="E5" s="18" t="n">
        <v>0.0742126097571712</v>
      </c>
      <c r="F5" s="9" t="n">
        <f aca="false">100*(1-(COUNTIF($B$4:$B$147,"&lt;"&amp;B5)+1)/COUNT($B$4:$B$147))</f>
        <v>97.9166666666667</v>
      </c>
      <c r="G5" s="9" t="n">
        <f aca="false">100*(1-(COUNTIF($C$4:$C$147,"&lt;"&amp;C5)+1)/COUNT($C$4:$C$147))</f>
        <v>63.1944444444444</v>
      </c>
      <c r="H5" s="9" t="n">
        <f aca="false">100*(1-(COUNTIF($D$4:$D$147,"&lt;"&amp;D5)+1)/COUNT($D$4:$D$147))</f>
        <v>94.4444444444444</v>
      </c>
      <c r="I5" s="9" t="n">
        <f aca="false">100*(1-(COUNTIF($E$4:$E$147,"&lt;"&amp;E5)+1)/COUNT($E$4:$E$147))</f>
        <v>91.6666666666667</v>
      </c>
      <c r="J5" s="15" t="n">
        <f aca="false">(F5*가중치!$B$4+G5*가중치!$B$5+H5*가중치!$B$6+I5*가중치!$B$7)/가중치!$B$8</f>
        <v>86.8055555555555</v>
      </c>
      <c r="K5" s="9" t="n">
        <f aca="false">RANK(J5,$J$4:$J$147,0)</f>
        <v>2</v>
      </c>
      <c r="L5" s="10" t="str">
        <f aca="false">IF(F5&gt;=75,"체험 ","")&amp;IF(G5&gt;=75,"숙박 ","")&amp;IF(H5&gt;=75,"저녁 ","")&amp;IF(I5&gt;=75,"야간","")</f>
        <v>체험 저녁 야간</v>
      </c>
      <c r="M5" s="21" t="n">
        <v>1</v>
      </c>
      <c r="N5" s="21" t="n">
        <v>6</v>
      </c>
      <c r="O5" s="22" t="n">
        <v>0.973</v>
      </c>
    </row>
    <row r="6" customFormat="false" ht="15" hidden="false" customHeight="false" outlineLevel="0" collapsed="false">
      <c r="A6" s="10" t="s">
        <v>51</v>
      </c>
      <c r="B6" s="18" t="n">
        <v>-0.230407392261138</v>
      </c>
      <c r="C6" s="19" t="n">
        <v>3.4225</v>
      </c>
      <c r="D6" s="20" t="n">
        <v>0.447803124415156</v>
      </c>
      <c r="E6" s="18" t="n">
        <v>0.082486298636035</v>
      </c>
      <c r="F6" s="9" t="n">
        <f aca="false">100*(1-(COUNTIF($B$4:$B$147,"&lt;"&amp;B6)+1)/COUNT($B$4:$B$147))</f>
        <v>90.2777777777778</v>
      </c>
      <c r="G6" s="9" t="n">
        <f aca="false">100*(1-(COUNTIF($C$4:$C$147,"&lt;"&amp;C6)+1)/COUNT($C$4:$C$147))</f>
        <v>64.5833333333333</v>
      </c>
      <c r="H6" s="9" t="n">
        <f aca="false">100*(1-(COUNTIF($D$4:$D$147,"&lt;"&amp;D6)+1)/COUNT($D$4:$D$147))</f>
        <v>86.8055555555556</v>
      </c>
      <c r="I6" s="9" t="n">
        <f aca="false">100*(1-(COUNTIF($E$4:$E$147,"&lt;"&amp;E6)+1)/COUNT($E$4:$E$147))</f>
        <v>75.6944444444444</v>
      </c>
      <c r="J6" s="15" t="n">
        <f aca="false">(F6*가중치!$B$4+G6*가중치!$B$5+H6*가중치!$B$6+I6*가중치!$B$7)/가중치!$B$8</f>
        <v>79.3402777777778</v>
      </c>
      <c r="K6" s="9" t="n">
        <f aca="false">RANK(J6,$J$4:$J$147,0)</f>
        <v>3</v>
      </c>
      <c r="L6" s="10" t="str">
        <f aca="false">IF(F6&gt;=75,"체험 ","")&amp;IF(G6&gt;=75,"숙박 ","")&amp;IF(H6&gt;=75,"저녁 ","")&amp;IF(I6&gt;=75,"야간","")</f>
        <v>체험 저녁 야간</v>
      </c>
      <c r="M6" s="21" t="n">
        <v>3</v>
      </c>
      <c r="N6" s="21" t="n">
        <v>19</v>
      </c>
      <c r="O6" s="22" t="n">
        <v>0.912</v>
      </c>
    </row>
    <row r="7" customFormat="false" ht="15" hidden="false" customHeight="false" outlineLevel="0" collapsed="false">
      <c r="A7" s="10" t="s">
        <v>52</v>
      </c>
      <c r="B7" s="18" t="n">
        <v>-0.0858876492050527</v>
      </c>
      <c r="C7" s="19" t="n">
        <v>3.26583333333333</v>
      </c>
      <c r="D7" s="20" t="n">
        <v>0.442714659966708</v>
      </c>
      <c r="E7" s="18" t="n">
        <v>0.0779715842370376</v>
      </c>
      <c r="F7" s="9" t="n">
        <f aca="false">100*(1-(COUNTIF($B$4:$B$147,"&lt;"&amp;B7)+1)/COUNT($B$4:$B$147))</f>
        <v>68.0555555555556</v>
      </c>
      <c r="G7" s="9" t="n">
        <f aca="false">100*(1-(COUNTIF($C$4:$C$147,"&lt;"&amp;C7)+1)/COUNT($C$4:$C$147))</f>
        <v>74.3055555555556</v>
      </c>
      <c r="H7" s="9" t="n">
        <f aca="false">100*(1-(COUNTIF($D$4:$D$147,"&lt;"&amp;D7)+1)/COUNT($D$4:$D$147))</f>
        <v>88.8888888888889</v>
      </c>
      <c r="I7" s="9" t="n">
        <f aca="false">100*(1-(COUNTIF($E$4:$E$147,"&lt;"&amp;E7)+1)/COUNT($E$4:$E$147))</f>
        <v>83.3333333333333</v>
      </c>
      <c r="J7" s="15" t="n">
        <f aca="false">(F7*가중치!$B$4+G7*가중치!$B$5+H7*가중치!$B$6+I7*가중치!$B$7)/가중치!$B$8</f>
        <v>78.6458333333333</v>
      </c>
      <c r="K7" s="9" t="n">
        <f aca="false">RANK(J7,$J$4:$J$147,0)</f>
        <v>4</v>
      </c>
      <c r="L7" s="10" t="str">
        <f aca="false">IF(F7&gt;=75,"체험 ","")&amp;IF(G7&gt;=75,"숙박 ","")&amp;IF(H7&gt;=75,"저녁 ","")&amp;IF(I7&gt;=75,"야간","")</f>
        <v>저녁 야간</v>
      </c>
      <c r="M7" s="21" t="n">
        <v>4</v>
      </c>
      <c r="N7" s="21" t="n">
        <v>18</v>
      </c>
      <c r="O7" s="22" t="n">
        <v>0.93</v>
      </c>
    </row>
    <row r="8" customFormat="false" ht="15" hidden="false" customHeight="false" outlineLevel="0" collapsed="false">
      <c r="A8" s="10" t="s">
        <v>53</v>
      </c>
      <c r="B8" s="18" t="n">
        <v>-0.127396071223421</v>
      </c>
      <c r="C8" s="19" t="n">
        <v>3.54833333333333</v>
      </c>
      <c r="D8" s="20" t="n">
        <v>0.440889230262797</v>
      </c>
      <c r="E8" s="18" t="n">
        <v>0.0753500647081437</v>
      </c>
      <c r="F8" s="9" t="n">
        <f aca="false">100*(1-(COUNTIF($B$4:$B$147,"&lt;"&amp;B8)+1)/COUNT($B$4:$B$147))</f>
        <v>77.7777777777778</v>
      </c>
      <c r="G8" s="9" t="n">
        <f aca="false">100*(1-(COUNTIF($C$4:$C$147,"&lt;"&amp;C8)+1)/COUNT($C$4:$C$147))</f>
        <v>50.6944444444444</v>
      </c>
      <c r="H8" s="9" t="n">
        <f aca="false">100*(1-(COUNTIF($D$4:$D$147,"&lt;"&amp;D8)+1)/COUNT($D$4:$D$147))</f>
        <v>90.2777777777778</v>
      </c>
      <c r="I8" s="9" t="n">
        <f aca="false">100*(1-(COUNTIF($E$4:$E$147,"&lt;"&amp;E8)+1)/COUNT($E$4:$E$147))</f>
        <v>88.8888888888889</v>
      </c>
      <c r="J8" s="15" t="n">
        <f aca="false">(F8*가중치!$B$4+G8*가중치!$B$5+H8*가중치!$B$6+I8*가중치!$B$7)/가중치!$B$8</f>
        <v>76.9097222222222</v>
      </c>
      <c r="K8" s="9" t="n">
        <f aca="false">RANK(J8,$J$4:$J$147,0)</f>
        <v>5</v>
      </c>
      <c r="L8" s="10" t="str">
        <f aca="false">IF(F8&gt;=75,"체험 ","")&amp;IF(G8&gt;=75,"숙박 ","")&amp;IF(H8&gt;=75,"저녁 ","")&amp;IF(I8&gt;=75,"야간","")</f>
        <v>체험 저녁 야간</v>
      </c>
      <c r="M8" s="21" t="n">
        <v>5</v>
      </c>
      <c r="N8" s="21" t="n">
        <v>24</v>
      </c>
      <c r="O8" s="22" t="n">
        <v>0.877</v>
      </c>
    </row>
    <row r="9" customFormat="false" ht="15" hidden="false" customHeight="false" outlineLevel="0" collapsed="false">
      <c r="A9" s="10" t="s">
        <v>54</v>
      </c>
      <c r="B9" s="18" t="n">
        <v>-0.348876262956326</v>
      </c>
      <c r="C9" s="19" t="n">
        <v>3.6625</v>
      </c>
      <c r="D9" s="20" t="n">
        <v>0.472685431773395</v>
      </c>
      <c r="E9" s="18" t="n">
        <v>0.0735049092776524</v>
      </c>
      <c r="F9" s="9" t="n">
        <f aca="false">100*(1-(COUNTIF($B$4:$B$147,"&lt;"&amp;B9)+1)/COUNT($B$4:$B$147))</f>
        <v>95.8333333333333</v>
      </c>
      <c r="G9" s="9" t="n">
        <f aca="false">100*(1-(COUNTIF($C$4:$C$147,"&lt;"&amp;C9)+1)/COUNT($C$4:$C$147))</f>
        <v>29.1666666666667</v>
      </c>
      <c r="H9" s="9" t="n">
        <f aca="false">100*(1-(COUNTIF($D$4:$D$147,"&lt;"&amp;D9)+1)/COUNT($D$4:$D$147))</f>
        <v>79.1666666666667</v>
      </c>
      <c r="I9" s="9" t="n">
        <f aca="false">100*(1-(COUNTIF($E$4:$E$147,"&lt;"&amp;E9)+1)/COUNT($E$4:$E$147))</f>
        <v>93.75</v>
      </c>
      <c r="J9" s="15" t="n">
        <f aca="false">(F9*가중치!$B$4+G9*가중치!$B$5+H9*가중치!$B$6+I9*가중치!$B$7)/가중치!$B$8</f>
        <v>74.4791666666667</v>
      </c>
      <c r="K9" s="9" t="n">
        <f aca="false">RANK(J9,$J$4:$J$147,0)</f>
        <v>6</v>
      </c>
      <c r="L9" s="10" t="str">
        <f aca="false">IF(F9&gt;=75,"체험 ","")&amp;IF(G9&gt;=75,"숙박 ","")&amp;IF(H9&gt;=75,"저녁 ","")&amp;IF(I9&gt;=75,"야간","")</f>
        <v>체험 저녁 야간</v>
      </c>
      <c r="M9" s="21" t="n">
        <v>3</v>
      </c>
      <c r="N9" s="21" t="n">
        <v>46</v>
      </c>
      <c r="O9" s="22" t="n">
        <v>0.709</v>
      </c>
    </row>
    <row r="10" customFormat="false" ht="15" hidden="false" customHeight="false" outlineLevel="0" collapsed="false">
      <c r="A10" s="10" t="s">
        <v>55</v>
      </c>
      <c r="B10" s="18" t="n">
        <v>-0.380945785680652</v>
      </c>
      <c r="C10" s="19" t="n">
        <v>3.57416666666667</v>
      </c>
      <c r="D10" s="20" t="n">
        <v>0.471112412138062</v>
      </c>
      <c r="E10" s="18" t="n">
        <v>0.0806050508079443</v>
      </c>
      <c r="F10" s="9" t="n">
        <f aca="false">100*(1-(COUNTIF($B$4:$B$147,"&lt;"&amp;B10)+1)/COUNT($B$4:$B$147))</f>
        <v>96.5277777777778</v>
      </c>
      <c r="G10" s="9" t="n">
        <f aca="false">100*(1-(COUNTIF($C$4:$C$147,"&lt;"&amp;C10)+1)/COUNT($C$4:$C$147))</f>
        <v>42.3611111111111</v>
      </c>
      <c r="H10" s="9" t="n">
        <f aca="false">100*(1-(COUNTIF($D$4:$D$147,"&lt;"&amp;D10)+1)/COUNT($D$4:$D$147))</f>
        <v>79.8611111111111</v>
      </c>
      <c r="I10" s="9" t="n">
        <f aca="false">100*(1-(COUNTIF($E$4:$E$147,"&lt;"&amp;E10)+1)/COUNT($E$4:$E$147))</f>
        <v>78.4722222222222</v>
      </c>
      <c r="J10" s="15" t="n">
        <f aca="false">(F10*가중치!$B$4+G10*가중치!$B$5+H10*가중치!$B$6+I10*가중치!$B$7)/가중치!$B$8</f>
        <v>74.3055555555556</v>
      </c>
      <c r="K10" s="9" t="n">
        <f aca="false">RANK(J10,$J$4:$J$147,0)</f>
        <v>7</v>
      </c>
      <c r="L10" s="10" t="str">
        <f aca="false">IF(F10&gt;=75,"체험 ","")&amp;IF(G10&gt;=75,"숙박 ","")&amp;IF(H10&gt;=75,"저녁 ","")&amp;IF(I10&gt;=75,"야간","")</f>
        <v>체험 저녁 야간</v>
      </c>
      <c r="M10" s="21" t="n">
        <v>4</v>
      </c>
      <c r="N10" s="21" t="n">
        <v>34</v>
      </c>
      <c r="O10" s="22" t="n">
        <v>0.68</v>
      </c>
    </row>
    <row r="11" customFormat="false" ht="15" hidden="false" customHeight="false" outlineLevel="0" collapsed="false">
      <c r="A11" s="10" t="s">
        <v>56</v>
      </c>
      <c r="B11" s="18" t="n">
        <v>-0.114469249105944</v>
      </c>
      <c r="C11" s="19" t="n">
        <v>3.5775</v>
      </c>
      <c r="D11" s="20" t="n">
        <v>0.412149139244326</v>
      </c>
      <c r="E11" s="18" t="n">
        <v>0.0774267074208679</v>
      </c>
      <c r="F11" s="9" t="n">
        <f aca="false">100*(1-(COUNTIF($B$4:$B$147,"&lt;"&amp;B11)+1)/COUNT($B$4:$B$147))</f>
        <v>72.9166666666667</v>
      </c>
      <c r="G11" s="9" t="n">
        <f aca="false">100*(1-(COUNTIF($C$4:$C$147,"&lt;"&amp;C11)+1)/COUNT($C$4:$C$147))</f>
        <v>41.6666666666667</v>
      </c>
      <c r="H11" s="9" t="n">
        <f aca="false">100*(1-(COUNTIF($D$4:$D$147,"&lt;"&amp;D11)+1)/COUNT($D$4:$D$147))</f>
        <v>95.8333333333333</v>
      </c>
      <c r="I11" s="9" t="n">
        <f aca="false">100*(1-(COUNTIF($E$4:$E$147,"&lt;"&amp;E11)+1)/COUNT($E$4:$E$147))</f>
        <v>84.0277777777778</v>
      </c>
      <c r="J11" s="15" t="n">
        <f aca="false">(F11*가중치!$B$4+G11*가중치!$B$5+H11*가중치!$B$6+I11*가중치!$B$7)/가중치!$B$8</f>
        <v>73.6111111111111</v>
      </c>
      <c r="K11" s="9" t="n">
        <f aca="false">RANK(J11,$J$4:$J$147,0)</f>
        <v>8</v>
      </c>
      <c r="L11" s="10" t="str">
        <f aca="false">IF(F11&gt;=75,"체험 ","")&amp;IF(G11&gt;=75,"숙박 ","")&amp;IF(H11&gt;=75,"저녁 ","")&amp;IF(I11&gt;=75,"야간","")</f>
        <v>저녁 야간</v>
      </c>
      <c r="M11" s="21" t="n">
        <v>7</v>
      </c>
      <c r="N11" s="21" t="n">
        <v>38</v>
      </c>
      <c r="O11" s="22" t="n">
        <v>0.744</v>
      </c>
    </row>
    <row r="12" customFormat="false" ht="15" hidden="false" customHeight="false" outlineLevel="0" collapsed="false">
      <c r="A12" s="10" t="s">
        <v>57</v>
      </c>
      <c r="B12" s="18" t="n">
        <v>0.12572713297227</v>
      </c>
      <c r="C12" s="19" t="n">
        <v>3.36416666666667</v>
      </c>
      <c r="D12" s="20" t="n">
        <v>0.394037887745795</v>
      </c>
      <c r="E12" s="18" t="n">
        <v>0.0582940630040376</v>
      </c>
      <c r="F12" s="9" t="n">
        <f aca="false">100*(1-(COUNTIF($B$4:$B$147,"&lt;"&amp;B12)+1)/COUNT($B$4:$B$147))</f>
        <v>24.3055555555556</v>
      </c>
      <c r="G12" s="9" t="n">
        <f aca="false">100*(1-(COUNTIF($C$4:$C$147,"&lt;"&amp;C12)+1)/COUNT($C$4:$C$147))</f>
        <v>68.0555555555556</v>
      </c>
      <c r="H12" s="9" t="n">
        <f aca="false">100*(1-(COUNTIF($D$4:$D$147,"&lt;"&amp;D12)+1)/COUNT($D$4:$D$147))</f>
        <v>98.6111111111111</v>
      </c>
      <c r="I12" s="9" t="n">
        <f aca="false">100*(1-(COUNTIF($E$4:$E$147,"&lt;"&amp;E12)+1)/COUNT($E$4:$E$147))</f>
        <v>99.3055555555556</v>
      </c>
      <c r="J12" s="15" t="n">
        <f aca="false">(F12*가중치!$B$4+G12*가중치!$B$5+H12*가중치!$B$6+I12*가중치!$B$7)/가중치!$B$8</f>
        <v>72.5694444444444</v>
      </c>
      <c r="K12" s="9" t="n">
        <f aca="false">RANK(J12,$J$4:$J$147,0)</f>
        <v>9</v>
      </c>
      <c r="L12" s="10" t="str">
        <f aca="false">IF(F12&gt;=75,"체험 ","")&amp;IF(G12&gt;=75,"숙박 ","")&amp;IF(H12&gt;=75,"저녁 ","")&amp;IF(I12&gt;=75,"야간","")</f>
        <v>저녁 야간</v>
      </c>
      <c r="M12" s="21" t="n">
        <v>2</v>
      </c>
      <c r="N12" s="21" t="n">
        <v>57</v>
      </c>
      <c r="O12" s="22" t="n">
        <v>0.618</v>
      </c>
    </row>
    <row r="13" customFormat="false" ht="15" hidden="false" customHeight="false" outlineLevel="0" collapsed="false">
      <c r="A13" s="10" t="s">
        <v>58</v>
      </c>
      <c r="B13" s="18" t="n">
        <v>-0.115953259770461</v>
      </c>
      <c r="C13" s="19" t="n">
        <v>3.53333333333333</v>
      </c>
      <c r="D13" s="20" t="n">
        <v>0.457630844371908</v>
      </c>
      <c r="E13" s="18" t="n">
        <v>0.0823586316443756</v>
      </c>
      <c r="F13" s="9" t="n">
        <f aca="false">100*(1-(COUNTIF($B$4:$B$147,"&lt;"&amp;B13)+1)/COUNT($B$4:$B$147))</f>
        <v>73.6111111111111</v>
      </c>
      <c r="G13" s="9" t="n">
        <f aca="false">100*(1-(COUNTIF($C$4:$C$147,"&lt;"&amp;C13)+1)/COUNT($C$4:$C$147))</f>
        <v>52.7777777777778</v>
      </c>
      <c r="H13" s="9" t="n">
        <f aca="false">100*(1-(COUNTIF($D$4:$D$147,"&lt;"&amp;D13)+1)/COUNT($D$4:$D$147))</f>
        <v>83.3333333333333</v>
      </c>
      <c r="I13" s="9" t="n">
        <f aca="false">100*(1-(COUNTIF($E$4:$E$147,"&lt;"&amp;E13)+1)/COUNT($E$4:$E$147))</f>
        <v>76.3888888888889</v>
      </c>
      <c r="J13" s="15" t="n">
        <f aca="false">(F13*가중치!$B$4+G13*가중치!$B$5+H13*가중치!$B$6+I13*가중치!$B$7)/가중치!$B$8</f>
        <v>71.5277777777778</v>
      </c>
      <c r="K13" s="9" t="n">
        <f aca="false">RANK(J13,$J$4:$J$147,0)</f>
        <v>10</v>
      </c>
      <c r="L13" s="10" t="str">
        <f aca="false">IF(F13&gt;=75,"체험 ","")&amp;IF(G13&gt;=75,"숙박 ","")&amp;IF(H13&gt;=75,"저녁 ","")&amp;IF(I13&gt;=75,"야간","")</f>
        <v>저녁 야간</v>
      </c>
      <c r="M13" s="21" t="n">
        <v>13</v>
      </c>
      <c r="N13" s="21" t="n">
        <v>32</v>
      </c>
      <c r="O13" s="22" t="n">
        <v>0.641</v>
      </c>
    </row>
    <row r="14" customFormat="false" ht="15" hidden="false" customHeight="false" outlineLevel="0" collapsed="false">
      <c r="A14" s="10" t="s">
        <v>59</v>
      </c>
      <c r="B14" s="18" t="n">
        <v>-0.15570733202658</v>
      </c>
      <c r="C14" s="19" t="n">
        <v>3.4725</v>
      </c>
      <c r="D14" s="20" t="n">
        <v>0.488195213952353</v>
      </c>
      <c r="E14" s="18" t="n">
        <v>0.0857710069764259</v>
      </c>
      <c r="F14" s="9" t="n">
        <f aca="false">100*(1-(COUNTIF($B$4:$B$147,"&lt;"&amp;B14)+1)/COUNT($B$4:$B$147))</f>
        <v>82.6388888888889</v>
      </c>
      <c r="G14" s="9" t="n">
        <f aca="false">100*(1-(COUNTIF($C$4:$C$147,"&lt;"&amp;C14)+1)/COUNT($C$4:$C$147))</f>
        <v>61.8055555555556</v>
      </c>
      <c r="H14" s="9" t="n">
        <f aca="false">100*(1-(COUNTIF($D$4:$D$147,"&lt;"&amp;D14)+1)/COUNT($D$4:$D$147))</f>
        <v>70.8333333333333</v>
      </c>
      <c r="I14" s="9" t="n">
        <f aca="false">100*(1-(COUNTIF($E$4:$E$147,"&lt;"&amp;E14)+1)/COUNT($E$4:$E$147))</f>
        <v>68.0555555555556</v>
      </c>
      <c r="J14" s="15" t="n">
        <f aca="false">(F14*가중치!$B$4+G14*가중치!$B$5+H14*가중치!$B$6+I14*가중치!$B$7)/가중치!$B$8</f>
        <v>70.8333333333333</v>
      </c>
      <c r="K14" s="9" t="n">
        <f aca="false">RANK(J14,$J$4:$J$147,0)</f>
        <v>11</v>
      </c>
      <c r="L14" s="10" t="str">
        <f aca="false">IF(F14&gt;=75,"체험 ","")&amp;IF(G14&gt;=75,"숙박 ","")&amp;IF(H14&gt;=75,"저녁 ","")&amp;IF(I14&gt;=75,"야간","")</f>
        <v>체험 </v>
      </c>
      <c r="M14" s="21" t="n">
        <v>11</v>
      </c>
      <c r="N14" s="21" t="n">
        <v>35</v>
      </c>
      <c r="O14" s="22" t="n">
        <v>0.597</v>
      </c>
    </row>
    <row r="15" customFormat="false" ht="15" hidden="false" customHeight="false" outlineLevel="0" collapsed="false">
      <c r="A15" s="10" t="s">
        <v>60</v>
      </c>
      <c r="B15" s="18" t="n">
        <v>-0.0967363498199688</v>
      </c>
      <c r="C15" s="19" t="n">
        <v>2.73833333333333</v>
      </c>
      <c r="D15" s="20" t="n">
        <v>0.481440553250936</v>
      </c>
      <c r="E15" s="18" t="n">
        <v>0.0951631123971624</v>
      </c>
      <c r="F15" s="9" t="n">
        <f aca="false">100*(1-(COUNTIF($B$4:$B$147,"&lt;"&amp;B15)+1)/COUNT($B$4:$B$147))</f>
        <v>70.1388888888889</v>
      </c>
      <c r="G15" s="9" t="n">
        <f aca="false">100*(1-(COUNTIF($C$4:$C$147,"&lt;"&amp;C15)+1)/COUNT($C$4:$C$147))</f>
        <v>94.4444444444444</v>
      </c>
      <c r="H15" s="9" t="n">
        <f aca="false">100*(1-(COUNTIF($D$4:$D$147,"&lt;"&amp;D15)+1)/COUNT($D$4:$D$147))</f>
        <v>74.3055555555556</v>
      </c>
      <c r="I15" s="9" t="n">
        <f aca="false">100*(1-(COUNTIF($E$4:$E$147,"&lt;"&amp;E15)+1)/COUNT($E$4:$E$147))</f>
        <v>44.4444444444444</v>
      </c>
      <c r="J15" s="15" t="n">
        <f aca="false">(F15*가중치!$B$4+G15*가중치!$B$5+H15*가중치!$B$6+I15*가중치!$B$7)/가중치!$B$8</f>
        <v>70.8333333333333</v>
      </c>
      <c r="K15" s="9" t="n">
        <f aca="false">RANK(J15,$J$4:$J$147,0)</f>
        <v>11</v>
      </c>
      <c r="L15" s="10" t="str">
        <f aca="false">IF(F15&gt;=75,"체험 ","")&amp;IF(G15&gt;=75,"숙박 ","")&amp;IF(H15&gt;=75,"저녁 ","")&amp;IF(I15&gt;=75,"야간","")</f>
        <v>숙박 </v>
      </c>
      <c r="M15" s="21" t="n">
        <v>4</v>
      </c>
      <c r="N15" s="21" t="n">
        <v>49</v>
      </c>
      <c r="O15" s="22" t="n">
        <v>0.506</v>
      </c>
    </row>
    <row r="16" customFormat="false" ht="15" hidden="false" customHeight="false" outlineLevel="0" collapsed="false">
      <c r="A16" s="10" t="s">
        <v>61</v>
      </c>
      <c r="B16" s="18" t="n">
        <v>0.11278592370318</v>
      </c>
      <c r="C16" s="19" t="n">
        <v>2.98416666666667</v>
      </c>
      <c r="D16" s="20" t="n">
        <v>0.461294169264822</v>
      </c>
      <c r="E16" s="18" t="n">
        <v>0.0769061123483594</v>
      </c>
      <c r="F16" s="9" t="n">
        <f aca="false">100*(1-(COUNTIF($B$4:$B$147,"&lt;"&amp;B16)+1)/COUNT($B$4:$B$147))</f>
        <v>25.6944444444444</v>
      </c>
      <c r="G16" s="9" t="n">
        <f aca="false">100*(1-(COUNTIF($C$4:$C$147,"&lt;"&amp;C16)+1)/COUNT($C$4:$C$147))</f>
        <v>88.1944444444444</v>
      </c>
      <c r="H16" s="9" t="n">
        <f aca="false">100*(1-(COUNTIF($D$4:$D$147,"&lt;"&amp;D16)+1)/COUNT($D$4:$D$147))</f>
        <v>82.6388888888889</v>
      </c>
      <c r="I16" s="9" t="n">
        <f aca="false">100*(1-(COUNTIF($E$4:$E$147,"&lt;"&amp;E16)+1)/COUNT($E$4:$E$147))</f>
        <v>86.1111111111111</v>
      </c>
      <c r="J16" s="15" t="n">
        <f aca="false">(F16*가중치!$B$4+G16*가중치!$B$5+H16*가중치!$B$6+I16*가중치!$B$7)/가중치!$B$8</f>
        <v>70.6597222222222</v>
      </c>
      <c r="K16" s="9" t="n">
        <f aca="false">RANK(J16,$J$4:$J$147,0)</f>
        <v>13</v>
      </c>
      <c r="L16" s="10" t="str">
        <f aca="false">IF(F16&gt;=75,"체험 ","")&amp;IF(G16&gt;=75,"숙박 ","")&amp;IF(H16&gt;=75,"저녁 ","")&amp;IF(I16&gt;=75,"야간","")</f>
        <v>숙박 저녁 야간</v>
      </c>
      <c r="M16" s="21" t="n">
        <v>4</v>
      </c>
      <c r="N16" s="21" t="n">
        <v>61</v>
      </c>
      <c r="O16" s="22" t="n">
        <v>0.495</v>
      </c>
    </row>
    <row r="17" customFormat="false" ht="15" hidden="false" customHeight="false" outlineLevel="0" collapsed="false">
      <c r="A17" s="10" t="s">
        <v>62</v>
      </c>
      <c r="B17" s="18" t="n">
        <v>0.154829502079362</v>
      </c>
      <c r="C17" s="19" t="n">
        <v>3.39416666666667</v>
      </c>
      <c r="D17" s="20" t="n">
        <v>0.395005877262629</v>
      </c>
      <c r="E17" s="18" t="n">
        <v>0.0607041676188817</v>
      </c>
      <c r="F17" s="9" t="n">
        <f aca="false">100*(1-(COUNTIF($B$4:$B$147,"&lt;"&amp;B17)+1)/COUNT($B$4:$B$147))</f>
        <v>20.1388888888889</v>
      </c>
      <c r="G17" s="9" t="n">
        <f aca="false">100*(1-(COUNTIF($C$4:$C$147,"&lt;"&amp;C17)+1)/COUNT($C$4:$C$147))</f>
        <v>66.6666666666667</v>
      </c>
      <c r="H17" s="9" t="n">
        <f aca="false">100*(1-(COUNTIF($D$4:$D$147,"&lt;"&amp;D17)+1)/COUNT($D$4:$D$147))</f>
        <v>97.9166666666667</v>
      </c>
      <c r="I17" s="9" t="n">
        <f aca="false">100*(1-(COUNTIF($E$4:$E$147,"&lt;"&amp;E17)+1)/COUNT($E$4:$E$147))</f>
        <v>97.2222222222222</v>
      </c>
      <c r="J17" s="15" t="n">
        <f aca="false">(F17*가중치!$B$4+G17*가중치!$B$5+H17*가중치!$B$6+I17*가중치!$B$7)/가중치!$B$8</f>
        <v>70.4861111111111</v>
      </c>
      <c r="K17" s="9" t="n">
        <f aca="false">RANK(J17,$J$4:$J$147,0)</f>
        <v>14</v>
      </c>
      <c r="L17" s="10" t="str">
        <f aca="false">IF(F17&gt;=75,"체험 ","")&amp;IF(G17&gt;=75,"숙박 ","")&amp;IF(H17&gt;=75,"저녁 ","")&amp;IF(I17&gt;=75,"야간","")</f>
        <v>저녁 야간</v>
      </c>
      <c r="M17" s="21" t="n">
        <v>4</v>
      </c>
      <c r="N17" s="21" t="n">
        <v>66</v>
      </c>
      <c r="O17" s="22" t="n">
        <v>0.572</v>
      </c>
    </row>
    <row r="18" customFormat="false" ht="15" hidden="false" customHeight="false" outlineLevel="0" collapsed="false">
      <c r="A18" s="10" t="s">
        <v>63</v>
      </c>
      <c r="B18" s="18" t="n">
        <v>-0.142753553398533</v>
      </c>
      <c r="C18" s="19" t="n">
        <v>3.9425</v>
      </c>
      <c r="D18" s="20" t="n">
        <v>0.43198754774175</v>
      </c>
      <c r="E18" s="18" t="n">
        <v>0.0604112717780862</v>
      </c>
      <c r="F18" s="9" t="n">
        <f aca="false">100*(1-(COUNTIF($B$4:$B$147,"&lt;"&amp;B18)+1)/COUNT($B$4:$B$147))</f>
        <v>81.25</v>
      </c>
      <c r="G18" s="9" t="n">
        <f aca="false">100*(1-(COUNTIF($C$4:$C$147,"&lt;"&amp;C18)+1)/COUNT($C$4:$C$147))</f>
        <v>6.94444444444444</v>
      </c>
      <c r="H18" s="9" t="n">
        <f aca="false">100*(1-(COUNTIF($D$4:$D$147,"&lt;"&amp;D18)+1)/COUNT($D$4:$D$147))</f>
        <v>92.3611111111111</v>
      </c>
      <c r="I18" s="9" t="n">
        <f aca="false">100*(1-(COUNTIF($E$4:$E$147,"&lt;"&amp;E18)+1)/COUNT($E$4:$E$147))</f>
        <v>97.9166666666667</v>
      </c>
      <c r="J18" s="15" t="n">
        <f aca="false">(F18*가중치!$B$4+G18*가중치!$B$5+H18*가중치!$B$6+I18*가중치!$B$7)/가중치!$B$8</f>
        <v>69.6180555555555</v>
      </c>
      <c r="K18" s="9" t="n">
        <f aca="false">RANK(J18,$J$4:$J$147,0)</f>
        <v>15</v>
      </c>
      <c r="L18" s="10" t="str">
        <f aca="false">IF(F18&gt;=75,"체험 ","")&amp;IF(G18&gt;=75,"숙박 ","")&amp;IF(H18&gt;=75,"저녁 ","")&amp;IF(I18&gt;=75,"야간","")</f>
        <v>체험 저녁 야간</v>
      </c>
      <c r="M18" s="21" t="n">
        <v>4</v>
      </c>
      <c r="N18" s="21" t="n">
        <v>80</v>
      </c>
      <c r="O18" s="22" t="n">
        <v>0.608</v>
      </c>
    </row>
    <row r="19" customFormat="false" ht="15" hidden="false" customHeight="false" outlineLevel="0" collapsed="false">
      <c r="A19" s="10" t="s">
        <v>64</v>
      </c>
      <c r="B19" s="18" t="n">
        <v>-0.118470129044861</v>
      </c>
      <c r="C19" s="19" t="n">
        <v>3.81916666666667</v>
      </c>
      <c r="D19" s="20" t="n">
        <v>0.416060282098148</v>
      </c>
      <c r="E19" s="18" t="n">
        <v>0.0743091210671363</v>
      </c>
      <c r="F19" s="9" t="n">
        <f aca="false">100*(1-(COUNTIF($B$4:$B$147,"&lt;"&amp;B19)+1)/COUNT($B$4:$B$147))</f>
        <v>75</v>
      </c>
      <c r="G19" s="9" t="n">
        <f aca="false">100*(1-(COUNTIF($C$4:$C$147,"&lt;"&amp;C19)+1)/COUNT($C$4:$C$147))</f>
        <v>15.2777777777778</v>
      </c>
      <c r="H19" s="9" t="n">
        <f aca="false">100*(1-(COUNTIF($D$4:$D$147,"&lt;"&amp;D19)+1)/COUNT($D$4:$D$147))</f>
        <v>95.1388888888889</v>
      </c>
      <c r="I19" s="9" t="n">
        <f aca="false">100*(1-(COUNTIF($E$4:$E$147,"&lt;"&amp;E19)+1)/COUNT($E$4:$E$147))</f>
        <v>90.9722222222222</v>
      </c>
      <c r="J19" s="15" t="n">
        <f aca="false">(F19*가중치!$B$4+G19*가중치!$B$5+H19*가중치!$B$6+I19*가중치!$B$7)/가중치!$B$8</f>
        <v>69.0972222222222</v>
      </c>
      <c r="K19" s="9" t="n">
        <f aca="false">RANK(J19,$J$4:$J$147,0)</f>
        <v>16</v>
      </c>
      <c r="L19" s="10" t="str">
        <f aca="false">IF(F19&gt;=75,"체험 ","")&amp;IF(G19&gt;=75,"숙박 ","")&amp;IF(H19&gt;=75,"저녁 ","")&amp;IF(I19&gt;=75,"야간","")</f>
        <v>체험 저녁 야간</v>
      </c>
      <c r="M19" s="21" t="n">
        <v>7</v>
      </c>
      <c r="N19" s="21" t="n">
        <v>71</v>
      </c>
      <c r="O19" s="22" t="n">
        <v>0.595</v>
      </c>
    </row>
    <row r="20" customFormat="false" ht="15" hidden="false" customHeight="false" outlineLevel="0" collapsed="false">
      <c r="A20" s="10" t="s">
        <v>65</v>
      </c>
      <c r="B20" s="18" t="n">
        <v>-0.279131769764531</v>
      </c>
      <c r="C20" s="19" t="n">
        <v>3.50416666666667</v>
      </c>
      <c r="D20" s="20" t="n">
        <v>0.506799920617179</v>
      </c>
      <c r="E20" s="18" t="n">
        <v>0.0871172244007875</v>
      </c>
      <c r="F20" s="9" t="n">
        <f aca="false">100*(1-(COUNTIF($B$4:$B$147,"&lt;"&amp;B20)+1)/COUNT($B$4:$B$147))</f>
        <v>93.75</v>
      </c>
      <c r="G20" s="9" t="n">
        <f aca="false">100*(1-(COUNTIF($C$4:$C$147,"&lt;"&amp;C20)+1)/COUNT($C$4:$C$147))</f>
        <v>56.9444444444444</v>
      </c>
      <c r="H20" s="9" t="n">
        <f aca="false">100*(1-(COUNTIF($D$4:$D$147,"&lt;"&amp;D20)+1)/COUNT($D$4:$D$147))</f>
        <v>59.0277777777778</v>
      </c>
      <c r="I20" s="9" t="n">
        <f aca="false">100*(1-(COUNTIF($E$4:$E$147,"&lt;"&amp;E20)+1)/COUNT($E$4:$E$147))</f>
        <v>65.2777777777778</v>
      </c>
      <c r="J20" s="15" t="n">
        <f aca="false">(F20*가중치!$B$4+G20*가중치!$B$5+H20*가중치!$B$6+I20*가중치!$B$7)/가중치!$B$8</f>
        <v>68.75</v>
      </c>
      <c r="K20" s="9" t="n">
        <f aca="false">RANK(J20,$J$4:$J$147,0)</f>
        <v>17</v>
      </c>
      <c r="L20" s="10" t="str">
        <f aca="false">IF(F20&gt;=75,"체험 ","")&amp;IF(G20&gt;=75,"숙박 ","")&amp;IF(H20&gt;=75,"저녁 ","")&amp;IF(I20&gt;=75,"야간","")</f>
        <v>체험 </v>
      </c>
      <c r="M20" s="21" t="n">
        <v>9</v>
      </c>
      <c r="N20" s="21" t="n">
        <v>45</v>
      </c>
      <c r="O20" s="22" t="n">
        <v>0.448</v>
      </c>
    </row>
    <row r="21" customFormat="false" ht="15" hidden="false" customHeight="false" outlineLevel="0" collapsed="false">
      <c r="A21" s="10" t="s">
        <v>66</v>
      </c>
      <c r="B21" s="18" t="n">
        <v>1.91549190344169</v>
      </c>
      <c r="C21" s="19" t="n">
        <v>2.96916666666667</v>
      </c>
      <c r="D21" s="20" t="n">
        <v>0.38529746431076</v>
      </c>
      <c r="E21" s="18" t="n">
        <v>0.077371686757071</v>
      </c>
      <c r="F21" s="9" t="n">
        <f aca="false">100*(1-(COUNTIF($B$4:$B$147,"&lt;"&amp;B21)+1)/COUNT($B$4:$B$147))</f>
        <v>0.694444444444442</v>
      </c>
      <c r="G21" s="9" t="n">
        <f aca="false">100*(1-(COUNTIF($C$4:$C$147,"&lt;"&amp;C21)+1)/COUNT($C$4:$C$147))</f>
        <v>88.8888888888889</v>
      </c>
      <c r="H21" s="9" t="n">
        <f aca="false">100*(1-(COUNTIF($D$4:$D$147,"&lt;"&amp;D21)+1)/COUNT($D$4:$D$147))</f>
        <v>99.3055555555556</v>
      </c>
      <c r="I21" s="9" t="n">
        <f aca="false">100*(1-(COUNTIF($E$4:$E$147,"&lt;"&amp;E21)+1)/COUNT($E$4:$E$147))</f>
        <v>84.7222222222222</v>
      </c>
      <c r="J21" s="15" t="n">
        <f aca="false">(F21*가중치!$B$4+G21*가중치!$B$5+H21*가중치!$B$6+I21*가중치!$B$7)/가중치!$B$8</f>
        <v>68.4027777777778</v>
      </c>
      <c r="K21" s="9" t="n">
        <f aca="false">RANK(J21,$J$4:$J$147,0)</f>
        <v>18</v>
      </c>
      <c r="L21" s="10" t="str">
        <f aca="false">IF(F21&gt;=75,"체험 ","")&amp;IF(G21&gt;=75,"숙박 ","")&amp;IF(H21&gt;=75,"저녁 ","")&amp;IF(I21&gt;=75,"야간","")</f>
        <v>숙박 저녁 야간</v>
      </c>
      <c r="M21" s="21" t="n">
        <v>2</v>
      </c>
      <c r="N21" s="21" t="n">
        <v>89</v>
      </c>
      <c r="O21" s="22" t="n">
        <v>0.485</v>
      </c>
    </row>
    <row r="22" customFormat="false" ht="15" hidden="false" customHeight="false" outlineLevel="0" collapsed="false">
      <c r="A22" s="10" t="s">
        <v>67</v>
      </c>
      <c r="B22" s="18" t="n">
        <v>0.0706572899340129</v>
      </c>
      <c r="C22" s="19" t="n">
        <v>3.48666666666667</v>
      </c>
      <c r="D22" s="20" t="n">
        <v>0.430257363227771</v>
      </c>
      <c r="E22" s="18" t="n">
        <v>0.0756928042520876</v>
      </c>
      <c r="F22" s="9" t="n">
        <f aca="false">100*(1-(COUNTIF($B$4:$B$147,"&lt;"&amp;B22)+1)/COUNT($B$4:$B$147))</f>
        <v>33.3333333333333</v>
      </c>
      <c r="G22" s="9" t="n">
        <f aca="false">100*(1-(COUNTIF($C$4:$C$147,"&lt;"&amp;C22)+1)/COUNT($C$4:$C$147))</f>
        <v>59.0277777777778</v>
      </c>
      <c r="H22" s="9" t="n">
        <f aca="false">100*(1-(COUNTIF($D$4:$D$147,"&lt;"&amp;D22)+1)/COUNT($D$4:$D$147))</f>
        <v>93.0555555555556</v>
      </c>
      <c r="I22" s="9" t="n">
        <f aca="false">100*(1-(COUNTIF($E$4:$E$147,"&lt;"&amp;E22)+1)/COUNT($E$4:$E$147))</f>
        <v>87.5</v>
      </c>
      <c r="J22" s="15" t="n">
        <f aca="false">(F22*가중치!$B$4+G22*가중치!$B$5+H22*가중치!$B$6+I22*가중치!$B$7)/가중치!$B$8</f>
        <v>68.2291666666667</v>
      </c>
      <c r="K22" s="9" t="n">
        <f aca="false">RANK(J22,$J$4:$J$147,0)</f>
        <v>19</v>
      </c>
      <c r="L22" s="10" t="str">
        <f aca="false">IF(F22&gt;=75,"체험 ","")&amp;IF(G22&gt;=75,"숙박 ","")&amp;IF(H22&gt;=75,"저녁 ","")&amp;IF(I22&gt;=75,"야간","")</f>
        <v>저녁 야간</v>
      </c>
      <c r="M22" s="21" t="n">
        <v>11</v>
      </c>
      <c r="N22" s="21" t="n">
        <v>60</v>
      </c>
      <c r="O22" s="22" t="n">
        <v>0.498</v>
      </c>
    </row>
    <row r="23" customFormat="false" ht="15" hidden="false" customHeight="false" outlineLevel="0" collapsed="false">
      <c r="A23" s="10" t="s">
        <v>68</v>
      </c>
      <c r="B23" s="18" t="n">
        <v>-0.273291377917282</v>
      </c>
      <c r="C23" s="19" t="n">
        <v>3.85916666666667</v>
      </c>
      <c r="D23" s="20" t="n">
        <v>0.462742913889538</v>
      </c>
      <c r="E23" s="18" t="n">
        <v>0.0792287062128553</v>
      </c>
      <c r="F23" s="9" t="n">
        <f aca="false">100*(1-(COUNTIF($B$4:$B$147,"&lt;"&amp;B23)+1)/COUNT($B$4:$B$147))</f>
        <v>93.0555555555556</v>
      </c>
      <c r="G23" s="9" t="n">
        <f aca="false">100*(1-(COUNTIF($C$4:$C$147,"&lt;"&amp;C23)+1)/COUNT($C$4:$C$147))</f>
        <v>13.1944444444444</v>
      </c>
      <c r="H23" s="9" t="n">
        <f aca="false">100*(1-(COUNTIF($D$4:$D$147,"&lt;"&amp;D23)+1)/COUNT($D$4:$D$147))</f>
        <v>81.9444444444444</v>
      </c>
      <c r="I23" s="9" t="n">
        <f aca="false">100*(1-(COUNTIF($E$4:$E$147,"&lt;"&amp;E23)+1)/COUNT($E$4:$E$147))</f>
        <v>79.8611111111111</v>
      </c>
      <c r="J23" s="15" t="n">
        <f aca="false">(F23*가중치!$B$4+G23*가중치!$B$5+H23*가중치!$B$6+I23*가중치!$B$7)/가중치!$B$8</f>
        <v>67.0138888888889</v>
      </c>
      <c r="K23" s="9" t="n">
        <f aca="false">RANK(J23,$J$4:$J$147,0)</f>
        <v>20</v>
      </c>
      <c r="L23" s="10" t="str">
        <f aca="false">IF(F23&gt;=75,"체험 ","")&amp;IF(G23&gt;=75,"숙박 ","")&amp;IF(H23&gt;=75,"저녁 ","")&amp;IF(I23&gt;=75,"야간","")</f>
        <v>체험 저녁 야간</v>
      </c>
      <c r="M23" s="21" t="n">
        <v>7</v>
      </c>
      <c r="N23" s="21" t="n">
        <v>78</v>
      </c>
      <c r="O23" s="22" t="n">
        <v>0.449</v>
      </c>
    </row>
    <row r="24" customFormat="false" ht="15" hidden="false" customHeight="false" outlineLevel="0" collapsed="false">
      <c r="A24" s="10" t="s">
        <v>69</v>
      </c>
      <c r="B24" s="18" t="n">
        <v>-0.210947431203926</v>
      </c>
      <c r="C24" s="19" t="n">
        <v>2.91166666666667</v>
      </c>
      <c r="D24" s="20" t="n">
        <v>0.493396324290989</v>
      </c>
      <c r="E24" s="18" t="n">
        <v>0.105286759605719</v>
      </c>
      <c r="F24" s="9" t="n">
        <f aca="false">100*(1-(COUNTIF($B$4:$B$147,"&lt;"&amp;B24)+1)/COUNT($B$4:$B$147))</f>
        <v>88.8888888888889</v>
      </c>
      <c r="G24" s="9" t="n">
        <f aca="false">100*(1-(COUNTIF($C$4:$C$147,"&lt;"&amp;C24)+1)/COUNT($C$4:$C$147))</f>
        <v>90.2777777777778</v>
      </c>
      <c r="H24" s="9" t="n">
        <f aca="false">100*(1-(COUNTIF($D$4:$D$147,"&lt;"&amp;D24)+1)/COUNT($D$4:$D$147))</f>
        <v>65.2777777777778</v>
      </c>
      <c r="I24" s="9" t="n">
        <f aca="false">100*(1-(COUNTIF($E$4:$E$147,"&lt;"&amp;E24)+1)/COUNT($E$4:$E$147))</f>
        <v>22.2222222222222</v>
      </c>
      <c r="J24" s="15" t="n">
        <f aca="false">(F24*가중치!$B$4+G24*가중치!$B$5+H24*가중치!$B$6+I24*가중치!$B$7)/가중치!$B$8</f>
        <v>66.6666666666667</v>
      </c>
      <c r="K24" s="9" t="n">
        <f aca="false">RANK(J24,$J$4:$J$147,0)</f>
        <v>21</v>
      </c>
      <c r="L24" s="10" t="str">
        <f aca="false">IF(F24&gt;=75,"체험 ","")&amp;IF(G24&gt;=75,"숙박 ","")&amp;IF(H24&gt;=75,"저녁 ","")&amp;IF(I24&gt;=75,"야간","")</f>
        <v>체험 숙박 </v>
      </c>
      <c r="M24" s="21" t="n">
        <v>5</v>
      </c>
      <c r="N24" s="21" t="n">
        <v>73</v>
      </c>
      <c r="O24" s="22" t="n">
        <v>0.471</v>
      </c>
    </row>
    <row r="25" customFormat="false" ht="15" hidden="false" customHeight="false" outlineLevel="0" collapsed="false">
      <c r="A25" s="10" t="s">
        <v>70</v>
      </c>
      <c r="B25" s="18" t="n">
        <v>0.0581852030224669</v>
      </c>
      <c r="C25" s="19" t="n">
        <v>3.24833333333333</v>
      </c>
      <c r="D25" s="20" t="n">
        <v>0.491956986045127</v>
      </c>
      <c r="E25" s="18" t="n">
        <v>0.0754417878225065</v>
      </c>
      <c r="F25" s="9" t="n">
        <f aca="false">100*(1-(COUNTIF($B$4:$B$147,"&lt;"&amp;B25)+1)/COUNT($B$4:$B$147))</f>
        <v>34.7222222222222</v>
      </c>
      <c r="G25" s="9" t="n">
        <f aca="false">100*(1-(COUNTIF($C$4:$C$147,"&lt;"&amp;C25)+1)/COUNT($C$4:$C$147))</f>
        <v>75.6944444444444</v>
      </c>
      <c r="H25" s="9" t="n">
        <f aca="false">100*(1-(COUNTIF($D$4:$D$147,"&lt;"&amp;D25)+1)/COUNT($D$4:$D$147))</f>
        <v>67.3611111111111</v>
      </c>
      <c r="I25" s="9" t="n">
        <f aca="false">100*(1-(COUNTIF($E$4:$E$147,"&lt;"&amp;E25)+1)/COUNT($E$4:$E$147))</f>
        <v>88.1944444444444</v>
      </c>
      <c r="J25" s="15" t="n">
        <f aca="false">(F25*가중치!$B$4+G25*가중치!$B$5+H25*가중치!$B$6+I25*가중치!$B$7)/가중치!$B$8</f>
        <v>66.4930555555556</v>
      </c>
      <c r="K25" s="9" t="n">
        <f aca="false">RANK(J25,$J$4:$J$147,0)</f>
        <v>22</v>
      </c>
      <c r="L25" s="10" t="str">
        <f aca="false">IF(F25&gt;=75,"체험 ","")&amp;IF(G25&gt;=75,"숙박 ","")&amp;IF(H25&gt;=75,"저녁 ","")&amp;IF(I25&gt;=75,"야간","")</f>
        <v>숙박 야간</v>
      </c>
      <c r="M25" s="21" t="n">
        <v>10</v>
      </c>
      <c r="N25" s="21" t="n">
        <v>60</v>
      </c>
      <c r="O25" s="22" t="n">
        <v>0.319</v>
      </c>
    </row>
    <row r="26" customFormat="false" ht="15" hidden="false" customHeight="false" outlineLevel="0" collapsed="false">
      <c r="A26" s="10" t="s">
        <v>71</v>
      </c>
      <c r="B26" s="18" t="n">
        <v>-0.0769260430889228</v>
      </c>
      <c r="C26" s="19" t="n">
        <v>3.5725</v>
      </c>
      <c r="D26" s="20" t="n">
        <v>0.473245488983242</v>
      </c>
      <c r="E26" s="18" t="n">
        <v>0.0833323524133292</v>
      </c>
      <c r="F26" s="9" t="n">
        <f aca="false">100*(1-(COUNTIF($B$4:$B$147,"&lt;"&amp;B26)+1)/COUNT($B$4:$B$147))</f>
        <v>66.6666666666667</v>
      </c>
      <c r="G26" s="9" t="n">
        <f aca="false">100*(1-(COUNTIF($C$4:$C$147,"&lt;"&amp;C26)+1)/COUNT($C$4:$C$147))</f>
        <v>44.4444444444444</v>
      </c>
      <c r="H26" s="9" t="n">
        <f aca="false">100*(1-(COUNTIF($D$4:$D$147,"&lt;"&amp;D26)+1)/COUNT($D$4:$D$147))</f>
        <v>78.4722222222222</v>
      </c>
      <c r="I26" s="9" t="n">
        <f aca="false">100*(1-(COUNTIF($E$4:$E$147,"&lt;"&amp;E26)+1)/COUNT($E$4:$E$147))</f>
        <v>73.6111111111111</v>
      </c>
      <c r="J26" s="15" t="n">
        <f aca="false">(F26*가중치!$B$4+G26*가중치!$B$5+H26*가중치!$B$6+I26*가중치!$B$7)/가중치!$B$8</f>
        <v>65.7986111111111</v>
      </c>
      <c r="K26" s="9" t="n">
        <f aca="false">RANK(J26,$J$4:$J$147,0)</f>
        <v>23</v>
      </c>
      <c r="L26" s="10" t="str">
        <f aca="false">IF(F26&gt;=75,"체험 ","")&amp;IF(G26&gt;=75,"숙박 ","")&amp;IF(H26&gt;=75,"저녁 ","")&amp;IF(I26&gt;=75,"야간","")</f>
        <v>저녁 </v>
      </c>
      <c r="M26" s="21" t="n">
        <v>22</v>
      </c>
      <c r="N26" s="21" t="n">
        <v>48</v>
      </c>
      <c r="O26" s="22" t="n">
        <v>0.052</v>
      </c>
    </row>
    <row r="27" customFormat="false" ht="15" hidden="false" customHeight="false" outlineLevel="0" collapsed="false">
      <c r="A27" s="10" t="s">
        <v>72</v>
      </c>
      <c r="B27" s="18" t="n">
        <v>-0.105854740799558</v>
      </c>
      <c r="C27" s="19" t="n">
        <v>3.36</v>
      </c>
      <c r="D27" s="20" t="n">
        <v>0.493325679174258</v>
      </c>
      <c r="E27" s="18" t="n">
        <v>0.091103505612735</v>
      </c>
      <c r="F27" s="9" t="n">
        <f aca="false">100*(1-(COUNTIF($B$4:$B$147,"&lt;"&amp;B27)+1)/COUNT($B$4:$B$147))</f>
        <v>71.5277777777778</v>
      </c>
      <c r="G27" s="9" t="n">
        <f aca="false">100*(1-(COUNTIF($C$4:$C$147,"&lt;"&amp;C27)+1)/COUNT($C$4:$C$147))</f>
        <v>69.4444444444444</v>
      </c>
      <c r="H27" s="9" t="n">
        <f aca="false">100*(1-(COUNTIF($D$4:$D$147,"&lt;"&amp;D27)+1)/COUNT($D$4:$D$147))</f>
        <v>65.9722222222222</v>
      </c>
      <c r="I27" s="9" t="n">
        <f aca="false">100*(1-(COUNTIF($E$4:$E$147,"&lt;"&amp;E27)+1)/COUNT($E$4:$E$147))</f>
        <v>55.5555555555556</v>
      </c>
      <c r="J27" s="15" t="n">
        <f aca="false">(F27*가중치!$B$4+G27*가중치!$B$5+H27*가중치!$B$6+I27*가중치!$B$7)/가중치!$B$8</f>
        <v>65.625</v>
      </c>
      <c r="K27" s="9" t="n">
        <f aca="false">RANK(J27,$J$4:$J$147,0)</f>
        <v>24</v>
      </c>
      <c r="L27" s="10" t="str">
        <f aca="false">IF(F27&gt;=75,"체험 ","")&amp;IF(G27&gt;=75,"숙박 ","")&amp;IF(H27&gt;=75,"저녁 ","")&amp;IF(I27&gt;=75,"야간","")</f>
        <v/>
      </c>
      <c r="M27" s="21" t="n">
        <v>20</v>
      </c>
      <c r="N27" s="21" t="n">
        <v>46</v>
      </c>
      <c r="O27" s="22" t="n">
        <v>0.132</v>
      </c>
    </row>
    <row r="28" customFormat="false" ht="15" hidden="false" customHeight="false" outlineLevel="0" collapsed="false">
      <c r="A28" s="10" t="s">
        <v>73</v>
      </c>
      <c r="B28" s="18" t="n">
        <v>-0.0583671344652213</v>
      </c>
      <c r="C28" s="19" t="n">
        <v>3.92833333333333</v>
      </c>
      <c r="D28" s="20" t="n">
        <v>0.427458119238002</v>
      </c>
      <c r="E28" s="18" t="n">
        <v>0.0683537887127622</v>
      </c>
      <c r="F28" s="9" t="n">
        <f aca="false">100*(1-(COUNTIF($B$4:$B$147,"&lt;"&amp;B28)+1)/COUNT($B$4:$B$147))</f>
        <v>61.8055555555556</v>
      </c>
      <c r="G28" s="9" t="n">
        <f aca="false">100*(1-(COUNTIF($C$4:$C$147,"&lt;"&amp;C28)+1)/COUNT($C$4:$C$147))</f>
        <v>8.33333333333334</v>
      </c>
      <c r="H28" s="9" t="n">
        <f aca="false">100*(1-(COUNTIF($D$4:$D$147,"&lt;"&amp;D28)+1)/COUNT($D$4:$D$147))</f>
        <v>93.75</v>
      </c>
      <c r="I28" s="9" t="n">
        <f aca="false">100*(1-(COUNTIF($E$4:$E$147,"&lt;"&amp;E28)+1)/COUNT($E$4:$E$147))</f>
        <v>95.8333333333333</v>
      </c>
      <c r="J28" s="15" t="n">
        <f aca="false">(F28*가중치!$B$4+G28*가중치!$B$5+H28*가중치!$B$6+I28*가중치!$B$7)/가중치!$B$8</f>
        <v>64.9305555555556</v>
      </c>
      <c r="K28" s="9" t="n">
        <f aca="false">RANK(J28,$J$4:$J$147,0)</f>
        <v>25</v>
      </c>
      <c r="L28" s="10" t="str">
        <f aca="false">IF(F28&gt;=75,"체험 ","")&amp;IF(G28&gt;=75,"숙박 ","")&amp;IF(H28&gt;=75,"저녁 ","")&amp;IF(I28&gt;=75,"야간","")</f>
        <v>저녁 야간</v>
      </c>
      <c r="M28" s="21" t="n">
        <v>8</v>
      </c>
      <c r="N28" s="21" t="n">
        <v>89</v>
      </c>
      <c r="O28" s="22" t="n">
        <v>0.443</v>
      </c>
    </row>
    <row r="29" customFormat="false" ht="15" hidden="false" customHeight="false" outlineLevel="0" collapsed="false">
      <c r="A29" s="10" t="s">
        <v>74</v>
      </c>
      <c r="B29" s="18" t="n">
        <v>-0.0977880709955808</v>
      </c>
      <c r="C29" s="19" t="n">
        <v>3.59333333333333</v>
      </c>
      <c r="D29" s="20" t="n">
        <v>0.487786600592434</v>
      </c>
      <c r="E29" s="18" t="n">
        <v>0.0818994427471719</v>
      </c>
      <c r="F29" s="9" t="n">
        <f aca="false">100*(1-(COUNTIF($B$4:$B$147,"&lt;"&amp;B29)+1)/COUNT($B$4:$B$147))</f>
        <v>70.8333333333333</v>
      </c>
      <c r="G29" s="9" t="n">
        <f aca="false">100*(1-(COUNTIF($C$4:$C$147,"&lt;"&amp;C29)+1)/COUNT($C$4:$C$147))</f>
        <v>38.1944444444444</v>
      </c>
      <c r="H29" s="9" t="n">
        <f aca="false">100*(1-(COUNTIF($D$4:$D$147,"&lt;"&amp;D29)+1)/COUNT($D$4:$D$147))</f>
        <v>72.2222222222222</v>
      </c>
      <c r="I29" s="9" t="n">
        <f aca="false">100*(1-(COUNTIF($E$4:$E$147,"&lt;"&amp;E29)+1)/COUNT($E$4:$E$147))</f>
        <v>77.7777777777778</v>
      </c>
      <c r="J29" s="15" t="n">
        <f aca="false">(F29*가중치!$B$4+G29*가중치!$B$5+H29*가중치!$B$6+I29*가중치!$B$7)/가중치!$B$8</f>
        <v>64.7569444444444</v>
      </c>
      <c r="K29" s="9" t="n">
        <f aca="false">RANK(J29,$J$4:$J$147,0)</f>
        <v>26</v>
      </c>
      <c r="L29" s="10" t="str">
        <f aca="false">IF(F29&gt;=75,"체험 ","")&amp;IF(G29&gt;=75,"숙박 ","")&amp;IF(H29&gt;=75,"저녁 ","")&amp;IF(I29&gt;=75,"야간","")</f>
        <v>야간</v>
      </c>
      <c r="M29" s="21" t="n">
        <v>21</v>
      </c>
      <c r="N29" s="21" t="n">
        <v>56</v>
      </c>
      <c r="O29" s="22" t="n">
        <v>0.092</v>
      </c>
    </row>
    <row r="30" customFormat="false" ht="15" hidden="false" customHeight="false" outlineLevel="0" collapsed="false">
      <c r="A30" s="10" t="s">
        <v>75</v>
      </c>
      <c r="B30" s="18" t="n">
        <v>-0.118564011600711</v>
      </c>
      <c r="C30" s="19" t="n">
        <v>3.37</v>
      </c>
      <c r="D30" s="20" t="n">
        <v>0.496929153274031</v>
      </c>
      <c r="E30" s="18" t="n">
        <v>0.0917017513534869</v>
      </c>
      <c r="F30" s="9" t="n">
        <f aca="false">100*(1-(COUNTIF($B$4:$B$147,"&lt;"&amp;B30)+1)/COUNT($B$4:$B$147))</f>
        <v>75.6944444444444</v>
      </c>
      <c r="G30" s="9" t="n">
        <f aca="false">100*(1-(COUNTIF($C$4:$C$147,"&lt;"&amp;C30)+1)/COUNT($C$4:$C$147))</f>
        <v>67.3611111111111</v>
      </c>
      <c r="H30" s="9" t="n">
        <f aca="false">100*(1-(COUNTIF($D$4:$D$147,"&lt;"&amp;D30)+1)/COUNT($D$4:$D$147))</f>
        <v>63.1944444444444</v>
      </c>
      <c r="I30" s="9" t="n">
        <f aca="false">100*(1-(COUNTIF($E$4:$E$147,"&lt;"&amp;E30)+1)/COUNT($E$4:$E$147))</f>
        <v>52.0833333333333</v>
      </c>
      <c r="J30" s="15" t="n">
        <f aca="false">(F30*가중치!$B$4+G30*가중치!$B$5+H30*가중치!$B$6+I30*가중치!$B$7)/가중치!$B$8</f>
        <v>64.5833333333333</v>
      </c>
      <c r="K30" s="9" t="n">
        <f aca="false">RANK(J30,$J$4:$J$147,0)</f>
        <v>27</v>
      </c>
      <c r="L30" s="10" t="str">
        <f aca="false">IF(F30&gt;=75,"체험 ","")&amp;IF(G30&gt;=75,"숙박 ","")&amp;IF(H30&gt;=75,"저녁 ","")&amp;IF(I30&gt;=75,"야간","")</f>
        <v>체험 </v>
      </c>
      <c r="M30" s="21" t="n">
        <v>20</v>
      </c>
      <c r="N30" s="21" t="n">
        <v>51</v>
      </c>
      <c r="O30" s="22" t="n">
        <v>0.1</v>
      </c>
    </row>
    <row r="31" customFormat="false" ht="15" hidden="false" customHeight="false" outlineLevel="0" collapsed="false">
      <c r="A31" s="10" t="s">
        <v>76</v>
      </c>
      <c r="B31" s="18" t="n">
        <v>0.0311508528451913</v>
      </c>
      <c r="C31" s="19" t="n">
        <v>3.57166666666667</v>
      </c>
      <c r="D31" s="20" t="n">
        <v>0.441469160742944</v>
      </c>
      <c r="E31" s="18" t="n">
        <v>0.0765371621382742</v>
      </c>
      <c r="F31" s="9" t="n">
        <f aca="false">100*(1-(COUNTIF($B$4:$B$147,"&lt;"&amp;B31)+1)/COUNT($B$4:$B$147))</f>
        <v>36.8055555555556</v>
      </c>
      <c r="G31" s="9" t="n">
        <f aca="false">100*(1-(COUNTIF($C$4:$C$147,"&lt;"&amp;C31)+1)/COUNT($C$4:$C$147))</f>
        <v>45.1388888888889</v>
      </c>
      <c r="H31" s="9" t="n">
        <f aca="false">100*(1-(COUNTIF($D$4:$D$147,"&lt;"&amp;D31)+1)/COUNT($D$4:$D$147))</f>
        <v>89.5833333333333</v>
      </c>
      <c r="I31" s="9" t="n">
        <f aca="false">100*(1-(COUNTIF($E$4:$E$147,"&lt;"&amp;E31)+1)/COUNT($E$4:$E$147))</f>
        <v>86.8055555555556</v>
      </c>
      <c r="J31" s="15" t="n">
        <f aca="false">(F31*가중치!$B$4+G31*가중치!$B$5+H31*가중치!$B$6+I31*가중치!$B$7)/가중치!$B$8</f>
        <v>64.5833333333333</v>
      </c>
      <c r="K31" s="9" t="n">
        <f aca="false">RANK(J31,$J$4:$J$147,0)</f>
        <v>27</v>
      </c>
      <c r="L31" s="10" t="str">
        <f aca="false">IF(F31&gt;=75,"체험 ","")&amp;IF(G31&gt;=75,"숙박 ","")&amp;IF(H31&gt;=75,"저녁 ","")&amp;IF(I31&gt;=75,"야간","")</f>
        <v>저녁 야간</v>
      </c>
      <c r="M31" s="21" t="n">
        <v>17</v>
      </c>
      <c r="N31" s="21" t="n">
        <v>69</v>
      </c>
      <c r="O31" s="22" t="n">
        <v>0.292</v>
      </c>
    </row>
    <row r="32" customFormat="false" ht="15" hidden="false" customHeight="false" outlineLevel="0" collapsed="false">
      <c r="A32" s="10" t="s">
        <v>77</v>
      </c>
      <c r="B32" s="18" t="n">
        <v>-0.245938679366419</v>
      </c>
      <c r="C32" s="19" t="n">
        <v>2.5575</v>
      </c>
      <c r="D32" s="20" t="n">
        <v>0.519371048724575</v>
      </c>
      <c r="E32" s="18" t="n">
        <v>0.10948826457082</v>
      </c>
      <c r="F32" s="9" t="n">
        <f aca="false">100*(1-(COUNTIF($B$4:$B$147,"&lt;"&amp;B32)+1)/COUNT($B$4:$B$147))</f>
        <v>92.3611111111111</v>
      </c>
      <c r="G32" s="9" t="n">
        <f aca="false">100*(1-(COUNTIF($C$4:$C$147,"&lt;"&amp;C32)+1)/COUNT($C$4:$C$147))</f>
        <v>98.6111111111111</v>
      </c>
      <c r="H32" s="9" t="n">
        <f aca="false">100*(1-(COUNTIF($D$4:$D$147,"&lt;"&amp;D32)+1)/COUNT($D$4:$D$147))</f>
        <v>49.3055555555556</v>
      </c>
      <c r="I32" s="9" t="n">
        <f aca="false">100*(1-(COUNTIF($E$4:$E$147,"&lt;"&amp;E32)+1)/COUNT($E$4:$E$147))</f>
        <v>15.2777777777778</v>
      </c>
      <c r="J32" s="15" t="n">
        <f aca="false">(F32*가중치!$B$4+G32*가중치!$B$5+H32*가중치!$B$6+I32*가중치!$B$7)/가중치!$B$8</f>
        <v>63.8888888888889</v>
      </c>
      <c r="K32" s="9" t="n">
        <f aca="false">RANK(J32,$J$4:$J$147,0)</f>
        <v>29</v>
      </c>
      <c r="L32" s="10" t="str">
        <f aca="false">IF(F32&gt;=75,"체험 ","")&amp;IF(G32&gt;=75,"숙박 ","")&amp;IF(H32&gt;=75,"저녁 ","")&amp;IF(I32&gt;=75,"야간","")</f>
        <v>체험 숙박 </v>
      </c>
      <c r="M32" s="21" t="n">
        <v>3</v>
      </c>
      <c r="N32" s="21" t="n">
        <v>90</v>
      </c>
      <c r="O32" s="22" t="n">
        <v>0.413</v>
      </c>
    </row>
    <row r="33" customFormat="false" ht="15" hidden="false" customHeight="false" outlineLevel="0" collapsed="false">
      <c r="A33" s="10" t="s">
        <v>78</v>
      </c>
      <c r="B33" s="18" t="n">
        <v>-0.409019297266706</v>
      </c>
      <c r="C33" s="19" t="n">
        <v>3.82333333333333</v>
      </c>
      <c r="D33" s="20" t="n">
        <v>0.488067046262907</v>
      </c>
      <c r="E33" s="18" t="n">
        <v>0.0859049110349118</v>
      </c>
      <c r="F33" s="9" t="n">
        <f aca="false">100*(1-(COUNTIF($B$4:$B$147,"&lt;"&amp;B33)+1)/COUNT($B$4:$B$147))</f>
        <v>97.2222222222222</v>
      </c>
      <c r="G33" s="9" t="n">
        <f aca="false">100*(1-(COUNTIF($C$4:$C$147,"&lt;"&amp;C33)+1)/COUNT($C$4:$C$147))</f>
        <v>14.5833333333333</v>
      </c>
      <c r="H33" s="9" t="n">
        <f aca="false">100*(1-(COUNTIF($D$4:$D$147,"&lt;"&amp;D33)+1)/COUNT($D$4:$D$147))</f>
        <v>71.5277777777778</v>
      </c>
      <c r="I33" s="9" t="n">
        <f aca="false">100*(1-(COUNTIF($E$4:$E$147,"&lt;"&amp;E33)+1)/COUNT($E$4:$E$147))</f>
        <v>67.3611111111111</v>
      </c>
      <c r="J33" s="15" t="n">
        <f aca="false">(F33*가중치!$B$4+G33*가중치!$B$5+H33*가중치!$B$6+I33*가중치!$B$7)/가중치!$B$8</f>
        <v>62.6736111111111</v>
      </c>
      <c r="K33" s="9" t="n">
        <f aca="false">RANK(J33,$J$4:$J$147,0)</f>
        <v>30</v>
      </c>
      <c r="L33" s="10" t="str">
        <f aca="false">IF(F33&gt;=75,"체험 ","")&amp;IF(G33&gt;=75,"숙박 ","")&amp;IF(H33&gt;=75,"저녁 ","")&amp;IF(I33&gt;=75,"야간","")</f>
        <v>체험 </v>
      </c>
      <c r="M33" s="21" t="n">
        <v>11</v>
      </c>
      <c r="N33" s="21" t="n">
        <v>87</v>
      </c>
      <c r="O33" s="22" t="n">
        <v>0.309</v>
      </c>
    </row>
    <row r="34" customFormat="false" ht="15" hidden="false" customHeight="false" outlineLevel="0" collapsed="false">
      <c r="A34" s="10" t="s">
        <v>79</v>
      </c>
      <c r="B34" s="18" t="n">
        <v>-0.0304078573518735</v>
      </c>
      <c r="C34" s="19" t="n">
        <v>2.90333333333333</v>
      </c>
      <c r="D34" s="20" t="n">
        <v>0.507569018242251</v>
      </c>
      <c r="E34" s="18" t="n">
        <v>0.0950874573899079</v>
      </c>
      <c r="F34" s="9" t="n">
        <f aca="false">100*(1-(COUNTIF($B$4:$B$147,"&lt;"&amp;B34)+1)/COUNT($B$4:$B$147))</f>
        <v>53.4722222222222</v>
      </c>
      <c r="G34" s="9" t="n">
        <f aca="false">100*(1-(COUNTIF($C$4:$C$147,"&lt;"&amp;C34)+1)/COUNT($C$4:$C$147))</f>
        <v>90.9722222222222</v>
      </c>
      <c r="H34" s="9" t="n">
        <f aca="false">100*(1-(COUNTIF($D$4:$D$147,"&lt;"&amp;D34)+1)/COUNT($D$4:$D$147))</f>
        <v>58.3333333333333</v>
      </c>
      <c r="I34" s="9" t="n">
        <f aca="false">100*(1-(COUNTIF($E$4:$E$147,"&lt;"&amp;E34)+1)/COUNT($E$4:$E$147))</f>
        <v>45.1388888888889</v>
      </c>
      <c r="J34" s="15" t="n">
        <f aca="false">(F34*가중치!$B$4+G34*가중치!$B$5+H34*가중치!$B$6+I34*가중치!$B$7)/가중치!$B$8</f>
        <v>61.9791666666667</v>
      </c>
      <c r="K34" s="9" t="n">
        <f aca="false">RANK(J34,$J$4:$J$147,0)</f>
        <v>31</v>
      </c>
      <c r="L34" s="10" t="str">
        <f aca="false">IF(F34&gt;=75,"체험 ","")&amp;IF(G34&gt;=75,"숙박 ","")&amp;IF(H34&gt;=75,"저녁 ","")&amp;IF(I34&gt;=75,"야간","")</f>
        <v>숙박 </v>
      </c>
      <c r="M34" s="21" t="n">
        <v>11</v>
      </c>
      <c r="N34" s="21" t="n">
        <v>64</v>
      </c>
      <c r="O34" s="22" t="n">
        <v>0.244</v>
      </c>
    </row>
    <row r="35" customFormat="false" ht="15" hidden="false" customHeight="false" outlineLevel="0" collapsed="false">
      <c r="A35" s="10" t="s">
        <v>80</v>
      </c>
      <c r="B35" s="18" t="n">
        <v>-0.0207132517770504</v>
      </c>
      <c r="C35" s="19" t="n">
        <v>4.02583333333333</v>
      </c>
      <c r="D35" s="20" t="n">
        <v>0.409468325371495</v>
      </c>
      <c r="E35" s="18" t="n">
        <v>0.0737119722392491</v>
      </c>
      <c r="F35" s="9" t="n">
        <f aca="false">100*(1-(COUNTIF($B$4:$B$147,"&lt;"&amp;B35)+1)/COUNT($B$4:$B$147))</f>
        <v>50</v>
      </c>
      <c r="G35" s="9" t="n">
        <f aca="false">100*(1-(COUNTIF($C$4:$C$147,"&lt;"&amp;C35)+1)/COUNT($C$4:$C$147))</f>
        <v>4.86111111111112</v>
      </c>
      <c r="H35" s="9" t="n">
        <f aca="false">100*(1-(COUNTIF($D$4:$D$147,"&lt;"&amp;D35)+1)/COUNT($D$4:$D$147))</f>
        <v>97.2222222222222</v>
      </c>
      <c r="I35" s="9" t="n">
        <f aca="false">100*(1-(COUNTIF($E$4:$E$147,"&lt;"&amp;E35)+1)/COUNT($E$4:$E$147))</f>
        <v>93.0555555555556</v>
      </c>
      <c r="J35" s="15" t="n">
        <f aca="false">(F35*가중치!$B$4+G35*가중치!$B$5+H35*가중치!$B$6+I35*가중치!$B$7)/가중치!$B$8</f>
        <v>61.2847222222222</v>
      </c>
      <c r="K35" s="9" t="n">
        <f aca="false">RANK(J35,$J$4:$J$147,0)</f>
        <v>33</v>
      </c>
      <c r="L35" s="10" t="str">
        <f aca="false">IF(F35&gt;=75,"체험 ","")&amp;IF(G35&gt;=75,"숙박 ","")&amp;IF(H35&gt;=75,"저녁 ","")&amp;IF(I35&gt;=75,"야간","")</f>
        <v>저녁 야간</v>
      </c>
      <c r="M35" s="21" t="n">
        <v>12</v>
      </c>
      <c r="N35" s="21" t="n">
        <v>101</v>
      </c>
      <c r="O35" s="22" t="n">
        <v>0.313</v>
      </c>
    </row>
    <row r="36" customFormat="false" ht="15" hidden="false" customHeight="false" outlineLevel="0" collapsed="false">
      <c r="A36" s="10" t="s">
        <v>81</v>
      </c>
      <c r="B36" s="18" t="n">
        <v>0.231980983887411</v>
      </c>
      <c r="C36" s="19" t="n">
        <v>3.64333333333333</v>
      </c>
      <c r="D36" s="20" t="n">
        <v>0.410890580293897</v>
      </c>
      <c r="E36" s="18" t="n">
        <v>0.0588068801811089</v>
      </c>
      <c r="F36" s="9" t="n">
        <f aca="false">100*(1-(COUNTIF($B$4:$B$147,"&lt;"&amp;B36)+1)/COUNT($B$4:$B$147))</f>
        <v>15.2777777777778</v>
      </c>
      <c r="G36" s="9" t="n">
        <f aca="false">100*(1-(COUNTIF($C$4:$C$147,"&lt;"&amp;C36)+1)/COUNT($C$4:$C$147))</f>
        <v>34.7222222222222</v>
      </c>
      <c r="H36" s="9" t="n">
        <f aca="false">100*(1-(COUNTIF($D$4:$D$147,"&lt;"&amp;D36)+1)/COUNT($D$4:$D$147))</f>
        <v>96.5277777777778</v>
      </c>
      <c r="I36" s="9" t="n">
        <f aca="false">100*(1-(COUNTIF($E$4:$E$147,"&lt;"&amp;E36)+1)/COUNT($E$4:$E$147))</f>
        <v>98.6111111111111</v>
      </c>
      <c r="J36" s="15" t="n">
        <f aca="false">(F36*가중치!$B$4+G36*가중치!$B$5+H36*가중치!$B$6+I36*가중치!$B$7)/가중치!$B$8</f>
        <v>61.2847222222222</v>
      </c>
      <c r="K36" s="9" t="n">
        <f aca="false">RANK(J36,$J$4:$J$147,0)</f>
        <v>32</v>
      </c>
      <c r="L36" s="10" t="str">
        <f aca="false">IF(F36&gt;=75,"체험 ","")&amp;IF(G36&gt;=75,"숙박 ","")&amp;IF(H36&gt;=75,"저녁 ","")&amp;IF(I36&gt;=75,"야간","")</f>
        <v>저녁 야간</v>
      </c>
      <c r="M36" s="21" t="n">
        <v>10</v>
      </c>
      <c r="N36" s="21" t="n">
        <v>97</v>
      </c>
      <c r="O36" s="22" t="n">
        <v>0.299</v>
      </c>
    </row>
    <row r="37" customFormat="false" ht="15" hidden="false" customHeight="false" outlineLevel="0" collapsed="false">
      <c r="A37" s="10" t="s">
        <v>82</v>
      </c>
      <c r="B37" s="18" t="n">
        <v>-0.181388638198578</v>
      </c>
      <c r="C37" s="19" t="n">
        <v>3.75416666666667</v>
      </c>
      <c r="D37" s="20" t="n">
        <v>0.491550689567475</v>
      </c>
      <c r="E37" s="18" t="n">
        <v>0.0845259439742264</v>
      </c>
      <c r="F37" s="9" t="n">
        <f aca="false">100*(1-(COUNTIF($B$4:$B$147,"&lt;"&amp;B37)+1)/COUNT($B$4:$B$147))</f>
        <v>86.1111111111111</v>
      </c>
      <c r="G37" s="9" t="n">
        <f aca="false">100*(1-(COUNTIF($C$4:$C$147,"&lt;"&amp;C37)+1)/COUNT($C$4:$C$147))</f>
        <v>20.1388888888889</v>
      </c>
      <c r="H37" s="9" t="n">
        <f aca="false">100*(1-(COUNTIF($D$4:$D$147,"&lt;"&amp;D37)+1)/COUNT($D$4:$D$147))</f>
        <v>68.0555555555556</v>
      </c>
      <c r="I37" s="9" t="n">
        <f aca="false">100*(1-(COUNTIF($E$4:$E$147,"&lt;"&amp;E37)+1)/COUNT($E$4:$E$147))</f>
        <v>70.1388888888889</v>
      </c>
      <c r="J37" s="15" t="n">
        <f aca="false">(F37*가중치!$B$4+G37*가중치!$B$5+H37*가중치!$B$6+I37*가중치!$B$7)/가중치!$B$8</f>
        <v>61.1111111111111</v>
      </c>
      <c r="K37" s="9" t="n">
        <f aca="false">RANK(J37,$J$4:$J$147,0)</f>
        <v>34</v>
      </c>
      <c r="L37" s="10" t="str">
        <f aca="false">IF(F37&gt;=75,"체험 ","")&amp;IF(G37&gt;=75,"숙박 ","")&amp;IF(H37&gt;=75,"저녁 ","")&amp;IF(I37&gt;=75,"야간","")</f>
        <v>체험 </v>
      </c>
      <c r="M37" s="21" t="n">
        <v>18</v>
      </c>
      <c r="N37" s="21" t="n">
        <v>84</v>
      </c>
      <c r="O37" s="22" t="n">
        <v>0.189</v>
      </c>
    </row>
    <row r="38" customFormat="false" ht="15" hidden="false" customHeight="false" outlineLevel="0" collapsed="false">
      <c r="A38" s="10" t="s">
        <v>83</v>
      </c>
      <c r="B38" s="18" t="n">
        <v>0.0625939227533161</v>
      </c>
      <c r="C38" s="19" t="n">
        <v>3.34333333333333</v>
      </c>
      <c r="D38" s="20" t="n">
        <v>0.4964586969892</v>
      </c>
      <c r="E38" s="18" t="n">
        <v>0.0835752584129672</v>
      </c>
      <c r="F38" s="9" t="n">
        <f aca="false">100*(1-(COUNTIF($B$4:$B$147,"&lt;"&amp;B38)+1)/COUNT($B$4:$B$147))</f>
        <v>34.0277777777778</v>
      </c>
      <c r="G38" s="9" t="n">
        <f aca="false">100*(1-(COUNTIF($C$4:$C$147,"&lt;"&amp;C38)+1)/COUNT($C$4:$C$147))</f>
        <v>70.1388888888889</v>
      </c>
      <c r="H38" s="9" t="n">
        <f aca="false">100*(1-(COUNTIF($D$4:$D$147,"&lt;"&amp;D38)+1)/COUNT($D$4:$D$147))</f>
        <v>63.8888888888889</v>
      </c>
      <c r="I38" s="9" t="n">
        <f aca="false">100*(1-(COUNTIF($E$4:$E$147,"&lt;"&amp;E38)+1)/COUNT($E$4:$E$147))</f>
        <v>72.9166666666667</v>
      </c>
      <c r="J38" s="15" t="n">
        <f aca="false">(F38*가중치!$B$4+G38*가중치!$B$5+H38*가중치!$B$6+I38*가중치!$B$7)/가중치!$B$8</f>
        <v>60.2430555555556</v>
      </c>
      <c r="K38" s="9" t="n">
        <f aca="false">RANK(J38,$J$4:$J$147,0)</f>
        <v>35</v>
      </c>
      <c r="L38" s="10" t="str">
        <f aca="false">IF(F38&gt;=75,"체험 ","")&amp;IF(G38&gt;=75,"숙박 ","")&amp;IF(H38&gt;=75,"저녁 ","")&amp;IF(I38&gt;=75,"야간","")</f>
        <v/>
      </c>
      <c r="M38" s="21" t="n">
        <v>25</v>
      </c>
      <c r="N38" s="21" t="n">
        <v>72</v>
      </c>
      <c r="O38" s="22" t="n">
        <v>0.05</v>
      </c>
    </row>
    <row r="39" customFormat="false" ht="15" hidden="false" customHeight="false" outlineLevel="0" collapsed="false">
      <c r="A39" s="10" t="s">
        <v>84</v>
      </c>
      <c r="B39" s="18" t="n">
        <v>-0.0423280096425221</v>
      </c>
      <c r="C39" s="19" t="n">
        <v>3.67666666666667</v>
      </c>
      <c r="D39" s="20" t="n">
        <v>0.478960440708356</v>
      </c>
      <c r="E39" s="18" t="n">
        <v>0.078596348451067</v>
      </c>
      <c r="F39" s="9" t="n">
        <f aca="false">100*(1-(COUNTIF($B$4:$B$147,"&lt;"&amp;B39)+1)/COUNT($B$4:$B$147))</f>
        <v>56.25</v>
      </c>
      <c r="G39" s="9" t="n">
        <f aca="false">100*(1-(COUNTIF($C$4:$C$147,"&lt;"&amp;C39)+1)/COUNT($C$4:$C$147))</f>
        <v>26.3888888888889</v>
      </c>
      <c r="H39" s="9" t="n">
        <f aca="false">100*(1-(COUNTIF($D$4:$D$147,"&lt;"&amp;D39)+1)/COUNT($D$4:$D$147))</f>
        <v>75.6944444444444</v>
      </c>
      <c r="I39" s="9" t="n">
        <f aca="false">100*(1-(COUNTIF($E$4:$E$147,"&lt;"&amp;E39)+1)/COUNT($E$4:$E$147))</f>
        <v>81.9444444444444</v>
      </c>
      <c r="J39" s="15" t="n">
        <f aca="false">(F39*가중치!$B$4+G39*가중치!$B$5+H39*가중치!$B$6+I39*가중치!$B$7)/가중치!$B$8</f>
        <v>60.0694444444444</v>
      </c>
      <c r="K39" s="9" t="n">
        <f aca="false">RANK(J39,$J$4:$J$147,0)</f>
        <v>36</v>
      </c>
      <c r="L39" s="10" t="str">
        <f aca="false">IF(F39&gt;=75,"체험 ","")&amp;IF(G39&gt;=75,"숙박 ","")&amp;IF(H39&gt;=75,"저녁 ","")&amp;IF(I39&gt;=75,"야간","")</f>
        <v>저녁 야간</v>
      </c>
      <c r="M39" s="21" t="n">
        <v>27</v>
      </c>
      <c r="N39" s="21" t="n">
        <v>79</v>
      </c>
      <c r="O39" s="22" t="n">
        <v>0</v>
      </c>
    </row>
    <row r="40" customFormat="false" ht="15" hidden="false" customHeight="false" outlineLevel="0" collapsed="false">
      <c r="A40" s="10" t="s">
        <v>85</v>
      </c>
      <c r="B40" s="18" t="n">
        <v>1.05940191340864</v>
      </c>
      <c r="C40" s="19" t="n">
        <v>3.51166666666667</v>
      </c>
      <c r="D40" s="20" t="n">
        <v>0.436633083423285</v>
      </c>
      <c r="E40" s="18" t="n">
        <v>0.0752741232377576</v>
      </c>
      <c r="F40" s="9" t="n">
        <f aca="false">100*(1-(COUNTIF($B$4:$B$147,"&lt;"&amp;B40)+1)/COUNT($B$4:$B$147))</f>
        <v>1.38888888888888</v>
      </c>
      <c r="G40" s="9" t="n">
        <f aca="false">100*(1-(COUNTIF($C$4:$C$147,"&lt;"&amp;C40)+1)/COUNT($C$4:$C$147))</f>
        <v>55.5555555555556</v>
      </c>
      <c r="H40" s="9" t="n">
        <f aca="false">100*(1-(COUNTIF($D$4:$D$147,"&lt;"&amp;D40)+1)/COUNT($D$4:$D$147))</f>
        <v>91.6666666666667</v>
      </c>
      <c r="I40" s="9" t="n">
        <f aca="false">100*(1-(COUNTIF($E$4:$E$147,"&lt;"&amp;E40)+1)/COUNT($E$4:$E$147))</f>
        <v>89.5833333333333</v>
      </c>
      <c r="J40" s="15" t="n">
        <f aca="false">(F40*가중치!$B$4+G40*가중치!$B$5+H40*가중치!$B$6+I40*가중치!$B$7)/가중치!$B$8</f>
        <v>59.5486111111111</v>
      </c>
      <c r="K40" s="9" t="n">
        <f aca="false">RANK(J40,$J$4:$J$147,0)</f>
        <v>37</v>
      </c>
      <c r="L40" s="10" t="str">
        <f aca="false">IF(F40&gt;=75,"체험 ","")&amp;IF(G40&gt;=75,"숙박 ","")&amp;IF(H40&gt;=75,"저녁 ","")&amp;IF(I40&gt;=75,"야간","")</f>
        <v>저녁 야간</v>
      </c>
      <c r="M40" s="21" t="n">
        <v>13</v>
      </c>
      <c r="N40" s="21" t="n">
        <v>104</v>
      </c>
      <c r="O40" s="22" t="n">
        <v>0.218</v>
      </c>
    </row>
    <row r="41" customFormat="false" ht="15" hidden="false" customHeight="false" outlineLevel="0" collapsed="false">
      <c r="A41" s="10" t="s">
        <v>86</v>
      </c>
      <c r="B41" s="18" t="n">
        <v>-0.216210326990685</v>
      </c>
      <c r="C41" s="19" t="n">
        <v>3.58333333333333</v>
      </c>
      <c r="D41" s="20" t="n">
        <v>0.530603542627989</v>
      </c>
      <c r="E41" s="18" t="n">
        <v>0.0875877342501456</v>
      </c>
      <c r="F41" s="9" t="n">
        <f aca="false">100*(1-(COUNTIF($B$4:$B$147,"&lt;"&amp;B41)+1)/COUNT($B$4:$B$147))</f>
        <v>89.5833333333333</v>
      </c>
      <c r="G41" s="9" t="n">
        <f aca="false">100*(1-(COUNTIF($C$4:$C$147,"&lt;"&amp;C41)+1)/COUNT($C$4:$C$147))</f>
        <v>40.9722222222222</v>
      </c>
      <c r="H41" s="9" t="n">
        <f aca="false">100*(1-(COUNTIF($D$4:$D$147,"&lt;"&amp;D41)+1)/COUNT($D$4:$D$147))</f>
        <v>43.75</v>
      </c>
      <c r="I41" s="9" t="n">
        <f aca="false">100*(1-(COUNTIF($E$4:$E$147,"&lt;"&amp;E41)+1)/COUNT($E$4:$E$147))</f>
        <v>63.1944444444444</v>
      </c>
      <c r="J41" s="15" t="n">
        <f aca="false">(F41*가중치!$B$4+G41*가중치!$B$5+H41*가중치!$B$6+I41*가중치!$B$7)/가중치!$B$8</f>
        <v>59.375</v>
      </c>
      <c r="K41" s="9" t="n">
        <f aca="false">RANK(J41,$J$4:$J$147,0)</f>
        <v>38</v>
      </c>
      <c r="L41" s="10" t="str">
        <f aca="false">IF(F41&gt;=75,"체험 ","")&amp;IF(G41&gt;=75,"숙박 ","")&amp;IF(H41&gt;=75,"저녁 ","")&amp;IF(I41&gt;=75,"야간","")</f>
        <v>체험 </v>
      </c>
      <c r="M41" s="21" t="n">
        <v>20</v>
      </c>
      <c r="N41" s="21" t="n">
        <v>73</v>
      </c>
      <c r="O41" s="22" t="n">
        <v>0.117</v>
      </c>
    </row>
    <row r="42" customFormat="false" ht="15" hidden="false" customHeight="false" outlineLevel="0" collapsed="false">
      <c r="A42" s="10" t="s">
        <v>87</v>
      </c>
      <c r="B42" s="18" t="n">
        <v>-0.16393103874684</v>
      </c>
      <c r="C42" s="19" t="n">
        <v>4.37583333333333</v>
      </c>
      <c r="D42" s="20" t="n">
        <v>0.473839653055243</v>
      </c>
      <c r="E42" s="18" t="n">
        <v>0.0827803520900735</v>
      </c>
      <c r="F42" s="9" t="n">
        <f aca="false">100*(1-(COUNTIF($B$4:$B$147,"&lt;"&amp;B42)+1)/COUNT($B$4:$B$147))</f>
        <v>84.0277777777778</v>
      </c>
      <c r="G42" s="9" t="n">
        <f aca="false">100*(1-(COUNTIF($C$4:$C$147,"&lt;"&amp;C42)+1)/COUNT($C$4:$C$147))</f>
        <v>0</v>
      </c>
      <c r="H42" s="9" t="n">
        <f aca="false">100*(1-(COUNTIF($D$4:$D$147,"&lt;"&amp;D42)+1)/COUNT($D$4:$D$147))</f>
        <v>77.7777777777778</v>
      </c>
      <c r="I42" s="9" t="n">
        <f aca="false">100*(1-(COUNTIF($E$4:$E$147,"&lt;"&amp;E42)+1)/COUNT($E$4:$E$147))</f>
        <v>75</v>
      </c>
      <c r="J42" s="15" t="n">
        <f aca="false">(F42*가중치!$B$4+G42*가중치!$B$5+H42*가중치!$B$6+I42*가중치!$B$7)/가중치!$B$8</f>
        <v>59.2013888888889</v>
      </c>
      <c r="K42" s="9" t="n">
        <f aca="false">RANK(J42,$J$4:$J$147,0)</f>
        <v>39</v>
      </c>
      <c r="L42" s="10" t="str">
        <f aca="false">IF(F42&gt;=75,"체험 ","")&amp;IF(G42&gt;=75,"숙박 ","")&amp;IF(H42&gt;=75,"저녁 ","")&amp;IF(I42&gt;=75,"야간","")</f>
        <v>체험 저녁 야간</v>
      </c>
      <c r="M42" s="21" t="n">
        <v>16</v>
      </c>
      <c r="N42" s="21" t="n">
        <v>107</v>
      </c>
      <c r="O42" s="22" t="n">
        <v>0.208</v>
      </c>
    </row>
    <row r="43" customFormat="false" ht="15" hidden="false" customHeight="false" outlineLevel="0" collapsed="false">
      <c r="A43" s="10" t="s">
        <v>88</v>
      </c>
      <c r="B43" s="18" t="n">
        <v>-0.108245750646596</v>
      </c>
      <c r="C43" s="19" t="n">
        <v>3.12916666666667</v>
      </c>
      <c r="D43" s="20" t="n">
        <v>0.526570846135453</v>
      </c>
      <c r="E43" s="18" t="n">
        <v>0.0996128601047762</v>
      </c>
      <c r="F43" s="9" t="n">
        <f aca="false">100*(1-(COUNTIF($B$4:$B$147,"&lt;"&amp;B43)+1)/COUNT($B$4:$B$147))</f>
        <v>72.2222222222222</v>
      </c>
      <c r="G43" s="9" t="n">
        <f aca="false">100*(1-(COUNTIF($C$4:$C$147,"&lt;"&amp;C43)+1)/COUNT($C$4:$C$147))</f>
        <v>80.5555555555556</v>
      </c>
      <c r="H43" s="9" t="n">
        <f aca="false">100*(1-(COUNTIF($D$4:$D$147,"&lt;"&amp;D43)+1)/COUNT($D$4:$D$147))</f>
        <v>47.9166666666667</v>
      </c>
      <c r="I43" s="9" t="n">
        <f aca="false">100*(1-(COUNTIF($E$4:$E$147,"&lt;"&amp;E43)+1)/COUNT($E$4:$E$147))</f>
        <v>34.0277777777778</v>
      </c>
      <c r="J43" s="15" t="n">
        <f aca="false">(F43*가중치!$B$4+G43*가중치!$B$5+H43*가중치!$B$6+I43*가중치!$B$7)/가중치!$B$8</f>
        <v>58.6805555555556</v>
      </c>
      <c r="K43" s="9" t="n">
        <f aca="false">RANK(J43,$J$4:$J$147,0)</f>
        <v>40</v>
      </c>
      <c r="L43" s="10" t="str">
        <f aca="false">IF(F43&gt;=75,"체험 ","")&amp;IF(G43&gt;=75,"숙박 ","")&amp;IF(H43&gt;=75,"저녁 ","")&amp;IF(I43&gt;=75,"야간","")</f>
        <v>숙박 </v>
      </c>
      <c r="M43" s="21" t="n">
        <v>21</v>
      </c>
      <c r="N43" s="21" t="n">
        <v>75</v>
      </c>
      <c r="O43" s="22" t="n">
        <v>0.088</v>
      </c>
    </row>
    <row r="44" customFormat="false" ht="15" hidden="false" customHeight="false" outlineLevel="0" collapsed="false">
      <c r="A44" s="10" t="s">
        <v>89</v>
      </c>
      <c r="B44" s="18" t="n">
        <v>0.0026013686491017</v>
      </c>
      <c r="C44" s="19" t="n">
        <v>3.03166666666667</v>
      </c>
      <c r="D44" s="20" t="n">
        <v>0.501712746102316</v>
      </c>
      <c r="E44" s="18" t="n">
        <v>0.097955216398205</v>
      </c>
      <c r="F44" s="9" t="n">
        <f aca="false">100*(1-(COUNTIF($B$4:$B$147,"&lt;"&amp;B44)+1)/COUNT($B$4:$B$147))</f>
        <v>43.75</v>
      </c>
      <c r="G44" s="9" t="n">
        <f aca="false">100*(1-(COUNTIF($C$4:$C$147,"&lt;"&amp;C44)+1)/COUNT($C$4:$C$147))</f>
        <v>87.5</v>
      </c>
      <c r="H44" s="9" t="n">
        <f aca="false">100*(1-(COUNTIF($D$4:$D$147,"&lt;"&amp;D44)+1)/COUNT($D$4:$D$147))</f>
        <v>60.4166666666667</v>
      </c>
      <c r="I44" s="9" t="n">
        <f aca="false">100*(1-(COUNTIF($E$4:$E$147,"&lt;"&amp;E44)+1)/COUNT($E$4:$E$147))</f>
        <v>39.5833333333333</v>
      </c>
      <c r="J44" s="15" t="n">
        <f aca="false">(F44*가중치!$B$4+G44*가중치!$B$5+H44*가중치!$B$6+I44*가중치!$B$7)/가중치!$B$8</f>
        <v>57.8125</v>
      </c>
      <c r="K44" s="9" t="n">
        <f aca="false">RANK(J44,$J$4:$J$147,0)</f>
        <v>41</v>
      </c>
      <c r="L44" s="10" t="str">
        <f aca="false">IF(F44&gt;=75,"체험 ","")&amp;IF(G44&gt;=75,"숙박 ","")&amp;IF(H44&gt;=75,"저녁 ","")&amp;IF(I44&gt;=75,"야간","")</f>
        <v>숙박 </v>
      </c>
      <c r="M44" s="21" t="n">
        <v>18</v>
      </c>
      <c r="N44" s="21" t="n">
        <v>77</v>
      </c>
      <c r="O44" s="22" t="n">
        <v>0.124</v>
      </c>
    </row>
    <row r="45" customFormat="false" ht="15" hidden="false" customHeight="false" outlineLevel="0" collapsed="false">
      <c r="A45" s="10" t="s">
        <v>90</v>
      </c>
      <c r="B45" s="18" t="n">
        <v>0.373341655840022</v>
      </c>
      <c r="C45" s="19" t="n">
        <v>3.50916666666667</v>
      </c>
      <c r="D45" s="20" t="n">
        <v>0.456154073494675</v>
      </c>
      <c r="E45" s="18" t="n">
        <v>0.0805898365967263</v>
      </c>
      <c r="F45" s="9" t="n">
        <f aca="false">100*(1-(COUNTIF($B$4:$B$147,"&lt;"&amp;B45)+1)/COUNT($B$4:$B$147))</f>
        <v>8.33333333333334</v>
      </c>
      <c r="G45" s="9" t="n">
        <f aca="false">100*(1-(COUNTIF($C$4:$C$147,"&lt;"&amp;C45)+1)/COUNT($C$4:$C$147))</f>
        <v>56.25</v>
      </c>
      <c r="H45" s="9" t="n">
        <f aca="false">100*(1-(COUNTIF($D$4:$D$147,"&lt;"&amp;D45)+1)/COUNT($D$4:$D$147))</f>
        <v>84.7222222222222</v>
      </c>
      <c r="I45" s="9" t="n">
        <f aca="false">100*(1-(COUNTIF($E$4:$E$147,"&lt;"&amp;E45)+1)/COUNT($E$4:$E$147))</f>
        <v>79.1666666666667</v>
      </c>
      <c r="J45" s="15" t="n">
        <f aca="false">(F45*가중치!$B$4+G45*가중치!$B$5+H45*가중치!$B$6+I45*가중치!$B$7)/가중치!$B$8</f>
        <v>57.1180555555556</v>
      </c>
      <c r="K45" s="9" t="n">
        <f aca="false">RANK(J45,$J$4:$J$147,0)</f>
        <v>42</v>
      </c>
      <c r="L45" s="10" t="str">
        <f aca="false">IF(F45&gt;=75,"체험 ","")&amp;IF(G45&gt;=75,"숙박 ","")&amp;IF(H45&gt;=75,"저녁 ","")&amp;IF(I45&gt;=75,"야간","")</f>
        <v>저녁 야간</v>
      </c>
      <c r="M45" s="21" t="n">
        <v>24</v>
      </c>
      <c r="N45" s="21" t="n">
        <v>101</v>
      </c>
      <c r="O45" s="22" t="n">
        <v>0.048</v>
      </c>
    </row>
    <row r="46" customFormat="false" ht="15" hidden="false" customHeight="false" outlineLevel="0" collapsed="false">
      <c r="A46" s="10" t="s">
        <v>91</v>
      </c>
      <c r="B46" s="18" t="n">
        <v>-0.08214502113739</v>
      </c>
      <c r="C46" s="19" t="n">
        <v>3.07916666666667</v>
      </c>
      <c r="D46" s="20" t="n">
        <v>0.512029450765435</v>
      </c>
      <c r="E46" s="18" t="n">
        <v>0.104507230469773</v>
      </c>
      <c r="F46" s="9" t="n">
        <f aca="false">100*(1-(COUNTIF($B$4:$B$147,"&lt;"&amp;B46)+1)/COUNT($B$4:$B$147))</f>
        <v>67.3611111111111</v>
      </c>
      <c r="G46" s="9" t="n">
        <f aca="false">100*(1-(COUNTIF($C$4:$C$147,"&lt;"&amp;C46)+1)/COUNT($C$4:$C$147))</f>
        <v>81.25</v>
      </c>
      <c r="H46" s="9" t="n">
        <f aca="false">100*(1-(COUNTIF($D$4:$D$147,"&lt;"&amp;D46)+1)/COUNT($D$4:$D$147))</f>
        <v>55.5555555555556</v>
      </c>
      <c r="I46" s="9" t="n">
        <f aca="false">100*(1-(COUNTIF($E$4:$E$147,"&lt;"&amp;E46)+1)/COUNT($E$4:$E$147))</f>
        <v>23.6111111111111</v>
      </c>
      <c r="J46" s="15" t="n">
        <f aca="false">(F46*가중치!$B$4+G46*가중치!$B$5+H46*가중치!$B$6+I46*가중치!$B$7)/가중치!$B$8</f>
        <v>56.9444444444445</v>
      </c>
      <c r="K46" s="9" t="n">
        <f aca="false">RANK(J46,$J$4:$J$147,0)</f>
        <v>43</v>
      </c>
      <c r="L46" s="10" t="str">
        <f aca="false">IF(F46&gt;=75,"체험 ","")&amp;IF(G46&gt;=75,"숙박 ","")&amp;IF(H46&gt;=75,"저녁 ","")&amp;IF(I46&gt;=75,"야간","")</f>
        <v>숙박 </v>
      </c>
      <c r="M46" s="21" t="n">
        <v>23</v>
      </c>
      <c r="N46" s="21" t="n">
        <v>91</v>
      </c>
      <c r="O46" s="22" t="n">
        <v>0.059</v>
      </c>
    </row>
    <row r="47" customFormat="false" ht="15" hidden="false" customHeight="false" outlineLevel="0" collapsed="false">
      <c r="A47" s="10" t="s">
        <v>92</v>
      </c>
      <c r="B47" s="18" t="n">
        <v>-0.127511347412956</v>
      </c>
      <c r="C47" s="19" t="n">
        <v>3.655</v>
      </c>
      <c r="D47" s="20" t="n">
        <v>0.515504209845208</v>
      </c>
      <c r="E47" s="18" t="n">
        <v>0.087353372858518</v>
      </c>
      <c r="F47" s="9" t="n">
        <f aca="false">100*(1-(COUNTIF($B$4:$B$147,"&lt;"&amp;B47)+1)/COUNT($B$4:$B$147))</f>
        <v>78.4722222222222</v>
      </c>
      <c r="G47" s="9" t="n">
        <f aca="false">100*(1-(COUNTIF($C$4:$C$147,"&lt;"&amp;C47)+1)/COUNT($C$4:$C$147))</f>
        <v>31.25</v>
      </c>
      <c r="H47" s="9" t="n">
        <f aca="false">100*(1-(COUNTIF($D$4:$D$147,"&lt;"&amp;D47)+1)/COUNT($D$4:$D$147))</f>
        <v>53.4722222222222</v>
      </c>
      <c r="I47" s="9" t="n">
        <f aca="false">100*(1-(COUNTIF($E$4:$E$147,"&lt;"&amp;E47)+1)/COUNT($E$4:$E$147))</f>
        <v>64.5833333333333</v>
      </c>
      <c r="J47" s="15" t="n">
        <f aca="false">(F47*가중치!$B$4+G47*가중치!$B$5+H47*가중치!$B$6+I47*가중치!$B$7)/가중치!$B$8</f>
        <v>56.9444444444444</v>
      </c>
      <c r="K47" s="9" t="n">
        <f aca="false">RANK(J47,$J$4:$J$147,0)</f>
        <v>44</v>
      </c>
      <c r="L47" s="10" t="str">
        <f aca="false">IF(F47&gt;=75,"체험 ","")&amp;IF(G47&gt;=75,"숙박 ","")&amp;IF(H47&gt;=75,"저녁 ","")&amp;IF(I47&gt;=75,"야간","")</f>
        <v>체험 </v>
      </c>
      <c r="M47" s="21" t="n">
        <v>30</v>
      </c>
      <c r="N47" s="21" t="n">
        <v>81</v>
      </c>
      <c r="O47" s="22" t="n">
        <v>0.001</v>
      </c>
    </row>
    <row r="48" customFormat="false" ht="15" hidden="false" customHeight="false" outlineLevel="0" collapsed="false">
      <c r="A48" s="10" t="s">
        <v>93</v>
      </c>
      <c r="B48" s="18" t="n">
        <v>0.217112769003791</v>
      </c>
      <c r="C48" s="19" t="n">
        <v>3.14166666666667</v>
      </c>
      <c r="D48" s="20" t="n">
        <v>0.50016340754472</v>
      </c>
      <c r="E48" s="18" t="n">
        <v>0.0844364741820744</v>
      </c>
      <c r="F48" s="9" t="n">
        <f aca="false">100*(1-(COUNTIF($B$4:$B$147,"&lt;"&amp;B48)+1)/COUNT($B$4:$B$147))</f>
        <v>15.9722222222222</v>
      </c>
      <c r="G48" s="9" t="n">
        <f aca="false">100*(1-(COUNTIF($C$4:$C$147,"&lt;"&amp;C48)+1)/COUNT($C$4:$C$147))</f>
        <v>79.1666666666667</v>
      </c>
      <c r="H48" s="9" t="n">
        <f aca="false">100*(1-(COUNTIF($D$4:$D$147,"&lt;"&amp;D48)+1)/COUNT($D$4:$D$147))</f>
        <v>61.1111111111111</v>
      </c>
      <c r="I48" s="9" t="n">
        <f aca="false">100*(1-(COUNTIF($E$4:$E$147,"&lt;"&amp;E48)+1)/COUNT($E$4:$E$147))</f>
        <v>70.8333333333333</v>
      </c>
      <c r="J48" s="15" t="n">
        <f aca="false">(F48*가중치!$B$4+G48*가중치!$B$5+H48*가중치!$B$6+I48*가중치!$B$7)/가중치!$B$8</f>
        <v>56.7708333333333</v>
      </c>
      <c r="K48" s="9" t="n">
        <f aca="false">RANK(J48,$J$4:$J$147,0)</f>
        <v>45</v>
      </c>
      <c r="L48" s="10" t="str">
        <f aca="false">IF(F48&gt;=75,"체험 ","")&amp;IF(G48&gt;=75,"숙박 ","")&amp;IF(H48&gt;=75,"저녁 ","")&amp;IF(I48&gt;=75,"야간","")</f>
        <v>숙박 </v>
      </c>
      <c r="M48" s="21" t="n">
        <v>20</v>
      </c>
      <c r="N48" s="21" t="n">
        <v>97</v>
      </c>
      <c r="O48" s="22" t="n">
        <v>0.1</v>
      </c>
    </row>
    <row r="49" customFormat="false" ht="15" hidden="false" customHeight="false" outlineLevel="0" collapsed="false">
      <c r="A49" s="10" t="s">
        <v>94</v>
      </c>
      <c r="B49" s="18" t="n">
        <v>-0.0500108265066137</v>
      </c>
      <c r="C49" s="19" t="n">
        <v>3.48416666666667</v>
      </c>
      <c r="D49" s="20" t="n">
        <v>0.48559872372662</v>
      </c>
      <c r="E49" s="18" t="n">
        <v>0.100876226258982</v>
      </c>
      <c r="F49" s="9" t="n">
        <f aca="false">100*(1-(COUNTIF($B$4:$B$147,"&lt;"&amp;B49)+1)/COUNT($B$4:$B$147))</f>
        <v>61.1111111111111</v>
      </c>
      <c r="G49" s="9" t="n">
        <f aca="false">100*(1-(COUNTIF($C$4:$C$147,"&lt;"&amp;C49)+1)/COUNT($C$4:$C$147))</f>
        <v>59.7222222222222</v>
      </c>
      <c r="H49" s="9" t="n">
        <f aca="false">100*(1-(COUNTIF($D$4:$D$147,"&lt;"&amp;D49)+1)/COUNT($D$4:$D$147))</f>
        <v>73.6111111111111</v>
      </c>
      <c r="I49" s="9" t="n">
        <f aca="false">100*(1-(COUNTIF($E$4:$E$147,"&lt;"&amp;E49)+1)/COUNT($E$4:$E$147))</f>
        <v>31.25</v>
      </c>
      <c r="J49" s="15" t="n">
        <f aca="false">(F49*가중치!$B$4+G49*가중치!$B$5+H49*가중치!$B$6+I49*가중치!$B$7)/가중치!$B$8</f>
        <v>56.4236111111111</v>
      </c>
      <c r="K49" s="9" t="n">
        <f aca="false">RANK(J49,$J$4:$J$147,0)</f>
        <v>46</v>
      </c>
      <c r="L49" s="10" t="str">
        <f aca="false">IF(F49&gt;=75,"체험 ","")&amp;IF(G49&gt;=75,"숙박 ","")&amp;IF(H49&gt;=75,"저녁 ","")&amp;IF(I49&gt;=75,"야간","")</f>
        <v/>
      </c>
      <c r="M49" s="21" t="n">
        <v>33</v>
      </c>
      <c r="N49" s="21" t="n">
        <v>83</v>
      </c>
      <c r="O49" s="22" t="n">
        <v>0</v>
      </c>
    </row>
    <row r="50" customFormat="false" ht="15" hidden="false" customHeight="false" outlineLevel="0" collapsed="false">
      <c r="A50" s="10" t="s">
        <v>95</v>
      </c>
      <c r="B50" s="18" t="n">
        <v>-0.520773644350631</v>
      </c>
      <c r="C50" s="19" t="n">
        <v>2.62416666666667</v>
      </c>
      <c r="D50" s="20" t="n">
        <v>0.56327020501584</v>
      </c>
      <c r="E50" s="18" t="n">
        <v>0.122450931398388</v>
      </c>
      <c r="F50" s="9" t="n">
        <f aca="false">100*(1-(COUNTIF($B$4:$B$147,"&lt;"&amp;B50)+1)/COUNT($B$4:$B$147))</f>
        <v>98.6111111111111</v>
      </c>
      <c r="G50" s="9" t="n">
        <f aca="false">100*(1-(COUNTIF($C$4:$C$147,"&lt;"&amp;C50)+1)/COUNT($C$4:$C$147))</f>
        <v>95.8333333333333</v>
      </c>
      <c r="H50" s="9" t="n">
        <f aca="false">100*(1-(COUNTIF($D$4:$D$147,"&lt;"&amp;D50)+1)/COUNT($D$4:$D$147))</f>
        <v>23.6111111111111</v>
      </c>
      <c r="I50" s="9" t="n">
        <f aca="false">100*(1-(COUNTIF($E$4:$E$147,"&lt;"&amp;E50)+1)/COUNT($E$4:$E$147))</f>
        <v>6.25</v>
      </c>
      <c r="J50" s="15" t="n">
        <f aca="false">(F50*가중치!$B$4+G50*가중치!$B$5+H50*가중치!$B$6+I50*가중치!$B$7)/가중치!$B$8</f>
        <v>56.0763888888889</v>
      </c>
      <c r="K50" s="9" t="n">
        <f aca="false">RANK(J50,$J$4:$J$147,0)</f>
        <v>47</v>
      </c>
      <c r="L50" s="10" t="str">
        <f aca="false">IF(F50&gt;=75,"체험 ","")&amp;IF(G50&gt;=75,"숙박 ","")&amp;IF(H50&gt;=75,"저녁 ","")&amp;IF(I50&gt;=75,"야간","")</f>
        <v>체험 숙박 </v>
      </c>
      <c r="M50" s="21" t="n">
        <v>6</v>
      </c>
      <c r="N50" s="21" t="n">
        <v>110</v>
      </c>
      <c r="O50" s="22" t="n">
        <v>0.268</v>
      </c>
    </row>
    <row r="51" customFormat="false" ht="15" hidden="false" customHeight="false" outlineLevel="0" collapsed="false">
      <c r="A51" s="10" t="s">
        <v>96</v>
      </c>
      <c r="B51" s="18" t="n">
        <v>0.634352057286036</v>
      </c>
      <c r="C51" s="19" t="n">
        <v>3.56416666666667</v>
      </c>
      <c r="D51" s="20" t="n">
        <v>0.444082287662291</v>
      </c>
      <c r="E51" s="18" t="n">
        <v>0.0785522304890004</v>
      </c>
      <c r="F51" s="9" t="n">
        <f aca="false">100*(1-(COUNTIF($B$4:$B$147,"&lt;"&amp;B51)+1)/COUNT($B$4:$B$147))</f>
        <v>5.55555555555556</v>
      </c>
      <c r="G51" s="9" t="n">
        <f aca="false">100*(1-(COUNTIF($C$4:$C$147,"&lt;"&amp;C51)+1)/COUNT($C$4:$C$147))</f>
        <v>47.9166666666667</v>
      </c>
      <c r="H51" s="9" t="n">
        <f aca="false">100*(1-(COUNTIF($D$4:$D$147,"&lt;"&amp;D51)+1)/COUNT($D$4:$D$147))</f>
        <v>88.1944444444444</v>
      </c>
      <c r="I51" s="9" t="n">
        <f aca="false">100*(1-(COUNTIF($E$4:$E$147,"&lt;"&amp;E51)+1)/COUNT($E$4:$E$147))</f>
        <v>82.6388888888889</v>
      </c>
      <c r="J51" s="15" t="n">
        <f aca="false">(F51*가중치!$B$4+G51*가중치!$B$5+H51*가중치!$B$6+I51*가중치!$B$7)/가중치!$B$8</f>
        <v>56.0763888888889</v>
      </c>
      <c r="K51" s="9" t="n">
        <f aca="false">RANK(J51,$J$4:$J$147,0)</f>
        <v>48</v>
      </c>
      <c r="L51" s="10" t="str">
        <f aca="false">IF(F51&gt;=75,"체험 ","")&amp;IF(G51&gt;=75,"숙박 ","")&amp;IF(H51&gt;=75,"저녁 ","")&amp;IF(I51&gt;=75,"야간","")</f>
        <v>저녁 야간</v>
      </c>
      <c r="M51" s="21" t="n">
        <v>24</v>
      </c>
      <c r="N51" s="21" t="n">
        <v>107</v>
      </c>
      <c r="O51" s="22" t="n">
        <v>0.052</v>
      </c>
    </row>
    <row r="52" customFormat="false" ht="15" hidden="false" customHeight="false" outlineLevel="0" collapsed="false">
      <c r="A52" s="10" t="s">
        <v>97</v>
      </c>
      <c r="B52" s="18" t="n">
        <v>0.0048907167069869</v>
      </c>
      <c r="C52" s="19" t="n">
        <v>2.76833333333333</v>
      </c>
      <c r="D52" s="20" t="n">
        <v>0.506586988755104</v>
      </c>
      <c r="E52" s="18" t="n">
        <v>0.102900814156731</v>
      </c>
      <c r="F52" s="9" t="n">
        <f aca="false">100*(1-(COUNTIF($B$4:$B$147,"&lt;"&amp;B52)+1)/COUNT($B$4:$B$147))</f>
        <v>43.0555555555556</v>
      </c>
      <c r="G52" s="9" t="n">
        <f aca="false">100*(1-(COUNTIF($C$4:$C$147,"&lt;"&amp;C52)+1)/COUNT($C$4:$C$147))</f>
        <v>93.75</v>
      </c>
      <c r="H52" s="9" t="n">
        <f aca="false">100*(1-(COUNTIF($D$4:$D$147,"&lt;"&amp;D52)+1)/COUNT($D$4:$D$147))</f>
        <v>59.7222222222222</v>
      </c>
      <c r="I52" s="9" t="n">
        <f aca="false">100*(1-(COUNTIF($E$4:$E$147,"&lt;"&amp;E52)+1)/COUNT($E$4:$E$147))</f>
        <v>27.0833333333333</v>
      </c>
      <c r="J52" s="15" t="n">
        <f aca="false">(F52*가중치!$B$4+G52*가중치!$B$5+H52*가중치!$B$6+I52*가중치!$B$7)/가중치!$B$8</f>
        <v>55.9027777777778</v>
      </c>
      <c r="K52" s="9" t="n">
        <f aca="false">RANK(J52,$J$4:$J$147,0)</f>
        <v>49</v>
      </c>
      <c r="L52" s="10" t="str">
        <f aca="false">IF(F52&gt;=75,"체험 ","")&amp;IF(G52&gt;=75,"숙박 ","")&amp;IF(H52&gt;=75,"저녁 ","")&amp;IF(I52&gt;=75,"야간","")</f>
        <v>숙박 </v>
      </c>
      <c r="M52" s="21" t="n">
        <v>15</v>
      </c>
      <c r="N52" s="21" t="n">
        <v>92</v>
      </c>
      <c r="O52" s="22" t="n">
        <v>0.152</v>
      </c>
    </row>
    <row r="53" customFormat="false" ht="15" hidden="false" customHeight="false" outlineLevel="0" collapsed="false">
      <c r="A53" s="10" t="s">
        <v>98</v>
      </c>
      <c r="B53" s="18" t="n">
        <v>-0.0717749204260651</v>
      </c>
      <c r="C53" s="19" t="n">
        <v>3.32666666666667</v>
      </c>
      <c r="D53" s="20" t="n">
        <v>0.542624425356181</v>
      </c>
      <c r="E53" s="18" t="n">
        <v>0.093432725072536</v>
      </c>
      <c r="F53" s="9" t="n">
        <f aca="false">100*(1-(COUNTIF($B$4:$B$147,"&lt;"&amp;B53)+1)/COUNT($B$4:$B$147))</f>
        <v>65.2777777777778</v>
      </c>
      <c r="G53" s="9" t="n">
        <f aca="false">100*(1-(COUNTIF($C$4:$C$147,"&lt;"&amp;C53)+1)/COUNT($C$4:$C$147))</f>
        <v>71.5277777777778</v>
      </c>
      <c r="H53" s="9" t="n">
        <f aca="false">100*(1-(COUNTIF($D$4:$D$147,"&lt;"&amp;D53)+1)/COUNT($D$4:$D$147))</f>
        <v>34.7222222222222</v>
      </c>
      <c r="I53" s="9" t="n">
        <f aca="false">100*(1-(COUNTIF($E$4:$E$147,"&lt;"&amp;E53)+1)/COUNT($E$4:$E$147))</f>
        <v>48.6111111111111</v>
      </c>
      <c r="J53" s="15" t="n">
        <f aca="false">(F53*가중치!$B$4+G53*가중치!$B$5+H53*가중치!$B$6+I53*가중치!$B$7)/가중치!$B$8</f>
        <v>55.0347222222222</v>
      </c>
      <c r="K53" s="9" t="n">
        <f aca="false">RANK(J53,$J$4:$J$147,0)</f>
        <v>50</v>
      </c>
      <c r="L53" s="10" t="str">
        <f aca="false">IF(F53&gt;=75,"체험 ","")&amp;IF(G53&gt;=75,"숙박 ","")&amp;IF(H53&gt;=75,"저녁 ","")&amp;IF(I53&gt;=75,"야간","")</f>
        <v/>
      </c>
      <c r="M53" s="21" t="n">
        <v>36</v>
      </c>
      <c r="N53" s="21" t="n">
        <v>78</v>
      </c>
      <c r="O53" s="22" t="n">
        <v>0</v>
      </c>
    </row>
    <row r="54" customFormat="false" ht="15" hidden="false" customHeight="false" outlineLevel="0" collapsed="false">
      <c r="A54" s="10" t="s">
        <v>99</v>
      </c>
      <c r="B54" s="18" t="n">
        <v>-0.12771352827227</v>
      </c>
      <c r="C54" s="19" t="n">
        <v>3.36</v>
      </c>
      <c r="D54" s="20" t="n">
        <v>0.535146072975309</v>
      </c>
      <c r="E54" s="18" t="n">
        <v>0.100467461952141</v>
      </c>
      <c r="F54" s="9" t="n">
        <f aca="false">100*(1-(COUNTIF($B$4:$B$147,"&lt;"&amp;B54)+1)/COUNT($B$4:$B$147))</f>
        <v>79.1666666666667</v>
      </c>
      <c r="G54" s="9" t="n">
        <f aca="false">100*(1-(COUNTIF($C$4:$C$147,"&lt;"&amp;C54)+1)/COUNT($C$4:$C$147))</f>
        <v>69.4444444444444</v>
      </c>
      <c r="H54" s="9" t="n">
        <f aca="false">100*(1-(COUNTIF($D$4:$D$147,"&lt;"&amp;D54)+1)/COUNT($D$4:$D$147))</f>
        <v>39.5833333333333</v>
      </c>
      <c r="I54" s="9" t="n">
        <f aca="false">100*(1-(COUNTIF($E$4:$E$147,"&lt;"&amp;E54)+1)/COUNT($E$4:$E$147))</f>
        <v>31.9444444444444</v>
      </c>
      <c r="J54" s="15" t="n">
        <f aca="false">(F54*가중치!$B$4+G54*가중치!$B$5+H54*가중치!$B$6+I54*가중치!$B$7)/가중치!$B$8</f>
        <v>55.0347222222222</v>
      </c>
      <c r="K54" s="9" t="n">
        <f aca="false">RANK(J54,$J$4:$J$147,0)</f>
        <v>51</v>
      </c>
      <c r="L54" s="10" t="str">
        <f aca="false">IF(F54&gt;=75,"체험 ","")&amp;IF(G54&gt;=75,"숙박 ","")&amp;IF(H54&gt;=75,"저녁 ","")&amp;IF(I54&gt;=75,"야간","")</f>
        <v>체험 </v>
      </c>
      <c r="M54" s="21" t="n">
        <v>30</v>
      </c>
      <c r="N54" s="21" t="n">
        <v>86</v>
      </c>
      <c r="O54" s="22" t="n">
        <v>0.005</v>
      </c>
    </row>
    <row r="55" customFormat="false" ht="15" hidden="false" customHeight="false" outlineLevel="0" collapsed="false">
      <c r="A55" s="10" t="s">
        <v>100</v>
      </c>
      <c r="B55" s="18" t="n">
        <v>-0.0474121340221714</v>
      </c>
      <c r="C55" s="19" t="n">
        <v>2.4725</v>
      </c>
      <c r="D55" s="20" t="n">
        <v>0.538967346701625</v>
      </c>
      <c r="E55" s="18" t="n">
        <v>0.104002276166743</v>
      </c>
      <c r="F55" s="9" t="n">
        <f aca="false">100*(1-(COUNTIF($B$4:$B$147,"&lt;"&amp;B55)+1)/COUNT($B$4:$B$147))</f>
        <v>59.0277777777778</v>
      </c>
      <c r="G55" s="9" t="n">
        <f aca="false">100*(1-(COUNTIF($C$4:$C$147,"&lt;"&amp;C55)+1)/COUNT($C$4:$C$147))</f>
        <v>99.3055555555556</v>
      </c>
      <c r="H55" s="9" t="n">
        <f aca="false">100*(1-(COUNTIF($D$4:$D$147,"&lt;"&amp;D55)+1)/COUNT($D$4:$D$147))</f>
        <v>36.1111111111111</v>
      </c>
      <c r="I55" s="9" t="n">
        <f aca="false">100*(1-(COUNTIF($E$4:$E$147,"&lt;"&amp;E55)+1)/COUNT($E$4:$E$147))</f>
        <v>25</v>
      </c>
      <c r="J55" s="15" t="n">
        <f aca="false">(F55*가중치!$B$4+G55*가중치!$B$5+H55*가중치!$B$6+I55*가중치!$B$7)/가중치!$B$8</f>
        <v>54.8611111111111</v>
      </c>
      <c r="K55" s="9" t="n">
        <f aca="false">RANK(J55,$J$4:$J$147,0)</f>
        <v>52</v>
      </c>
      <c r="L55" s="10" t="str">
        <f aca="false">IF(F55&gt;=75,"체험 ","")&amp;IF(G55&gt;=75,"숙박 ","")&amp;IF(H55&gt;=75,"저녁 ","")&amp;IF(I55&gt;=75,"야간","")</f>
        <v>숙박 </v>
      </c>
      <c r="M55" s="21" t="n">
        <v>12</v>
      </c>
      <c r="N55" s="21" t="n">
        <v>97</v>
      </c>
      <c r="O55" s="22" t="n">
        <v>0.169</v>
      </c>
    </row>
    <row r="56" customFormat="false" ht="15" hidden="false" customHeight="false" outlineLevel="0" collapsed="false">
      <c r="A56" s="10" t="s">
        <v>101</v>
      </c>
      <c r="B56" s="18" t="n">
        <v>-0.539180321572579</v>
      </c>
      <c r="C56" s="19" t="n">
        <v>3.0575</v>
      </c>
      <c r="D56" s="20" t="n">
        <v>0.554592318269143</v>
      </c>
      <c r="E56" s="18" t="n">
        <v>0.120081856687342</v>
      </c>
      <c r="F56" s="9" t="n">
        <f aca="false">100*(1-(COUNTIF($B$4:$B$147,"&lt;"&amp;B56)+1)/COUNT($B$4:$B$147))</f>
        <v>99.3055555555556</v>
      </c>
      <c r="G56" s="9" t="n">
        <f aca="false">100*(1-(COUNTIF($C$4:$C$147,"&lt;"&amp;C56)+1)/COUNT($C$4:$C$147))</f>
        <v>84.7222222222222</v>
      </c>
      <c r="H56" s="9" t="n">
        <f aca="false">100*(1-(COUNTIF($D$4:$D$147,"&lt;"&amp;D56)+1)/COUNT($D$4:$D$147))</f>
        <v>27.0833333333333</v>
      </c>
      <c r="I56" s="9" t="n">
        <f aca="false">100*(1-(COUNTIF($E$4:$E$147,"&lt;"&amp;E56)+1)/COUNT($E$4:$E$147))</f>
        <v>8.33333333333334</v>
      </c>
      <c r="J56" s="15" t="n">
        <f aca="false">(F56*가중치!$B$4+G56*가중치!$B$5+H56*가중치!$B$6+I56*가중치!$B$7)/가중치!$B$8</f>
        <v>54.8611111111111</v>
      </c>
      <c r="K56" s="9" t="n">
        <f aca="false">RANK(J56,$J$4:$J$147,0)</f>
        <v>52</v>
      </c>
      <c r="L56" s="10" t="str">
        <f aca="false">IF(F56&gt;=75,"체험 ","")&amp;IF(G56&gt;=75,"숙박 ","")&amp;IF(H56&gt;=75,"저녁 ","")&amp;IF(I56&gt;=75,"야간","")</f>
        <v>체험 숙박 </v>
      </c>
      <c r="M56" s="21" t="n">
        <v>9</v>
      </c>
      <c r="N56" s="21" t="n">
        <v>109</v>
      </c>
      <c r="O56" s="22" t="n">
        <v>0.213</v>
      </c>
    </row>
    <row r="57" customFormat="false" ht="15" hidden="false" customHeight="false" outlineLevel="0" collapsed="false">
      <c r="A57" s="10" t="s">
        <v>102</v>
      </c>
      <c r="B57" s="18" t="n">
        <v>-0.0286839103897122</v>
      </c>
      <c r="C57" s="19" t="n">
        <v>3.58916666666667</v>
      </c>
      <c r="D57" s="20" t="n">
        <v>0.514040316051085</v>
      </c>
      <c r="E57" s="18" t="n">
        <v>0.0843795949619736</v>
      </c>
      <c r="F57" s="9" t="n">
        <f aca="false">100*(1-(COUNTIF($B$4:$B$147,"&lt;"&amp;B57)+1)/COUNT($B$4:$B$147))</f>
        <v>52.0833333333333</v>
      </c>
      <c r="G57" s="9" t="n">
        <f aca="false">100*(1-(COUNTIF($C$4:$C$147,"&lt;"&amp;C57)+1)/COUNT($C$4:$C$147))</f>
        <v>40.2777777777778</v>
      </c>
      <c r="H57" s="9" t="n">
        <f aca="false">100*(1-(COUNTIF($D$4:$D$147,"&lt;"&amp;D57)+1)/COUNT($D$4:$D$147))</f>
        <v>54.8611111111111</v>
      </c>
      <c r="I57" s="9" t="n">
        <f aca="false">100*(1-(COUNTIF($E$4:$E$147,"&lt;"&amp;E57)+1)/COUNT($E$4:$E$147))</f>
        <v>71.5277777777778</v>
      </c>
      <c r="J57" s="15" t="n">
        <f aca="false">(F57*가중치!$B$4+G57*가중치!$B$5+H57*가중치!$B$6+I57*가중치!$B$7)/가중치!$B$8</f>
        <v>54.6875</v>
      </c>
      <c r="K57" s="9" t="n">
        <f aca="false">RANK(J57,$J$4:$J$147,0)</f>
        <v>54</v>
      </c>
      <c r="L57" s="10" t="str">
        <f aca="false">IF(F57&gt;=75,"체험 ","")&amp;IF(G57&gt;=75,"숙박 ","")&amp;IF(H57&gt;=75,"저녁 ","")&amp;IF(I57&gt;=75,"야간","")</f>
        <v/>
      </c>
      <c r="M57" s="21" t="n">
        <v>42</v>
      </c>
      <c r="N57" s="21" t="n">
        <v>76</v>
      </c>
      <c r="O57" s="22" t="n">
        <v>0</v>
      </c>
    </row>
    <row r="58" customFormat="false" ht="15" hidden="false" customHeight="false" outlineLevel="0" collapsed="false">
      <c r="A58" s="10" t="s">
        <v>103</v>
      </c>
      <c r="B58" s="18" t="n">
        <v>0.0936881614112115</v>
      </c>
      <c r="C58" s="19" t="n">
        <v>3.99416666666667</v>
      </c>
      <c r="D58" s="20" t="n">
        <v>0.450099747688847</v>
      </c>
      <c r="E58" s="18" t="n">
        <v>0.0648243382720943</v>
      </c>
      <c r="F58" s="9" t="n">
        <f aca="false">100*(1-(COUNTIF($B$4:$B$147,"&lt;"&amp;B58)+1)/COUNT($B$4:$B$147))</f>
        <v>29.1666666666667</v>
      </c>
      <c r="G58" s="9" t="n">
        <f aca="false">100*(1-(COUNTIF($C$4:$C$147,"&lt;"&amp;C58)+1)/COUNT($C$4:$C$147))</f>
        <v>6.25</v>
      </c>
      <c r="H58" s="9" t="n">
        <f aca="false">100*(1-(COUNTIF($D$4:$D$147,"&lt;"&amp;D58)+1)/COUNT($D$4:$D$147))</f>
        <v>86.1111111111111</v>
      </c>
      <c r="I58" s="9" t="n">
        <f aca="false">100*(1-(COUNTIF($E$4:$E$147,"&lt;"&amp;E58)+1)/COUNT($E$4:$E$147))</f>
        <v>96.5277777777778</v>
      </c>
      <c r="J58" s="15" t="n">
        <f aca="false">(F58*가중치!$B$4+G58*가중치!$B$5+H58*가중치!$B$6+I58*가중치!$B$7)/가중치!$B$8</f>
        <v>54.5138888888889</v>
      </c>
      <c r="K58" s="9" t="n">
        <f aca="false">RANK(J58,$J$4:$J$147,0)</f>
        <v>55</v>
      </c>
      <c r="L58" s="10" t="str">
        <f aca="false">IF(F58&gt;=75,"체험 ","")&amp;IF(G58&gt;=75,"숙박 ","")&amp;IF(H58&gt;=75,"저녁 ","")&amp;IF(I58&gt;=75,"야간","")</f>
        <v>저녁 야간</v>
      </c>
      <c r="M58" s="21" t="n">
        <v>20</v>
      </c>
      <c r="N58" s="21" t="n">
        <v>117</v>
      </c>
      <c r="O58" s="22" t="n">
        <v>0.116</v>
      </c>
    </row>
    <row r="59" customFormat="false" ht="15" hidden="false" customHeight="false" outlineLevel="0" collapsed="false">
      <c r="A59" s="10" t="s">
        <v>104</v>
      </c>
      <c r="B59" s="18" t="n">
        <v>-0.0633504571736658</v>
      </c>
      <c r="C59" s="19" t="n">
        <v>3.80833333333333</v>
      </c>
      <c r="D59" s="20" t="n">
        <v>0.491012805466989</v>
      </c>
      <c r="E59" s="18" t="n">
        <v>0.0860867071395083</v>
      </c>
      <c r="F59" s="9" t="n">
        <f aca="false">100*(1-(COUNTIF($B$4:$B$147,"&lt;"&amp;B59)+1)/COUNT($B$4:$B$147))</f>
        <v>64.5833333333333</v>
      </c>
      <c r="G59" s="9" t="n">
        <f aca="false">100*(1-(COUNTIF($C$4:$C$147,"&lt;"&amp;C59)+1)/COUNT($C$4:$C$147))</f>
        <v>16.6666666666667</v>
      </c>
      <c r="H59" s="9" t="n">
        <f aca="false">100*(1-(COUNTIF($D$4:$D$147,"&lt;"&amp;D59)+1)/COUNT($D$4:$D$147))</f>
        <v>68.75</v>
      </c>
      <c r="I59" s="9" t="n">
        <f aca="false">100*(1-(COUNTIF($E$4:$E$147,"&lt;"&amp;E59)+1)/COUNT($E$4:$E$147))</f>
        <v>66.6666666666667</v>
      </c>
      <c r="J59" s="15" t="n">
        <f aca="false">(F59*가중치!$B$4+G59*가중치!$B$5+H59*가중치!$B$6+I59*가중치!$B$7)/가중치!$B$8</f>
        <v>54.1666666666667</v>
      </c>
      <c r="K59" s="9" t="n">
        <f aca="false">RANK(J59,$J$4:$J$147,0)</f>
        <v>56</v>
      </c>
      <c r="L59" s="10" t="str">
        <f aca="false">IF(F59&gt;=75,"체험 ","")&amp;IF(G59&gt;=75,"숙박 ","")&amp;IF(H59&gt;=75,"저녁 ","")&amp;IF(I59&gt;=75,"야간","")</f>
        <v/>
      </c>
      <c r="M59" s="21" t="n">
        <v>36</v>
      </c>
      <c r="N59" s="21" t="n">
        <v>98</v>
      </c>
      <c r="O59" s="22" t="n">
        <v>0</v>
      </c>
    </row>
    <row r="60" customFormat="false" ht="15" hidden="false" customHeight="false" outlineLevel="0" collapsed="false">
      <c r="A60" s="23" t="s">
        <v>105</v>
      </c>
      <c r="B60" s="24" t="n">
        <v>-0.16790570949359</v>
      </c>
      <c r="C60" s="25" t="n">
        <v>3.06583333333333</v>
      </c>
      <c r="D60" s="26" t="n">
        <v>0.557317798642795</v>
      </c>
      <c r="E60" s="24" t="n">
        <v>0.105074176917603</v>
      </c>
      <c r="F60" s="27" t="n">
        <f aca="false">100*(1-(COUNTIF($B$4:$B$147,"&lt;"&amp;B60)+1)/COUNT($B$4:$B$147))</f>
        <v>84.7222222222222</v>
      </c>
      <c r="G60" s="27" t="n">
        <f aca="false">100*(1-(COUNTIF($C$4:$C$147,"&lt;"&amp;C60)+1)/COUNT($C$4:$C$147))</f>
        <v>82.6388888888889</v>
      </c>
      <c r="H60" s="27" t="n">
        <f aca="false">100*(1-(COUNTIF($D$4:$D$147,"&lt;"&amp;D60)+1)/COUNT($D$4:$D$147))</f>
        <v>25.6944444444444</v>
      </c>
      <c r="I60" s="27" t="n">
        <f aca="false">100*(1-(COUNTIF($E$4:$E$147,"&lt;"&amp;E60)+1)/COUNT($E$4:$E$147))</f>
        <v>22.9166666666667</v>
      </c>
      <c r="J60" s="28" t="n">
        <f aca="false">(F60*가중치!$B$4+G60*가중치!$B$5+H60*가중치!$B$6+I60*가중치!$B$7)/가중치!$B$8</f>
        <v>53.9930555555556</v>
      </c>
      <c r="K60" s="27" t="n">
        <f aca="false">RANK(J60,$J$4:$J$147,0)</f>
        <v>57</v>
      </c>
      <c r="L60" s="29" t="str">
        <f aca="false">IF(F60&gt;=75,"체험 ","")&amp;IF(G60&gt;=75,"숙박 ","")&amp;IF(H60&gt;=75,"저녁 ","")&amp;IF(I60&gt;=75,"야간","")</f>
        <v>체험 숙박 </v>
      </c>
      <c r="M60" s="30" t="n">
        <v>18</v>
      </c>
      <c r="N60" s="30" t="n">
        <v>100</v>
      </c>
      <c r="O60" s="31" t="n">
        <v>0.121</v>
      </c>
    </row>
    <row r="61" customFormat="false" ht="15" hidden="false" customHeight="false" outlineLevel="0" collapsed="false">
      <c r="A61" s="10" t="s">
        <v>106</v>
      </c>
      <c r="B61" s="18" t="n">
        <v>0.644140183884311</v>
      </c>
      <c r="C61" s="19" t="n">
        <v>3.155</v>
      </c>
      <c r="D61" s="20" t="n">
        <v>0.492200569191163</v>
      </c>
      <c r="E61" s="18" t="n">
        <v>0.0869004459070321</v>
      </c>
      <c r="F61" s="9" t="n">
        <f aca="false">100*(1-(COUNTIF($B$4:$B$147,"&lt;"&amp;B61)+1)/COUNT($B$4:$B$147))</f>
        <v>4.86111111111112</v>
      </c>
      <c r="G61" s="9" t="n">
        <f aca="false">100*(1-(COUNTIF($C$4:$C$147,"&lt;"&amp;C61)+1)/COUNT($C$4:$C$147))</f>
        <v>77.7777777777778</v>
      </c>
      <c r="H61" s="9" t="n">
        <f aca="false">100*(1-(COUNTIF($D$4:$D$147,"&lt;"&amp;D61)+1)/COUNT($D$4:$D$147))</f>
        <v>66.6666666666667</v>
      </c>
      <c r="I61" s="9" t="n">
        <f aca="false">100*(1-(COUNTIF($E$4:$E$147,"&lt;"&amp;E61)+1)/COUNT($E$4:$E$147))</f>
        <v>65.9722222222222</v>
      </c>
      <c r="J61" s="15" t="n">
        <f aca="false">(F61*가중치!$B$4+G61*가중치!$B$5+H61*가중치!$B$6+I61*가중치!$B$7)/가중치!$B$8</f>
        <v>53.8194444444444</v>
      </c>
      <c r="K61" s="9" t="n">
        <f aca="false">RANK(J61,$J$4:$J$147,0)</f>
        <v>58</v>
      </c>
      <c r="L61" s="10" t="str">
        <f aca="false">IF(F61&gt;=75,"체험 ","")&amp;IF(G61&gt;=75,"숙박 ","")&amp;IF(H61&gt;=75,"저녁 ","")&amp;IF(I61&gt;=75,"야간","")</f>
        <v>숙박 </v>
      </c>
      <c r="M61" s="21" t="n">
        <v>25</v>
      </c>
      <c r="N61" s="21" t="n">
        <v>110</v>
      </c>
      <c r="O61" s="22" t="n">
        <v>0.057</v>
      </c>
    </row>
    <row r="62" customFormat="false" ht="15" hidden="false" customHeight="false" outlineLevel="0" collapsed="false">
      <c r="A62" s="10" t="s">
        <v>107</v>
      </c>
      <c r="B62" s="18" t="n">
        <v>0.456540418653777</v>
      </c>
      <c r="C62" s="19" t="n">
        <v>3.55666666666667</v>
      </c>
      <c r="D62" s="20" t="n">
        <v>0.480715696200871</v>
      </c>
      <c r="E62" s="18" t="n">
        <v>0.0788961578909735</v>
      </c>
      <c r="F62" s="9" t="n">
        <f aca="false">100*(1-(COUNTIF($B$4:$B$147,"&lt;"&amp;B62)+1)/COUNT($B$4:$B$147))</f>
        <v>6.94444444444444</v>
      </c>
      <c r="G62" s="9" t="n">
        <f aca="false">100*(1-(COUNTIF($C$4:$C$147,"&lt;"&amp;C62)+1)/COUNT($C$4:$C$147))</f>
        <v>50</v>
      </c>
      <c r="H62" s="9" t="n">
        <f aca="false">100*(1-(COUNTIF($D$4:$D$147,"&lt;"&amp;D62)+1)/COUNT($D$4:$D$147))</f>
        <v>75</v>
      </c>
      <c r="I62" s="9" t="n">
        <f aca="false">100*(1-(COUNTIF($E$4:$E$147,"&lt;"&amp;E62)+1)/COUNT($E$4:$E$147))</f>
        <v>80.5555555555556</v>
      </c>
      <c r="J62" s="15" t="n">
        <f aca="false">(F62*가중치!$B$4+G62*가중치!$B$5+H62*가중치!$B$6+I62*가중치!$B$7)/가중치!$B$8</f>
        <v>53.125</v>
      </c>
      <c r="K62" s="9" t="n">
        <f aca="false">RANK(J62,$J$4:$J$147,0)</f>
        <v>59</v>
      </c>
      <c r="L62" s="10" t="str">
        <f aca="false">IF(F62&gt;=75,"체험 ","")&amp;IF(G62&gt;=75,"숙박 ","")&amp;IF(H62&gt;=75,"저녁 ","")&amp;IF(I62&gt;=75,"야간","")</f>
        <v>저녁 야간</v>
      </c>
      <c r="M62" s="21" t="n">
        <v>32</v>
      </c>
      <c r="N62" s="21" t="n">
        <v>111</v>
      </c>
      <c r="O62" s="22" t="n">
        <v>0</v>
      </c>
    </row>
    <row r="63" customFormat="false" ht="15" hidden="false" customHeight="false" outlineLevel="0" collapsed="false">
      <c r="A63" s="10" t="s">
        <v>108</v>
      </c>
      <c r="B63" s="18" t="n">
        <v>-0.0153639221127804</v>
      </c>
      <c r="C63" s="19" t="n">
        <v>3.5375</v>
      </c>
      <c r="D63" s="20" t="n">
        <v>0.518872445066101</v>
      </c>
      <c r="E63" s="18" t="n">
        <v>0.0880439404303193</v>
      </c>
      <c r="F63" s="9" t="n">
        <f aca="false">100*(1-(COUNTIF($B$4:$B$147,"&lt;"&amp;B63)+1)/COUNT($B$4:$B$147))</f>
        <v>47.2222222222222</v>
      </c>
      <c r="G63" s="9" t="n">
        <f aca="false">100*(1-(COUNTIF($C$4:$C$147,"&lt;"&amp;C63)+1)/COUNT($C$4:$C$147))</f>
        <v>52.0833333333333</v>
      </c>
      <c r="H63" s="9" t="n">
        <f aca="false">100*(1-(COUNTIF($D$4:$D$147,"&lt;"&amp;D63)+1)/COUNT($D$4:$D$147))</f>
        <v>50.6944444444444</v>
      </c>
      <c r="I63" s="9" t="n">
        <f aca="false">100*(1-(COUNTIF($E$4:$E$147,"&lt;"&amp;E63)+1)/COUNT($E$4:$E$147))</f>
        <v>62.5</v>
      </c>
      <c r="J63" s="15" t="n">
        <f aca="false">(F63*가중치!$B$4+G63*가중치!$B$5+H63*가중치!$B$6+I63*가중치!$B$7)/가중치!$B$8</f>
        <v>53.125</v>
      </c>
      <c r="K63" s="9" t="n">
        <f aca="false">RANK(J63,$J$4:$J$147,0)</f>
        <v>59</v>
      </c>
      <c r="L63" s="10" t="str">
        <f aca="false">IF(F63&gt;=75,"체험 ","")&amp;IF(G63&gt;=75,"숙박 ","")&amp;IF(H63&gt;=75,"저녁 ","")&amp;IF(I63&gt;=75,"야간","")</f>
        <v/>
      </c>
      <c r="M63" s="21" t="n">
        <v>52</v>
      </c>
      <c r="N63" s="21" t="n">
        <v>71</v>
      </c>
      <c r="O63" s="22" t="n">
        <v>0</v>
      </c>
    </row>
    <row r="64" customFormat="false" ht="15" hidden="false" customHeight="false" outlineLevel="0" collapsed="false">
      <c r="A64" s="10" t="s">
        <v>109</v>
      </c>
      <c r="B64" s="18" t="n">
        <v>-0.118079510337738</v>
      </c>
      <c r="C64" s="19" t="n">
        <v>3.49666666666667</v>
      </c>
      <c r="D64" s="20" t="n">
        <v>0.534687340008981</v>
      </c>
      <c r="E64" s="18" t="n">
        <v>0.098013406263203</v>
      </c>
      <c r="F64" s="9" t="n">
        <f aca="false">100*(1-(COUNTIF($B$4:$B$147,"&lt;"&amp;B64)+1)/COUNT($B$4:$B$147))</f>
        <v>74.3055555555556</v>
      </c>
      <c r="G64" s="9" t="n">
        <f aca="false">100*(1-(COUNTIF($C$4:$C$147,"&lt;"&amp;C64)+1)/COUNT($C$4:$C$147))</f>
        <v>57.6388888888889</v>
      </c>
      <c r="H64" s="9" t="n">
        <f aca="false">100*(1-(COUNTIF($D$4:$D$147,"&lt;"&amp;D64)+1)/COUNT($D$4:$D$147))</f>
        <v>41.6666666666667</v>
      </c>
      <c r="I64" s="9" t="n">
        <f aca="false">100*(1-(COUNTIF($E$4:$E$147,"&lt;"&amp;E64)+1)/COUNT($E$4:$E$147))</f>
        <v>38.1944444444444</v>
      </c>
      <c r="J64" s="15" t="n">
        <f aca="false">(F64*가중치!$B$4+G64*가중치!$B$5+H64*가중치!$B$6+I64*가중치!$B$7)/가중치!$B$8</f>
        <v>52.9513888888889</v>
      </c>
      <c r="K64" s="9" t="n">
        <f aca="false">RANK(J64,$J$4:$J$147,0)</f>
        <v>61</v>
      </c>
      <c r="L64" s="10" t="str">
        <f aca="false">IF(F64&gt;=75,"체험 ","")&amp;IF(G64&gt;=75,"숙박 ","")&amp;IF(H64&gt;=75,"저녁 ","")&amp;IF(I64&gt;=75,"야간","")</f>
        <v/>
      </c>
      <c r="M64" s="21" t="n">
        <v>41</v>
      </c>
      <c r="N64" s="21" t="n">
        <v>82</v>
      </c>
      <c r="O64" s="22" t="n">
        <v>0</v>
      </c>
    </row>
    <row r="65" customFormat="false" ht="15" hidden="false" customHeight="false" outlineLevel="0" collapsed="false">
      <c r="A65" s="10" t="s">
        <v>110</v>
      </c>
      <c r="B65" s="18" t="n">
        <v>-0.279902090473028</v>
      </c>
      <c r="C65" s="19" t="n">
        <v>4.0825</v>
      </c>
      <c r="D65" s="20" t="n">
        <v>0.51608382664203</v>
      </c>
      <c r="E65" s="18" t="n">
        <v>0.0882331102812018</v>
      </c>
      <c r="F65" s="9" t="n">
        <f aca="false">100*(1-(COUNTIF($B$4:$B$147,"&lt;"&amp;B65)+1)/COUNT($B$4:$B$147))</f>
        <v>94.4444444444444</v>
      </c>
      <c r="G65" s="9" t="n">
        <f aca="false">100*(1-(COUNTIF($C$4:$C$147,"&lt;"&amp;C65)+1)/COUNT($C$4:$C$147))</f>
        <v>2.08333333333334</v>
      </c>
      <c r="H65" s="9" t="n">
        <f aca="false">100*(1-(COUNTIF($D$4:$D$147,"&lt;"&amp;D65)+1)/COUNT($D$4:$D$147))</f>
        <v>52.7777777777778</v>
      </c>
      <c r="I65" s="9" t="n">
        <f aca="false">100*(1-(COUNTIF($E$4:$E$147,"&lt;"&amp;E65)+1)/COUNT($E$4:$E$147))</f>
        <v>61.1111111111111</v>
      </c>
      <c r="J65" s="15" t="n">
        <f aca="false">(F65*가중치!$B$4+G65*가중치!$B$5+H65*가중치!$B$6+I65*가중치!$B$7)/가중치!$B$8</f>
        <v>52.6041666666667</v>
      </c>
      <c r="K65" s="9" t="n">
        <f aca="false">RANK(J65,$J$4:$J$147,0)</f>
        <v>62</v>
      </c>
      <c r="L65" s="10" t="str">
        <f aca="false">IF(F65&gt;=75,"체험 ","")&amp;IF(G65&gt;=75,"숙박 ","")&amp;IF(H65&gt;=75,"저녁 ","")&amp;IF(I65&gt;=75,"야간","")</f>
        <v>체험 </v>
      </c>
      <c r="M65" s="21" t="n">
        <v>21</v>
      </c>
      <c r="N65" s="21" t="n">
        <v>121</v>
      </c>
      <c r="O65" s="22" t="n">
        <v>0.089</v>
      </c>
    </row>
    <row r="66" customFormat="false" ht="15" hidden="false" customHeight="false" outlineLevel="0" collapsed="false">
      <c r="A66" s="10" t="s">
        <v>111</v>
      </c>
      <c r="B66" s="18" t="n">
        <v>-0.134758871691732</v>
      </c>
      <c r="C66" s="19" t="n">
        <v>3.32333333333333</v>
      </c>
      <c r="D66" s="20" t="n">
        <v>0.550047829495465</v>
      </c>
      <c r="E66" s="18" t="n">
        <v>0.102311255087651</v>
      </c>
      <c r="F66" s="9" t="n">
        <f aca="false">100*(1-(COUNTIF($B$4:$B$147,"&lt;"&amp;B66)+1)/COUNT($B$4:$B$147))</f>
        <v>79.8611111111111</v>
      </c>
      <c r="G66" s="9" t="n">
        <f aca="false">100*(1-(COUNTIF($C$4:$C$147,"&lt;"&amp;C66)+1)/COUNT($C$4:$C$147))</f>
        <v>72.2222222222222</v>
      </c>
      <c r="H66" s="9" t="n">
        <f aca="false">100*(1-(COUNTIF($D$4:$D$147,"&lt;"&amp;D66)+1)/COUNT($D$4:$D$147))</f>
        <v>29.8611111111111</v>
      </c>
      <c r="I66" s="9" t="n">
        <f aca="false">100*(1-(COUNTIF($E$4:$E$147,"&lt;"&amp;E66)+1)/COUNT($E$4:$E$147))</f>
        <v>27.7777777777778</v>
      </c>
      <c r="J66" s="15" t="n">
        <f aca="false">(F66*가중치!$B$4+G66*가중치!$B$5+H66*가중치!$B$6+I66*가중치!$B$7)/가중치!$B$8</f>
        <v>52.4305555555556</v>
      </c>
      <c r="K66" s="9" t="n">
        <f aca="false">RANK(J66,$J$4:$J$147,0)</f>
        <v>63</v>
      </c>
      <c r="L66" s="10" t="str">
        <f aca="false">IF(F66&gt;=75,"체험 ","")&amp;IF(G66&gt;=75,"숙박 ","")&amp;IF(H66&gt;=75,"저녁 ","")&amp;IF(I66&gt;=75,"야간","")</f>
        <v>체험 </v>
      </c>
      <c r="M66" s="21" t="n">
        <v>31</v>
      </c>
      <c r="N66" s="21" t="n">
        <v>96</v>
      </c>
      <c r="O66" s="22" t="n">
        <v>0.017</v>
      </c>
    </row>
    <row r="67" customFormat="false" ht="15" hidden="false" customHeight="false" outlineLevel="0" collapsed="false">
      <c r="A67" s="10" t="s">
        <v>112</v>
      </c>
      <c r="B67" s="18" t="n">
        <v>-0.204320885134107</v>
      </c>
      <c r="C67" s="19" t="n">
        <v>3.18916666666667</v>
      </c>
      <c r="D67" s="20" t="n">
        <v>0.608907191441467</v>
      </c>
      <c r="E67" s="18" t="n">
        <v>0.097957688560951</v>
      </c>
      <c r="F67" s="9" t="n">
        <f aca="false">100*(1-(COUNTIF($B$4:$B$147,"&lt;"&amp;B67)+1)/COUNT($B$4:$B$147))</f>
        <v>87.5</v>
      </c>
      <c r="G67" s="9" t="n">
        <f aca="false">100*(1-(COUNTIF($C$4:$C$147,"&lt;"&amp;C67)+1)/COUNT($C$4:$C$147))</f>
        <v>77.0833333333333</v>
      </c>
      <c r="H67" s="9" t="n">
        <f aca="false">100*(1-(COUNTIF($D$4:$D$147,"&lt;"&amp;D67)+1)/COUNT($D$4:$D$147))</f>
        <v>5.55555555555556</v>
      </c>
      <c r="I67" s="9" t="n">
        <f aca="false">100*(1-(COUNTIF($E$4:$E$147,"&lt;"&amp;E67)+1)/COUNT($E$4:$E$147))</f>
        <v>38.8888888888889</v>
      </c>
      <c r="J67" s="15" t="n">
        <f aca="false">(F67*가중치!$B$4+G67*가중치!$B$5+H67*가중치!$B$6+I67*가중치!$B$7)/가중치!$B$8</f>
        <v>52.2569444444445</v>
      </c>
      <c r="K67" s="9" t="n">
        <f aca="false">RANK(J67,$J$4:$J$147,0)</f>
        <v>64</v>
      </c>
      <c r="L67" s="10" t="str">
        <f aca="false">IF(F67&gt;=75,"체험 ","")&amp;IF(G67&gt;=75,"숙박 ","")&amp;IF(H67&gt;=75,"저녁 ","")&amp;IF(I67&gt;=75,"야간","")</f>
        <v>체험 숙박 </v>
      </c>
      <c r="M67" s="21" t="n">
        <v>20</v>
      </c>
      <c r="N67" s="21" t="n">
        <v>105</v>
      </c>
      <c r="O67" s="22" t="n">
        <v>0.112</v>
      </c>
    </row>
    <row r="68" customFormat="false" ht="15" hidden="false" customHeight="false" outlineLevel="0" collapsed="false">
      <c r="A68" s="10" t="s">
        <v>113</v>
      </c>
      <c r="B68" s="18" t="n">
        <v>0.101489738445968</v>
      </c>
      <c r="C68" s="19" t="n">
        <v>3.6425</v>
      </c>
      <c r="D68" s="20" t="n">
        <v>0.477232639175339</v>
      </c>
      <c r="E68" s="18" t="n">
        <v>0.0848420847363586</v>
      </c>
      <c r="F68" s="9" t="n">
        <f aca="false">100*(1-(COUNTIF($B$4:$B$147,"&lt;"&amp;B68)+1)/COUNT($B$4:$B$147))</f>
        <v>27.0833333333333</v>
      </c>
      <c r="G68" s="9" t="n">
        <f aca="false">100*(1-(COUNTIF($C$4:$C$147,"&lt;"&amp;C68)+1)/COUNT($C$4:$C$147))</f>
        <v>35.4166666666667</v>
      </c>
      <c r="H68" s="9" t="n">
        <f aca="false">100*(1-(COUNTIF($D$4:$D$147,"&lt;"&amp;D68)+1)/COUNT($D$4:$D$147))</f>
        <v>76.3888888888889</v>
      </c>
      <c r="I68" s="9" t="n">
        <f aca="false">100*(1-(COUNTIF($E$4:$E$147,"&lt;"&amp;E68)+1)/COUNT($E$4:$E$147))</f>
        <v>68.75</v>
      </c>
      <c r="J68" s="15" t="n">
        <f aca="false">(F68*가중치!$B$4+G68*가중치!$B$5+H68*가중치!$B$6+I68*가중치!$B$7)/가중치!$B$8</f>
        <v>51.9097222222222</v>
      </c>
      <c r="K68" s="9" t="n">
        <f aca="false">RANK(J68,$J$4:$J$147,0)</f>
        <v>65</v>
      </c>
      <c r="L68" s="10" t="str">
        <f aca="false">IF(F68&gt;=75,"체험 ","")&amp;IF(G68&gt;=75,"숙박 ","")&amp;IF(H68&gt;=75,"저녁 ","")&amp;IF(I68&gt;=75,"야간","")</f>
        <v>저녁 </v>
      </c>
      <c r="M68" s="21" t="n">
        <v>43</v>
      </c>
      <c r="N68" s="21" t="n">
        <v>97</v>
      </c>
      <c r="O68" s="22" t="n">
        <v>0</v>
      </c>
    </row>
    <row r="69" customFormat="false" ht="15" hidden="false" customHeight="false" outlineLevel="0" collapsed="false">
      <c r="A69" s="10" t="s">
        <v>114</v>
      </c>
      <c r="B69" s="18" t="n">
        <v>0.127334571649523</v>
      </c>
      <c r="C69" s="19" t="n">
        <v>4.23833333333333</v>
      </c>
      <c r="D69" s="20" t="n">
        <v>0.444361974817128</v>
      </c>
      <c r="E69" s="18" t="n">
        <v>0.0719676764138976</v>
      </c>
      <c r="F69" s="9" t="n">
        <f aca="false">100*(1-(COUNTIF($B$4:$B$147,"&lt;"&amp;B69)+1)/COUNT($B$4:$B$147))</f>
        <v>23.6111111111111</v>
      </c>
      <c r="G69" s="9" t="n">
        <f aca="false">100*(1-(COUNTIF($C$4:$C$147,"&lt;"&amp;C69)+1)/COUNT($C$4:$C$147))</f>
        <v>0.694444444444442</v>
      </c>
      <c r="H69" s="9" t="n">
        <f aca="false">100*(1-(COUNTIF($D$4:$D$147,"&lt;"&amp;D69)+1)/COUNT($D$4:$D$147))</f>
        <v>87.5</v>
      </c>
      <c r="I69" s="9" t="n">
        <f aca="false">100*(1-(COUNTIF($E$4:$E$147,"&lt;"&amp;E69)+1)/COUNT($E$4:$E$147))</f>
        <v>95.1388888888889</v>
      </c>
      <c r="J69" s="15" t="n">
        <f aca="false">(F69*가중치!$B$4+G69*가중치!$B$5+H69*가중치!$B$6+I69*가중치!$B$7)/가중치!$B$8</f>
        <v>51.7361111111111</v>
      </c>
      <c r="K69" s="9" t="n">
        <f aca="false">RANK(J69,$J$4:$J$147,0)</f>
        <v>66</v>
      </c>
      <c r="L69" s="10" t="str">
        <f aca="false">IF(F69&gt;=75,"체험 ","")&amp;IF(G69&gt;=75,"숙박 ","")&amp;IF(H69&gt;=75,"저녁 ","")&amp;IF(I69&gt;=75,"야간","")</f>
        <v>저녁 야간</v>
      </c>
      <c r="M69" s="21" t="n">
        <v>22</v>
      </c>
      <c r="N69" s="21" t="n">
        <v>128</v>
      </c>
      <c r="O69" s="22" t="n">
        <v>0.072</v>
      </c>
    </row>
    <row r="70" customFormat="false" ht="15" hidden="false" customHeight="false" outlineLevel="0" collapsed="false">
      <c r="A70" s="10" t="s">
        <v>115</v>
      </c>
      <c r="B70" s="18" t="n">
        <v>-0.0621916257293619</v>
      </c>
      <c r="C70" s="19" t="n">
        <v>3.48666666666667</v>
      </c>
      <c r="D70" s="20" t="n">
        <v>0.538908776605323</v>
      </c>
      <c r="E70" s="18" t="n">
        <v>0.0950669077179605</v>
      </c>
      <c r="F70" s="9" t="n">
        <f aca="false">100*(1-(COUNTIF($B$4:$B$147,"&lt;"&amp;B70)+1)/COUNT($B$4:$B$147))</f>
        <v>63.1944444444444</v>
      </c>
      <c r="G70" s="9" t="n">
        <f aca="false">100*(1-(COUNTIF($C$4:$C$147,"&lt;"&amp;C70)+1)/COUNT($C$4:$C$147))</f>
        <v>59.0277777777778</v>
      </c>
      <c r="H70" s="9" t="n">
        <f aca="false">100*(1-(COUNTIF($D$4:$D$147,"&lt;"&amp;D70)+1)/COUNT($D$4:$D$147))</f>
        <v>36.8055555555556</v>
      </c>
      <c r="I70" s="9" t="n">
        <f aca="false">100*(1-(COUNTIF($E$4:$E$147,"&lt;"&amp;E70)+1)/COUNT($E$4:$E$147))</f>
        <v>45.8333333333333</v>
      </c>
      <c r="J70" s="15" t="n">
        <f aca="false">(F70*가중치!$B$4+G70*가중치!$B$5+H70*가중치!$B$6+I70*가중치!$B$7)/가중치!$B$8</f>
        <v>51.2152777777778</v>
      </c>
      <c r="K70" s="9" t="n">
        <f aca="false">RANK(J70,$J$4:$J$147,0)</f>
        <v>67</v>
      </c>
      <c r="L70" s="10" t="str">
        <f aca="false">IF(F70&gt;=75,"체험 ","")&amp;IF(G70&gt;=75,"숙박 ","")&amp;IF(H70&gt;=75,"저녁 ","")&amp;IF(I70&gt;=75,"야간","")</f>
        <v/>
      </c>
      <c r="M70" s="21" t="n">
        <v>52</v>
      </c>
      <c r="N70" s="21" t="n">
        <v>83</v>
      </c>
      <c r="O70" s="22" t="n">
        <v>0</v>
      </c>
    </row>
    <row r="71" customFormat="false" ht="15" hidden="false" customHeight="false" outlineLevel="0" collapsed="false">
      <c r="A71" s="10" t="s">
        <v>116</v>
      </c>
      <c r="B71" s="18" t="n">
        <v>-0.0202618642879437</v>
      </c>
      <c r="C71" s="19" t="n">
        <v>3.05</v>
      </c>
      <c r="D71" s="20" t="n">
        <v>0.522969636894545</v>
      </c>
      <c r="E71" s="18" t="n">
        <v>0.10889888671837</v>
      </c>
      <c r="F71" s="9" t="n">
        <f aca="false">100*(1-(COUNTIF($B$4:$B$147,"&lt;"&amp;B71)+1)/COUNT($B$4:$B$147))</f>
        <v>49.3055555555556</v>
      </c>
      <c r="G71" s="9" t="n">
        <f aca="false">100*(1-(COUNTIF($C$4:$C$147,"&lt;"&amp;C71)+1)/COUNT($C$4:$C$147))</f>
        <v>86.1111111111111</v>
      </c>
      <c r="H71" s="9" t="n">
        <f aca="false">100*(1-(COUNTIF($D$4:$D$147,"&lt;"&amp;D71)+1)/COUNT($D$4:$D$147))</f>
        <v>48.6111111111111</v>
      </c>
      <c r="I71" s="9" t="n">
        <f aca="false">100*(1-(COUNTIF($E$4:$E$147,"&lt;"&amp;E71)+1)/COUNT($E$4:$E$147))</f>
        <v>17.3611111111111</v>
      </c>
      <c r="J71" s="15" t="n">
        <f aca="false">(F71*가중치!$B$4+G71*가중치!$B$5+H71*가중치!$B$6+I71*가중치!$B$7)/가중치!$B$8</f>
        <v>50.3472222222222</v>
      </c>
      <c r="K71" s="9" t="n">
        <f aca="false">RANK(J71,$J$4:$J$147,0)</f>
        <v>68</v>
      </c>
      <c r="L71" s="10" t="str">
        <f aca="false">IF(F71&gt;=75,"체험 ","")&amp;IF(G71&gt;=75,"숙박 ","")&amp;IF(H71&gt;=75,"저녁 ","")&amp;IF(I71&gt;=75,"야간","")</f>
        <v>숙박 </v>
      </c>
      <c r="M71" s="21" t="n">
        <v>32</v>
      </c>
      <c r="N71" s="21" t="n">
        <v>107</v>
      </c>
      <c r="O71" s="22" t="n">
        <v>0.009</v>
      </c>
    </row>
    <row r="72" customFormat="false" ht="15" hidden="false" customHeight="false" outlineLevel="0" collapsed="false">
      <c r="A72" s="10" t="s">
        <v>117</v>
      </c>
      <c r="B72" s="18" t="n">
        <v>-0.0225025125004034</v>
      </c>
      <c r="C72" s="19" t="n">
        <v>2.8725</v>
      </c>
      <c r="D72" s="20" t="n">
        <v>0.53669166377501</v>
      </c>
      <c r="E72" s="18" t="n">
        <v>0.106306953098001</v>
      </c>
      <c r="F72" s="9" t="n">
        <f aca="false">100*(1-(COUNTIF($B$4:$B$147,"&lt;"&amp;B72)+1)/COUNT($B$4:$B$147))</f>
        <v>50.6944444444444</v>
      </c>
      <c r="G72" s="9" t="n">
        <f aca="false">100*(1-(COUNTIF($C$4:$C$147,"&lt;"&amp;C72)+1)/COUNT($C$4:$C$147))</f>
        <v>91.6666666666667</v>
      </c>
      <c r="H72" s="9" t="n">
        <f aca="false">100*(1-(COUNTIF($D$4:$D$147,"&lt;"&amp;D72)+1)/COUNT($D$4:$D$147))</f>
        <v>37.5</v>
      </c>
      <c r="I72" s="9" t="n">
        <f aca="false">100*(1-(COUNTIF($E$4:$E$147,"&lt;"&amp;E72)+1)/COUNT($E$4:$E$147))</f>
        <v>20.8333333333333</v>
      </c>
      <c r="J72" s="15" t="n">
        <f aca="false">(F72*가중치!$B$4+G72*가중치!$B$5+H72*가중치!$B$6+I72*가중치!$B$7)/가중치!$B$8</f>
        <v>50.1736111111111</v>
      </c>
      <c r="K72" s="9" t="n">
        <f aca="false">RANK(J72,$J$4:$J$147,0)</f>
        <v>69</v>
      </c>
      <c r="L72" s="10" t="str">
        <f aca="false">IF(F72&gt;=75,"체험 ","")&amp;IF(G72&gt;=75,"숙박 ","")&amp;IF(H72&gt;=75,"저녁 ","")&amp;IF(I72&gt;=75,"야간","")</f>
        <v>숙박 </v>
      </c>
      <c r="M72" s="21" t="n">
        <v>27</v>
      </c>
      <c r="N72" s="21" t="n">
        <v>105</v>
      </c>
      <c r="O72" s="22" t="n">
        <v>0.057</v>
      </c>
    </row>
    <row r="73" customFormat="false" ht="15" hidden="false" customHeight="false" outlineLevel="0" collapsed="false">
      <c r="A73" s="10" t="s">
        <v>118</v>
      </c>
      <c r="B73" s="18" t="n">
        <v>-0.243640105489968</v>
      </c>
      <c r="C73" s="19" t="n">
        <v>3.4425</v>
      </c>
      <c r="D73" s="20" t="n">
        <v>0.580268194666929</v>
      </c>
      <c r="E73" s="18" t="n">
        <v>0.101620488189476</v>
      </c>
      <c r="F73" s="9" t="n">
        <f aca="false">100*(1-(COUNTIF($B$4:$B$147,"&lt;"&amp;B73)+1)/COUNT($B$4:$B$147))</f>
        <v>91.6666666666667</v>
      </c>
      <c r="G73" s="9" t="n">
        <f aca="false">100*(1-(COUNTIF($C$4:$C$147,"&lt;"&amp;C73)+1)/COUNT($C$4:$C$147))</f>
        <v>63.8888888888889</v>
      </c>
      <c r="H73" s="9" t="n">
        <f aca="false">100*(1-(COUNTIF($D$4:$D$147,"&lt;"&amp;D73)+1)/COUNT($D$4:$D$147))</f>
        <v>14.5833333333333</v>
      </c>
      <c r="I73" s="9" t="n">
        <f aca="false">100*(1-(COUNTIF($E$4:$E$147,"&lt;"&amp;E73)+1)/COUNT($E$4:$E$147))</f>
        <v>29.1666666666667</v>
      </c>
      <c r="J73" s="15" t="n">
        <f aca="false">(F73*가중치!$B$4+G73*가중치!$B$5+H73*가중치!$B$6+I73*가중치!$B$7)/가중치!$B$8</f>
        <v>49.8263888888889</v>
      </c>
      <c r="K73" s="9" t="n">
        <f aca="false">RANK(J73,$J$4:$J$147,0)</f>
        <v>70</v>
      </c>
      <c r="L73" s="10" t="str">
        <f aca="false">IF(F73&gt;=75,"체험 ","")&amp;IF(G73&gt;=75,"숙박 ","")&amp;IF(H73&gt;=75,"저녁 ","")&amp;IF(I73&gt;=75,"야간","")</f>
        <v>체험 </v>
      </c>
      <c r="M73" s="21" t="n">
        <v>27</v>
      </c>
      <c r="N73" s="21" t="n">
        <v>106</v>
      </c>
      <c r="O73" s="22" t="n">
        <v>0.046</v>
      </c>
    </row>
    <row r="74" customFormat="false" ht="15" hidden="false" customHeight="false" outlineLevel="0" collapsed="false">
      <c r="A74" s="10" t="s">
        <v>119</v>
      </c>
      <c r="B74" s="18" t="n">
        <v>0.0774628993928361</v>
      </c>
      <c r="C74" s="19" t="n">
        <v>3.285</v>
      </c>
      <c r="D74" s="20" t="n">
        <v>0.519145590824935</v>
      </c>
      <c r="E74" s="18" t="n">
        <v>0.0952167809229551</v>
      </c>
      <c r="F74" s="9" t="n">
        <f aca="false">100*(1-(COUNTIF($B$4:$B$147,"&lt;"&amp;B74)+1)/COUNT($B$4:$B$147))</f>
        <v>31.9444444444444</v>
      </c>
      <c r="G74" s="9" t="n">
        <f aca="false">100*(1-(COUNTIF($C$4:$C$147,"&lt;"&amp;C74)+1)/COUNT($C$4:$C$147))</f>
        <v>72.9166666666667</v>
      </c>
      <c r="H74" s="9" t="n">
        <f aca="false">100*(1-(COUNTIF($D$4:$D$147,"&lt;"&amp;D74)+1)/COUNT($D$4:$D$147))</f>
        <v>50</v>
      </c>
      <c r="I74" s="9" t="n">
        <f aca="false">100*(1-(COUNTIF($E$4:$E$147,"&lt;"&amp;E74)+1)/COUNT($E$4:$E$147))</f>
        <v>43.0555555555556</v>
      </c>
      <c r="J74" s="15" t="n">
        <f aca="false">(F74*가중치!$B$4+G74*가중치!$B$5+H74*가중치!$B$6+I74*가중치!$B$7)/가중치!$B$8</f>
        <v>49.4791666666667</v>
      </c>
      <c r="K74" s="9" t="n">
        <f aca="false">RANK(J74,$J$4:$J$147,0)</f>
        <v>71</v>
      </c>
      <c r="L74" s="10" t="str">
        <f aca="false">IF(F74&gt;=75,"체험 ","")&amp;IF(G74&gt;=75,"숙박 ","")&amp;IF(H74&gt;=75,"저녁 ","")&amp;IF(I74&gt;=75,"야간","")</f>
        <v/>
      </c>
      <c r="M74" s="21" t="n">
        <v>46</v>
      </c>
      <c r="N74" s="21" t="n">
        <v>96</v>
      </c>
      <c r="O74" s="22" t="n">
        <v>0</v>
      </c>
    </row>
    <row r="75" customFormat="false" ht="15" hidden="false" customHeight="false" outlineLevel="0" collapsed="false">
      <c r="A75" s="10" t="s">
        <v>120</v>
      </c>
      <c r="B75" s="18" t="n">
        <v>0.278759520889119</v>
      </c>
      <c r="C75" s="19" t="n">
        <v>3.4825</v>
      </c>
      <c r="D75" s="20" t="n">
        <v>0.490950067695792</v>
      </c>
      <c r="E75" s="18" t="n">
        <v>0.0911599538789018</v>
      </c>
      <c r="F75" s="9" t="n">
        <f aca="false">100*(1-(COUNTIF($B$4:$B$147,"&lt;"&amp;B75)+1)/COUNT($B$4:$B$147))</f>
        <v>13.1944444444444</v>
      </c>
      <c r="G75" s="9" t="n">
        <f aca="false">100*(1-(COUNTIF($C$4:$C$147,"&lt;"&amp;C75)+1)/COUNT($C$4:$C$147))</f>
        <v>60.4166666666667</v>
      </c>
      <c r="H75" s="9" t="n">
        <f aca="false">100*(1-(COUNTIF($D$4:$D$147,"&lt;"&amp;D75)+1)/COUNT($D$4:$D$147))</f>
        <v>69.4444444444444</v>
      </c>
      <c r="I75" s="9" t="n">
        <f aca="false">100*(1-(COUNTIF($E$4:$E$147,"&lt;"&amp;E75)+1)/COUNT($E$4:$E$147))</f>
        <v>54.8611111111111</v>
      </c>
      <c r="J75" s="15" t="n">
        <f aca="false">(F75*가중치!$B$4+G75*가중치!$B$5+H75*가중치!$B$6+I75*가중치!$B$7)/가중치!$B$8</f>
        <v>49.4791666666667</v>
      </c>
      <c r="K75" s="9" t="n">
        <f aca="false">RANK(J75,$J$4:$J$147,0)</f>
        <v>72</v>
      </c>
      <c r="L75" s="10" t="str">
        <f aca="false">IF(F75&gt;=75,"체험 ","")&amp;IF(G75&gt;=75,"숙박 ","")&amp;IF(H75&gt;=75,"저녁 ","")&amp;IF(I75&gt;=75,"야간","")</f>
        <v/>
      </c>
      <c r="M75" s="21" t="n">
        <v>46</v>
      </c>
      <c r="N75" s="21" t="n">
        <v>108</v>
      </c>
      <c r="O75" s="22" t="n">
        <v>0</v>
      </c>
    </row>
    <row r="76" customFormat="false" ht="15" hidden="false" customHeight="false" outlineLevel="0" collapsed="false">
      <c r="A76" s="10" t="s">
        <v>121</v>
      </c>
      <c r="B76" s="18" t="n">
        <v>-0.0627150422566964</v>
      </c>
      <c r="C76" s="19" t="n">
        <v>3.84083333333333</v>
      </c>
      <c r="D76" s="20" t="n">
        <v>0.507962913814109</v>
      </c>
      <c r="E76" s="18" t="n">
        <v>0.0883034226014239</v>
      </c>
      <c r="F76" s="9" t="n">
        <f aca="false">100*(1-(COUNTIF($B$4:$B$147,"&lt;"&amp;B76)+1)/COUNT($B$4:$B$147))</f>
        <v>63.8888888888889</v>
      </c>
      <c r="G76" s="9" t="n">
        <f aca="false">100*(1-(COUNTIF($C$4:$C$147,"&lt;"&amp;C76)+1)/COUNT($C$4:$C$147))</f>
        <v>13.8888888888889</v>
      </c>
      <c r="H76" s="9" t="n">
        <f aca="false">100*(1-(COUNTIF($D$4:$D$147,"&lt;"&amp;D76)+1)/COUNT($D$4:$D$147))</f>
        <v>57.6388888888889</v>
      </c>
      <c r="I76" s="9" t="n">
        <f aca="false">100*(1-(COUNTIF($E$4:$E$147,"&lt;"&amp;E76)+1)/COUNT($E$4:$E$147))</f>
        <v>60.4166666666667</v>
      </c>
      <c r="J76" s="15" t="n">
        <f aca="false">(F76*가중치!$B$4+G76*가중치!$B$5+H76*가중치!$B$6+I76*가중치!$B$7)/가중치!$B$8</f>
        <v>48.9583333333333</v>
      </c>
      <c r="K76" s="9" t="n">
        <f aca="false">RANK(J76,$J$4:$J$147,0)</f>
        <v>75</v>
      </c>
      <c r="L76" s="10" t="str">
        <f aca="false">IF(F76&gt;=75,"체험 ","")&amp;IF(G76&gt;=75,"숙박 ","")&amp;IF(H76&gt;=75,"저녁 ","")&amp;IF(I76&gt;=75,"야간","")</f>
        <v/>
      </c>
      <c r="M76" s="21" t="n">
        <v>47</v>
      </c>
      <c r="N76" s="21" t="n">
        <v>112</v>
      </c>
      <c r="O76" s="22" t="n">
        <v>0</v>
      </c>
    </row>
    <row r="77" customFormat="false" ht="15" hidden="false" customHeight="false" outlineLevel="0" collapsed="false">
      <c r="A77" s="10" t="s">
        <v>122</v>
      </c>
      <c r="B77" s="18" t="n">
        <v>0.0077339125757129</v>
      </c>
      <c r="C77" s="19" t="n">
        <v>4.0325</v>
      </c>
      <c r="D77" s="20" t="n">
        <v>0.475235380788244</v>
      </c>
      <c r="E77" s="18" t="n">
        <v>0.0842247691687116</v>
      </c>
      <c r="F77" s="9" t="n">
        <f aca="false">100*(1-(COUNTIF($B$4:$B$147,"&lt;"&amp;B77)+1)/COUNT($B$4:$B$147))</f>
        <v>42.3611111111111</v>
      </c>
      <c r="G77" s="9" t="n">
        <f aca="false">100*(1-(COUNTIF($C$4:$C$147,"&lt;"&amp;C77)+1)/COUNT($C$4:$C$147))</f>
        <v>4.16666666666666</v>
      </c>
      <c r="H77" s="9" t="n">
        <f aca="false">100*(1-(COUNTIF($D$4:$D$147,"&lt;"&amp;D77)+1)/COUNT($D$4:$D$147))</f>
        <v>77.0833333333333</v>
      </c>
      <c r="I77" s="9" t="n">
        <f aca="false">100*(1-(COUNTIF($E$4:$E$147,"&lt;"&amp;E77)+1)/COUNT($E$4:$E$147))</f>
        <v>72.2222222222222</v>
      </c>
      <c r="J77" s="15" t="n">
        <f aca="false">(F77*가중치!$B$4+G77*가중치!$B$5+H77*가중치!$B$6+I77*가중치!$B$7)/가중치!$B$8</f>
        <v>48.9583333333333</v>
      </c>
      <c r="K77" s="9" t="n">
        <f aca="false">RANK(J77,$J$4:$J$147,0)</f>
        <v>75</v>
      </c>
      <c r="L77" s="10" t="str">
        <f aca="false">IF(F77&gt;=75,"체험 ","")&amp;IF(G77&gt;=75,"숙박 ","")&amp;IF(H77&gt;=75,"저녁 ","")&amp;IF(I77&gt;=75,"야간","")</f>
        <v>저녁 </v>
      </c>
      <c r="M77" s="21" t="n">
        <v>40</v>
      </c>
      <c r="N77" s="21" t="n">
        <v>123</v>
      </c>
      <c r="O77" s="22" t="n">
        <v>0</v>
      </c>
    </row>
    <row r="78" customFormat="false" ht="15" hidden="false" customHeight="false" outlineLevel="0" collapsed="false">
      <c r="A78" s="10" t="s">
        <v>123</v>
      </c>
      <c r="B78" s="18" t="n">
        <v>-0.0094575798945826</v>
      </c>
      <c r="C78" s="19" t="n">
        <v>3.7325</v>
      </c>
      <c r="D78" s="20" t="n">
        <v>0.514325658875412</v>
      </c>
      <c r="E78" s="18" t="n">
        <v>0.0830869467728674</v>
      </c>
      <c r="F78" s="9" t="n">
        <f aca="false">100*(1-(COUNTIF($B$4:$B$147,"&lt;"&amp;B78)+1)/COUNT($B$4:$B$147))</f>
        <v>45.1388888888889</v>
      </c>
      <c r="G78" s="9" t="n">
        <f aca="false">100*(1-(COUNTIF($C$4:$C$147,"&lt;"&amp;C78)+1)/COUNT($C$4:$C$147))</f>
        <v>21.5277777777778</v>
      </c>
      <c r="H78" s="9" t="n">
        <f aca="false">100*(1-(COUNTIF($D$4:$D$147,"&lt;"&amp;D78)+1)/COUNT($D$4:$D$147))</f>
        <v>54.1666666666667</v>
      </c>
      <c r="I78" s="9" t="n">
        <f aca="false">100*(1-(COUNTIF($E$4:$E$147,"&lt;"&amp;E78)+1)/COUNT($E$4:$E$147))</f>
        <v>74.3055555555556</v>
      </c>
      <c r="J78" s="15" t="n">
        <f aca="false">(F78*가중치!$B$4+G78*가중치!$B$5+H78*가중치!$B$6+I78*가중치!$B$7)/가중치!$B$8</f>
        <v>48.7847222222222</v>
      </c>
      <c r="K78" s="9" t="n">
        <f aca="false">RANK(J78,$J$4:$J$147,0)</f>
        <v>77</v>
      </c>
      <c r="L78" s="10" t="str">
        <f aca="false">IF(F78&gt;=75,"체험 ","")&amp;IF(G78&gt;=75,"숙박 ","")&amp;IF(H78&gt;=75,"저녁 ","")&amp;IF(I78&gt;=75,"야간","")</f>
        <v/>
      </c>
      <c r="M78" s="21" t="n">
        <v>46</v>
      </c>
      <c r="N78" s="21" t="n">
        <v>104</v>
      </c>
      <c r="O78" s="22" t="n">
        <v>0</v>
      </c>
    </row>
    <row r="79" customFormat="false" ht="15" hidden="false" customHeight="false" outlineLevel="0" collapsed="false">
      <c r="A79" s="10" t="s">
        <v>124</v>
      </c>
      <c r="B79" s="18" t="n">
        <v>0.129050804607999</v>
      </c>
      <c r="C79" s="19" t="n">
        <v>3.58916666666667</v>
      </c>
      <c r="D79" s="20" t="n">
        <v>0.470574178033836</v>
      </c>
      <c r="E79" s="18" t="n">
        <v>0.0920205799848616</v>
      </c>
      <c r="F79" s="9" t="n">
        <f aca="false">100*(1-(COUNTIF($B$4:$B$147,"&lt;"&amp;B79)+1)/COUNT($B$4:$B$147))</f>
        <v>22.9166666666667</v>
      </c>
      <c r="G79" s="9" t="n">
        <f aca="false">100*(1-(COUNTIF($C$4:$C$147,"&lt;"&amp;C79)+1)/COUNT($C$4:$C$147))</f>
        <v>40.2777777777778</v>
      </c>
      <c r="H79" s="9" t="n">
        <f aca="false">100*(1-(COUNTIF($D$4:$D$147,"&lt;"&amp;D79)+1)/COUNT($D$4:$D$147))</f>
        <v>81.25</v>
      </c>
      <c r="I79" s="9" t="n">
        <f aca="false">100*(1-(COUNTIF($E$4:$E$147,"&lt;"&amp;E79)+1)/COUNT($E$4:$E$147))</f>
        <v>51.3888888888889</v>
      </c>
      <c r="J79" s="15" t="n">
        <f aca="false">(F79*가중치!$B$4+G79*가중치!$B$5+H79*가중치!$B$6+I79*가중치!$B$7)/가중치!$B$8</f>
        <v>48.9583333333333</v>
      </c>
      <c r="K79" s="9" t="n">
        <f aca="false">RANK(J79,$J$4:$J$147,0)</f>
        <v>73</v>
      </c>
      <c r="L79" s="10" t="str">
        <f aca="false">IF(F79&gt;=75,"체험 ","")&amp;IF(G79&gt;=75,"숙박 ","")&amp;IF(H79&gt;=75,"저녁 ","")&amp;IF(I79&gt;=75,"야간","")</f>
        <v>저녁 </v>
      </c>
      <c r="M79" s="21" t="n">
        <v>45</v>
      </c>
      <c r="N79" s="21" t="n">
        <v>105</v>
      </c>
      <c r="O79" s="22" t="n">
        <v>0</v>
      </c>
    </row>
    <row r="80" customFormat="false" ht="15" hidden="false" customHeight="false" outlineLevel="0" collapsed="false">
      <c r="A80" s="10" t="s">
        <v>125</v>
      </c>
      <c r="B80" s="18" t="n">
        <v>13.4286774784972</v>
      </c>
      <c r="C80" s="19" t="n">
        <v>3.65416666666667</v>
      </c>
      <c r="D80" s="20" t="n">
        <v>0.489385687351898</v>
      </c>
      <c r="E80" s="18" t="n">
        <v>0.074174982260596</v>
      </c>
      <c r="F80" s="9" t="n">
        <f aca="false">100*(1-(COUNTIF($B$4:$B$147,"&lt;"&amp;B80)+1)/COUNT($B$4:$B$147))</f>
        <v>0</v>
      </c>
      <c r="G80" s="9" t="n">
        <f aca="false">100*(1-(COUNTIF($C$4:$C$147,"&lt;"&amp;C80)+1)/COUNT($C$4:$C$147))</f>
        <v>33.3333333333333</v>
      </c>
      <c r="H80" s="9" t="n">
        <f aca="false">100*(1-(COUNTIF($D$4:$D$147,"&lt;"&amp;D80)+1)/COUNT($D$4:$D$147))</f>
        <v>70.1388888888889</v>
      </c>
      <c r="I80" s="9" t="n">
        <f aca="false">100*(1-(COUNTIF($E$4:$E$147,"&lt;"&amp;E80)+1)/COUNT($E$4:$E$147))</f>
        <v>92.3611111111111</v>
      </c>
      <c r="J80" s="15" t="n">
        <f aca="false">(F80*가중치!$B$4+G80*가중치!$B$5+H80*가중치!$B$6+I80*가중치!$B$7)/가중치!$B$8</f>
        <v>48.9583333333333</v>
      </c>
      <c r="K80" s="9" t="n">
        <f aca="false">RANK(J80,$J$4:$J$147,0)</f>
        <v>73</v>
      </c>
      <c r="L80" s="10" t="str">
        <f aca="false">IF(F80&gt;=75,"체험 ","")&amp;IF(G80&gt;=75,"숙박 ","")&amp;IF(H80&gt;=75,"저녁 ","")&amp;IF(I80&gt;=75,"야간","")</f>
        <v>야간</v>
      </c>
      <c r="M80" s="21" t="n">
        <v>31</v>
      </c>
      <c r="N80" s="21" t="n">
        <v>127</v>
      </c>
      <c r="O80" s="22" t="n">
        <v>0.019</v>
      </c>
    </row>
    <row r="81" customFormat="false" ht="15" hidden="false" customHeight="false" outlineLevel="0" collapsed="false">
      <c r="A81" s="10" t="s">
        <v>126</v>
      </c>
      <c r="B81" s="18" t="n">
        <v>-0.0742746275059138</v>
      </c>
      <c r="C81" s="19" t="n">
        <v>3.70416666666667</v>
      </c>
      <c r="D81" s="20" t="n">
        <v>0.526924106866029</v>
      </c>
      <c r="E81" s="18" t="n">
        <v>0.0897376461963863</v>
      </c>
      <c r="F81" s="9" t="n">
        <f aca="false">100*(1-(COUNTIF($B$4:$B$147,"&lt;"&amp;B81)+1)/COUNT($B$4:$B$147))</f>
        <v>65.9722222222222</v>
      </c>
      <c r="G81" s="9" t="n">
        <f aca="false">100*(1-(COUNTIF($C$4:$C$147,"&lt;"&amp;C81)+1)/COUNT($C$4:$C$147))</f>
        <v>23.6111111111111</v>
      </c>
      <c r="H81" s="9" t="n">
        <f aca="false">100*(1-(COUNTIF($D$4:$D$147,"&lt;"&amp;D81)+1)/COUNT($D$4:$D$147))</f>
        <v>47.2222222222222</v>
      </c>
      <c r="I81" s="9" t="n">
        <f aca="false">100*(1-(COUNTIF($E$4:$E$147,"&lt;"&amp;E81)+1)/COUNT($E$4:$E$147))</f>
        <v>56.9444444444444</v>
      </c>
      <c r="J81" s="15" t="n">
        <f aca="false">(F81*가중치!$B$4+G81*가중치!$B$5+H81*가중치!$B$6+I81*가중치!$B$7)/가중치!$B$8</f>
        <v>48.4375</v>
      </c>
      <c r="K81" s="9" t="n">
        <f aca="false">RANK(J81,$J$4:$J$147,0)</f>
        <v>78</v>
      </c>
      <c r="L81" s="10" t="str">
        <f aca="false">IF(F81&gt;=75,"체험 ","")&amp;IF(G81&gt;=75,"숙박 ","")&amp;IF(H81&gt;=75,"저녁 ","")&amp;IF(I81&gt;=75,"야간","")</f>
        <v/>
      </c>
      <c r="M81" s="21" t="n">
        <v>51</v>
      </c>
      <c r="N81" s="21" t="n">
        <v>102</v>
      </c>
      <c r="O81" s="22" t="n">
        <v>0</v>
      </c>
    </row>
    <row r="82" customFormat="false" ht="15" hidden="false" customHeight="false" outlineLevel="0" collapsed="false">
      <c r="A82" s="10" t="s">
        <v>127</v>
      </c>
      <c r="B82" s="18" t="n">
        <v>-0.0139921049233137</v>
      </c>
      <c r="C82" s="19" t="n">
        <v>3.90916666666667</v>
      </c>
      <c r="D82" s="20" t="n">
        <v>0.517230664844624</v>
      </c>
      <c r="E82" s="18" t="n">
        <v>0.0769141863877843</v>
      </c>
      <c r="F82" s="9" t="n">
        <f aca="false">100*(1-(COUNTIF($B$4:$B$147,"&lt;"&amp;B82)+1)/COUNT($B$4:$B$147))</f>
        <v>46.5277777777778</v>
      </c>
      <c r="G82" s="9" t="n">
        <f aca="false">100*(1-(COUNTIF($C$4:$C$147,"&lt;"&amp;C82)+1)/COUNT($C$4:$C$147))</f>
        <v>9.72222222222222</v>
      </c>
      <c r="H82" s="9" t="n">
        <f aca="false">100*(1-(COUNTIF($D$4:$D$147,"&lt;"&amp;D82)+1)/COUNT($D$4:$D$147))</f>
        <v>52.0833333333333</v>
      </c>
      <c r="I82" s="9" t="n">
        <f aca="false">100*(1-(COUNTIF($E$4:$E$147,"&lt;"&amp;E82)+1)/COUNT($E$4:$E$147))</f>
        <v>85.4166666666667</v>
      </c>
      <c r="J82" s="15" t="n">
        <f aca="false">(F82*가중치!$B$4+G82*가중치!$B$5+H82*가중치!$B$6+I82*가중치!$B$7)/가중치!$B$8</f>
        <v>48.4375</v>
      </c>
      <c r="K82" s="9" t="n">
        <f aca="false">RANK(J82,$J$4:$J$147,0)</f>
        <v>78</v>
      </c>
      <c r="L82" s="10" t="str">
        <f aca="false">IF(F82&gt;=75,"체험 ","")&amp;IF(G82&gt;=75,"숙박 ","")&amp;IF(H82&gt;=75,"저녁 ","")&amp;IF(I82&gt;=75,"야간","")</f>
        <v>야간</v>
      </c>
      <c r="M82" s="21" t="n">
        <v>36</v>
      </c>
      <c r="N82" s="21" t="n">
        <v>119</v>
      </c>
      <c r="O82" s="22" t="n">
        <v>0</v>
      </c>
    </row>
    <row r="83" customFormat="false" ht="15" hidden="false" customHeight="false" outlineLevel="0" collapsed="false">
      <c r="A83" s="10" t="s">
        <v>128</v>
      </c>
      <c r="B83" s="18" t="n">
        <v>0.793840226701446</v>
      </c>
      <c r="C83" s="19" t="n">
        <v>3.92333333333333</v>
      </c>
      <c r="D83" s="20" t="n">
        <v>0.43684657011688</v>
      </c>
      <c r="E83" s="18" t="n">
        <v>0.07499984101951</v>
      </c>
      <c r="F83" s="9" t="n">
        <f aca="false">100*(1-(COUNTIF($B$4:$B$147,"&lt;"&amp;B83)+1)/COUNT($B$4:$B$147))</f>
        <v>2.77777777777778</v>
      </c>
      <c r="G83" s="9" t="n">
        <f aca="false">100*(1-(COUNTIF($C$4:$C$147,"&lt;"&amp;C83)+1)/COUNT($C$4:$C$147))</f>
        <v>9.02777777777778</v>
      </c>
      <c r="H83" s="9" t="n">
        <f aca="false">100*(1-(COUNTIF($D$4:$D$147,"&lt;"&amp;D83)+1)/COUNT($D$4:$D$147))</f>
        <v>90.9722222222222</v>
      </c>
      <c r="I83" s="9" t="n">
        <f aca="false">100*(1-(COUNTIF($E$4:$E$147,"&lt;"&amp;E83)+1)/COUNT($E$4:$E$147))</f>
        <v>90.2777777777778</v>
      </c>
      <c r="J83" s="15" t="n">
        <f aca="false">(F83*가중치!$B$4+G83*가중치!$B$5+H83*가중치!$B$6+I83*가중치!$B$7)/가중치!$B$8</f>
        <v>48.2638888888889</v>
      </c>
      <c r="K83" s="9" t="n">
        <f aca="false">RANK(J83,$J$4:$J$147,0)</f>
        <v>80</v>
      </c>
      <c r="L83" s="10" t="str">
        <f aca="false">IF(F83&gt;=75,"체험 ","")&amp;IF(G83&gt;=75,"숙박 ","")&amp;IF(H83&gt;=75,"저녁 ","")&amp;IF(I83&gt;=75,"야간","")</f>
        <v>저녁 야간</v>
      </c>
      <c r="M83" s="21" t="n">
        <v>26</v>
      </c>
      <c r="N83" s="21" t="n">
        <v>136</v>
      </c>
      <c r="O83" s="22" t="n">
        <v>0.028</v>
      </c>
    </row>
    <row r="84" customFormat="false" ht="15" hidden="false" customHeight="false" outlineLevel="0" collapsed="false">
      <c r="A84" s="10" t="s">
        <v>129</v>
      </c>
      <c r="B84" s="18" t="n">
        <v>-0.0958554489491808</v>
      </c>
      <c r="C84" s="19" t="n">
        <v>2.60583333333333</v>
      </c>
      <c r="D84" s="20" t="n">
        <v>0.575379770075209</v>
      </c>
      <c r="E84" s="18" t="n">
        <v>0.120943924980459</v>
      </c>
      <c r="F84" s="9" t="n">
        <f aca="false">100*(1-(COUNTIF($B$4:$B$147,"&lt;"&amp;B84)+1)/COUNT($B$4:$B$147))</f>
        <v>69.4444444444444</v>
      </c>
      <c r="G84" s="9" t="n">
        <f aca="false">100*(1-(COUNTIF($C$4:$C$147,"&lt;"&amp;C84)+1)/COUNT($C$4:$C$147))</f>
        <v>96.5277777777778</v>
      </c>
      <c r="H84" s="9" t="n">
        <f aca="false">100*(1-(COUNTIF($D$4:$D$147,"&lt;"&amp;D84)+1)/COUNT($D$4:$D$147))</f>
        <v>18.0555555555556</v>
      </c>
      <c r="I84" s="9" t="n">
        <f aca="false">100*(1-(COUNTIF($E$4:$E$147,"&lt;"&amp;E84)+1)/COUNT($E$4:$E$147))</f>
        <v>7.63888888888888</v>
      </c>
      <c r="J84" s="15" t="n">
        <f aca="false">(F84*가중치!$B$4+G84*가중치!$B$5+H84*가중치!$B$6+I84*가중치!$B$7)/가중치!$B$8</f>
        <v>47.9166666666667</v>
      </c>
      <c r="K84" s="9" t="n">
        <f aca="false">RANK(J84,$J$4:$J$147,0)</f>
        <v>81</v>
      </c>
      <c r="L84" s="10" t="str">
        <f aca="false">IF(F84&gt;=75,"체험 ","")&amp;IF(G84&gt;=75,"숙박 ","")&amp;IF(H84&gt;=75,"저녁 ","")&amp;IF(I84&gt;=75,"야간","")</f>
        <v>숙박 </v>
      </c>
      <c r="M84" s="21" t="n">
        <v>22</v>
      </c>
      <c r="N84" s="21" t="n">
        <v>121</v>
      </c>
      <c r="O84" s="22" t="n">
        <v>0.095</v>
      </c>
    </row>
    <row r="85" customFormat="false" ht="15" hidden="false" customHeight="false" outlineLevel="0" collapsed="false">
      <c r="A85" s="10" t="s">
        <v>130</v>
      </c>
      <c r="B85" s="18" t="n">
        <v>-0.0334678809961439</v>
      </c>
      <c r="C85" s="19" t="n">
        <v>3.73666666666667</v>
      </c>
      <c r="D85" s="20" t="n">
        <v>0.511996402980599</v>
      </c>
      <c r="E85" s="18" t="n">
        <v>0.0883170381628648</v>
      </c>
      <c r="F85" s="9" t="n">
        <f aca="false">100*(1-(COUNTIF($B$4:$B$147,"&lt;"&amp;B85)+1)/COUNT($B$4:$B$147))</f>
        <v>54.1666666666667</v>
      </c>
      <c r="G85" s="9" t="n">
        <f aca="false">100*(1-(COUNTIF($C$4:$C$147,"&lt;"&amp;C85)+1)/COUNT($C$4:$C$147))</f>
        <v>20.8333333333333</v>
      </c>
      <c r="H85" s="9" t="n">
        <f aca="false">100*(1-(COUNTIF($D$4:$D$147,"&lt;"&amp;D85)+1)/COUNT($D$4:$D$147))</f>
        <v>56.25</v>
      </c>
      <c r="I85" s="9" t="n">
        <f aca="false">100*(1-(COUNTIF($E$4:$E$147,"&lt;"&amp;E85)+1)/COUNT($E$4:$E$147))</f>
        <v>59.7222222222222</v>
      </c>
      <c r="J85" s="15" t="n">
        <f aca="false">(F85*가중치!$B$4+G85*가중치!$B$5+H85*가중치!$B$6+I85*가중치!$B$7)/가중치!$B$8</f>
        <v>47.7430555555556</v>
      </c>
      <c r="K85" s="9" t="n">
        <f aca="false">RANK(J85,$J$4:$J$147,0)</f>
        <v>82</v>
      </c>
      <c r="L85" s="10" t="str">
        <f aca="false">IF(F85&gt;=75,"체험 ","")&amp;IF(G85&gt;=75,"숙박 ","")&amp;IF(H85&gt;=75,"저녁 ","")&amp;IF(I85&gt;=75,"야간","")</f>
        <v/>
      </c>
      <c r="M85" s="21" t="n">
        <v>58</v>
      </c>
      <c r="N85" s="21" t="n">
        <v>106</v>
      </c>
      <c r="O85" s="22" t="n">
        <v>0</v>
      </c>
    </row>
    <row r="86" customFormat="false" ht="15" hidden="false" customHeight="false" outlineLevel="0" collapsed="false">
      <c r="A86" s="10" t="s">
        <v>131</v>
      </c>
      <c r="B86" s="18" t="n">
        <v>-0.148480008652956</v>
      </c>
      <c r="C86" s="19" t="n">
        <v>2.86583333333333</v>
      </c>
      <c r="D86" s="20" t="n">
        <v>0.586959498209486</v>
      </c>
      <c r="E86" s="18" t="n">
        <v>0.12481035837464</v>
      </c>
      <c r="F86" s="9" t="n">
        <f aca="false">100*(1-(COUNTIF($B$4:$B$147,"&lt;"&amp;B86)+1)/COUNT($B$4:$B$147))</f>
        <v>81.9444444444444</v>
      </c>
      <c r="G86" s="9" t="n">
        <f aca="false">100*(1-(COUNTIF($C$4:$C$147,"&lt;"&amp;C86)+1)/COUNT($C$4:$C$147))</f>
        <v>92.3611111111111</v>
      </c>
      <c r="H86" s="9" t="n">
        <f aca="false">100*(1-(COUNTIF($D$4:$D$147,"&lt;"&amp;D86)+1)/COUNT($D$4:$D$147))</f>
        <v>11.8055555555556</v>
      </c>
      <c r="I86" s="9" t="n">
        <f aca="false">100*(1-(COUNTIF($E$4:$E$147,"&lt;"&amp;E86)+1)/COUNT($E$4:$E$147))</f>
        <v>4.86111111111112</v>
      </c>
      <c r="J86" s="15" t="n">
        <f aca="false">(F86*가중치!$B$4+G86*가중치!$B$5+H86*가중치!$B$6+I86*가중치!$B$7)/가중치!$B$8</f>
        <v>47.7430555555556</v>
      </c>
      <c r="K86" s="9" t="n">
        <f aca="false">RANK(J86,$J$4:$J$147,0)</f>
        <v>83</v>
      </c>
      <c r="L86" s="10" t="str">
        <f aca="false">IF(F86&gt;=75,"체험 ","")&amp;IF(G86&gt;=75,"숙박 ","")&amp;IF(H86&gt;=75,"저녁 ","")&amp;IF(I86&gt;=75,"야간","")</f>
        <v>체험 숙박 </v>
      </c>
      <c r="M86" s="21" t="n">
        <v>19</v>
      </c>
      <c r="N86" s="21" t="n">
        <v>124</v>
      </c>
      <c r="O86" s="22" t="n">
        <v>0.109</v>
      </c>
    </row>
    <row r="87" customFormat="false" ht="15" hidden="false" customHeight="false" outlineLevel="0" collapsed="false">
      <c r="A87" s="10" t="s">
        <v>132</v>
      </c>
      <c r="B87" s="18" t="n">
        <v>-0.0249741710093854</v>
      </c>
      <c r="C87" s="19" t="n">
        <v>3.5375</v>
      </c>
      <c r="D87" s="20" t="n">
        <v>0.529511225629756</v>
      </c>
      <c r="E87" s="18" t="n">
        <v>0.0953882693290997</v>
      </c>
      <c r="F87" s="9" t="n">
        <f aca="false">100*(1-(COUNTIF($B$4:$B$147,"&lt;"&amp;B87)+1)/COUNT($B$4:$B$147))</f>
        <v>51.3888888888889</v>
      </c>
      <c r="G87" s="9" t="n">
        <f aca="false">100*(1-(COUNTIF($C$4:$C$147,"&lt;"&amp;C87)+1)/COUNT($C$4:$C$147))</f>
        <v>52.0833333333333</v>
      </c>
      <c r="H87" s="9" t="n">
        <f aca="false">100*(1-(COUNTIF($D$4:$D$147,"&lt;"&amp;D87)+1)/COUNT($D$4:$D$147))</f>
        <v>45.1388888888889</v>
      </c>
      <c r="I87" s="9" t="n">
        <f aca="false">100*(1-(COUNTIF($E$4:$E$147,"&lt;"&amp;E87)+1)/COUNT($E$4:$E$147))</f>
        <v>42.3611111111111</v>
      </c>
      <c r="J87" s="15" t="n">
        <f aca="false">(F87*가중치!$B$4+G87*가중치!$B$5+H87*가중치!$B$6+I87*가중치!$B$7)/가중치!$B$8</f>
        <v>47.7430555555556</v>
      </c>
      <c r="K87" s="9" t="n">
        <f aca="false">RANK(J87,$J$4:$J$147,0)</f>
        <v>83</v>
      </c>
      <c r="L87" s="10" t="str">
        <f aca="false">IF(F87&gt;=75,"체험 ","")&amp;IF(G87&gt;=75,"숙박 ","")&amp;IF(H87&gt;=75,"저녁 ","")&amp;IF(I87&gt;=75,"야간","")</f>
        <v/>
      </c>
      <c r="M87" s="21" t="n">
        <v>70</v>
      </c>
      <c r="N87" s="21" t="n">
        <v>83</v>
      </c>
      <c r="O87" s="22" t="n">
        <v>0</v>
      </c>
    </row>
    <row r="88" customFormat="false" ht="15" hidden="false" customHeight="false" outlineLevel="0" collapsed="false">
      <c r="A88" s="10" t="s">
        <v>133</v>
      </c>
      <c r="B88" s="18" t="n">
        <v>-0.0957983973062805</v>
      </c>
      <c r="C88" s="19" t="n">
        <v>3.78083333333333</v>
      </c>
      <c r="D88" s="20" t="n">
        <v>0.534812388096313</v>
      </c>
      <c r="E88" s="18" t="n">
        <v>0.0893680012707471</v>
      </c>
      <c r="F88" s="9" t="n">
        <f aca="false">100*(1-(COUNTIF($B$4:$B$147,"&lt;"&amp;B88)+1)/COUNT($B$4:$B$147))</f>
        <v>68.75</v>
      </c>
      <c r="G88" s="9" t="n">
        <f aca="false">100*(1-(COUNTIF($C$4:$C$147,"&lt;"&amp;C88)+1)/COUNT($C$4:$C$147))</f>
        <v>17.3611111111111</v>
      </c>
      <c r="H88" s="9" t="n">
        <f aca="false">100*(1-(COUNTIF($D$4:$D$147,"&lt;"&amp;D88)+1)/COUNT($D$4:$D$147))</f>
        <v>40.9722222222222</v>
      </c>
      <c r="I88" s="9" t="n">
        <f aca="false">100*(1-(COUNTIF($E$4:$E$147,"&lt;"&amp;E88)+1)/COUNT($E$4:$E$147))</f>
        <v>58.3333333333333</v>
      </c>
      <c r="J88" s="15" t="n">
        <f aca="false">(F88*가중치!$B$4+G88*가중치!$B$5+H88*가중치!$B$6+I88*가중치!$B$7)/가중치!$B$8</f>
        <v>46.3541666666667</v>
      </c>
      <c r="K88" s="9" t="n">
        <f aca="false">RANK(J88,$J$4:$J$147,0)</f>
        <v>85</v>
      </c>
      <c r="L88" s="10" t="str">
        <f aca="false">IF(F88&gt;=75,"체험 ","")&amp;IF(G88&gt;=75,"숙박 ","")&amp;IF(H88&gt;=75,"저녁 ","")&amp;IF(I88&gt;=75,"야간","")</f>
        <v/>
      </c>
      <c r="M88" s="21" t="n">
        <v>51</v>
      </c>
      <c r="N88" s="21" t="n">
        <v>114</v>
      </c>
      <c r="O88" s="22" t="n">
        <v>0</v>
      </c>
    </row>
    <row r="89" customFormat="false" ht="15" hidden="false" customHeight="false" outlineLevel="0" collapsed="false">
      <c r="A89" s="10" t="s">
        <v>134</v>
      </c>
      <c r="B89" s="18" t="n">
        <v>-0.240581732362039</v>
      </c>
      <c r="C89" s="19" t="n">
        <v>4.0925</v>
      </c>
      <c r="D89" s="20" t="n">
        <v>0.510488608398825</v>
      </c>
      <c r="E89" s="18" t="n">
        <v>0.0984813642998629</v>
      </c>
      <c r="F89" s="9" t="n">
        <f aca="false">100*(1-(COUNTIF($B$4:$B$147,"&lt;"&amp;B89)+1)/COUNT($B$4:$B$147))</f>
        <v>90.9722222222222</v>
      </c>
      <c r="G89" s="9" t="n">
        <f aca="false">100*(1-(COUNTIF($C$4:$C$147,"&lt;"&amp;C89)+1)/COUNT($C$4:$C$147))</f>
        <v>1.38888888888888</v>
      </c>
      <c r="H89" s="9" t="n">
        <f aca="false">100*(1-(COUNTIF($D$4:$D$147,"&lt;"&amp;D89)+1)/COUNT($D$4:$D$147))</f>
        <v>56.9444444444444</v>
      </c>
      <c r="I89" s="9" t="n">
        <f aca="false">100*(1-(COUNTIF($E$4:$E$147,"&lt;"&amp;E89)+1)/COUNT($E$4:$E$147))</f>
        <v>36.1111111111111</v>
      </c>
      <c r="J89" s="15" t="n">
        <f aca="false">(F89*가중치!$B$4+G89*가중치!$B$5+H89*가중치!$B$6+I89*가중치!$B$7)/가중치!$B$8</f>
        <v>46.3541666666667</v>
      </c>
      <c r="K89" s="9" t="n">
        <f aca="false">RANK(J89,$J$4:$J$147,0)</f>
        <v>86</v>
      </c>
      <c r="L89" s="10" t="str">
        <f aca="false">IF(F89&gt;=75,"체험 ","")&amp;IF(G89&gt;=75,"숙박 ","")&amp;IF(H89&gt;=75,"저녁 ","")&amp;IF(I89&gt;=75,"야간","")</f>
        <v>체험 </v>
      </c>
      <c r="M89" s="21" t="n">
        <v>32</v>
      </c>
      <c r="N89" s="21" t="n">
        <v>130</v>
      </c>
      <c r="O89" s="22" t="n">
        <v>0.024</v>
      </c>
    </row>
    <row r="90" customFormat="false" ht="15" hidden="false" customHeight="false" outlineLevel="0" collapsed="false">
      <c r="A90" s="10" t="s">
        <v>135</v>
      </c>
      <c r="B90" s="18" t="n">
        <v>0.0250423490780784</v>
      </c>
      <c r="C90" s="19" t="n">
        <v>3.75416666666667</v>
      </c>
      <c r="D90" s="20" t="n">
        <v>0.528850402889744</v>
      </c>
      <c r="E90" s="18" t="n">
        <v>0.078808554149098</v>
      </c>
      <c r="F90" s="9" t="n">
        <f aca="false">100*(1-(COUNTIF($B$4:$B$147,"&lt;"&amp;B90)+1)/COUNT($B$4:$B$147))</f>
        <v>38.1944444444444</v>
      </c>
      <c r="G90" s="9" t="n">
        <f aca="false">100*(1-(COUNTIF($C$4:$C$147,"&lt;"&amp;C90)+1)/COUNT($C$4:$C$147))</f>
        <v>20.1388888888889</v>
      </c>
      <c r="H90" s="9" t="n">
        <f aca="false">100*(1-(COUNTIF($D$4:$D$147,"&lt;"&amp;D90)+1)/COUNT($D$4:$D$147))</f>
        <v>45.8333333333333</v>
      </c>
      <c r="I90" s="9" t="n">
        <f aca="false">100*(1-(COUNTIF($E$4:$E$147,"&lt;"&amp;E90)+1)/COUNT($E$4:$E$147))</f>
        <v>81.25</v>
      </c>
      <c r="J90" s="15" t="n">
        <f aca="false">(F90*가중치!$B$4+G90*가중치!$B$5+H90*가중치!$B$6+I90*가중치!$B$7)/가중치!$B$8</f>
        <v>46.3541666666667</v>
      </c>
      <c r="K90" s="9" t="n">
        <f aca="false">RANK(J90,$J$4:$J$147,0)</f>
        <v>86</v>
      </c>
      <c r="L90" s="10" t="str">
        <f aca="false">IF(F90&gt;=75,"체험 ","")&amp;IF(G90&gt;=75,"숙박 ","")&amp;IF(H90&gt;=75,"저녁 ","")&amp;IF(I90&gt;=75,"야간","")</f>
        <v>야간</v>
      </c>
      <c r="M90" s="21" t="n">
        <v>44</v>
      </c>
      <c r="N90" s="21" t="n">
        <v>115</v>
      </c>
      <c r="O90" s="22" t="n">
        <v>0</v>
      </c>
    </row>
    <row r="91" customFormat="false" ht="15" hidden="false" customHeight="false" outlineLevel="0" collapsed="false">
      <c r="A91" s="10" t="s">
        <v>136</v>
      </c>
      <c r="B91" s="18" t="n">
        <v>-0.141394000766589</v>
      </c>
      <c r="C91" s="19" t="n">
        <v>3.62583333333333</v>
      </c>
      <c r="D91" s="20" t="n">
        <v>0.556391330531859</v>
      </c>
      <c r="E91" s="18" t="n">
        <v>0.0974314161710609</v>
      </c>
      <c r="F91" s="9" t="n">
        <f aca="false">100*(1-(COUNTIF($B$4:$B$147,"&lt;"&amp;B91)+1)/COUNT($B$4:$B$147))</f>
        <v>80.5555555555556</v>
      </c>
      <c r="G91" s="9" t="n">
        <f aca="false">100*(1-(COUNTIF($C$4:$C$147,"&lt;"&amp;C91)+1)/COUNT($C$4:$C$147))</f>
        <v>36.8055555555556</v>
      </c>
      <c r="H91" s="9" t="n">
        <f aca="false">100*(1-(COUNTIF($D$4:$D$147,"&lt;"&amp;D91)+1)/COUNT($D$4:$D$147))</f>
        <v>26.3888888888889</v>
      </c>
      <c r="I91" s="9" t="n">
        <f aca="false">100*(1-(COUNTIF($E$4:$E$147,"&lt;"&amp;E91)+1)/COUNT($E$4:$E$147))</f>
        <v>40.9722222222222</v>
      </c>
      <c r="J91" s="15" t="n">
        <f aca="false">(F91*가중치!$B$4+G91*가중치!$B$5+H91*가중치!$B$6+I91*가중치!$B$7)/가중치!$B$8</f>
        <v>46.1805555555556</v>
      </c>
      <c r="K91" s="9" t="n">
        <f aca="false">RANK(J91,$J$4:$J$147,0)</f>
        <v>88</v>
      </c>
      <c r="L91" s="10" t="str">
        <f aca="false">IF(F91&gt;=75,"체험 ","")&amp;IF(G91&gt;=75,"숙박 ","")&amp;IF(H91&gt;=75,"저녁 ","")&amp;IF(I91&gt;=75,"야간","")</f>
        <v>체험 </v>
      </c>
      <c r="M91" s="21" t="n">
        <v>46</v>
      </c>
      <c r="N91" s="21" t="n">
        <v>106</v>
      </c>
      <c r="O91" s="22" t="n">
        <v>0</v>
      </c>
    </row>
    <row r="92" customFormat="false" ht="15" hidden="false" customHeight="false" outlineLevel="0" collapsed="false">
      <c r="A92" s="10" t="s">
        <v>137</v>
      </c>
      <c r="B92" s="18" t="n">
        <v>0.0269979912057969</v>
      </c>
      <c r="C92" s="19" t="n">
        <v>3.40833333333333</v>
      </c>
      <c r="D92" s="20" t="n">
        <v>0.545254459337423</v>
      </c>
      <c r="E92" s="18" t="n">
        <v>0.0940689640474696</v>
      </c>
      <c r="F92" s="9" t="n">
        <f aca="false">100*(1-(COUNTIF($B$4:$B$147,"&lt;"&amp;B92)+1)/COUNT($B$4:$B$147))</f>
        <v>37.5</v>
      </c>
      <c r="G92" s="9" t="n">
        <f aca="false">100*(1-(COUNTIF($C$4:$C$147,"&lt;"&amp;C92)+1)/COUNT($C$4:$C$147))</f>
        <v>65.2777777777778</v>
      </c>
      <c r="H92" s="9" t="n">
        <f aca="false">100*(1-(COUNTIF($D$4:$D$147,"&lt;"&amp;D92)+1)/COUNT($D$4:$D$147))</f>
        <v>32.6388888888889</v>
      </c>
      <c r="I92" s="9" t="n">
        <f aca="false">100*(1-(COUNTIF($E$4:$E$147,"&lt;"&amp;E92)+1)/COUNT($E$4:$E$147))</f>
        <v>47.9166666666667</v>
      </c>
      <c r="J92" s="15" t="n">
        <f aca="false">(F92*가중치!$B$4+G92*가중치!$B$5+H92*가중치!$B$6+I92*가중치!$B$7)/가중치!$B$8</f>
        <v>45.8333333333333</v>
      </c>
      <c r="K92" s="9" t="n">
        <f aca="false">RANK(J92,$J$4:$J$147,0)</f>
        <v>89</v>
      </c>
      <c r="L92" s="10" t="str">
        <f aca="false">IF(F92&gt;=75,"체험 ","")&amp;IF(G92&gt;=75,"숙박 ","")&amp;IF(H92&gt;=75,"저녁 ","")&amp;IF(I92&gt;=75,"야간","")</f>
        <v/>
      </c>
      <c r="M92" s="21" t="n">
        <v>61</v>
      </c>
      <c r="N92" s="21" t="n">
        <v>100</v>
      </c>
      <c r="O92" s="22" t="n">
        <v>0</v>
      </c>
    </row>
    <row r="93" customFormat="false" ht="15" hidden="false" customHeight="false" outlineLevel="0" collapsed="false">
      <c r="A93" s="10" t="s">
        <v>138</v>
      </c>
      <c r="B93" s="18" t="n">
        <v>-0.0492164014152981</v>
      </c>
      <c r="C93" s="19" t="n">
        <v>3.53083333333333</v>
      </c>
      <c r="D93" s="20" t="n">
        <v>0.568225718537623</v>
      </c>
      <c r="E93" s="18" t="n">
        <v>0.0950456059673503</v>
      </c>
      <c r="F93" s="9" t="n">
        <f aca="false">100*(1-(COUNTIF($B$4:$B$147,"&lt;"&amp;B93)+1)/COUNT($B$4:$B$147))</f>
        <v>60.4166666666667</v>
      </c>
      <c r="G93" s="9" t="n">
        <f aca="false">100*(1-(COUNTIF($C$4:$C$147,"&lt;"&amp;C93)+1)/COUNT($C$4:$C$147))</f>
        <v>53.4722222222222</v>
      </c>
      <c r="H93" s="9" t="n">
        <f aca="false">100*(1-(COUNTIF($D$4:$D$147,"&lt;"&amp;D93)+1)/COUNT($D$4:$D$147))</f>
        <v>20.8333333333333</v>
      </c>
      <c r="I93" s="9" t="n">
        <f aca="false">100*(1-(COUNTIF($E$4:$E$147,"&lt;"&amp;E93)+1)/COUNT($E$4:$E$147))</f>
        <v>46.5277777777778</v>
      </c>
      <c r="J93" s="15" t="n">
        <f aca="false">(F93*가중치!$B$4+G93*가중치!$B$5+H93*가중치!$B$6+I93*가중치!$B$7)/가중치!$B$8</f>
        <v>45.3125</v>
      </c>
      <c r="K93" s="9" t="n">
        <f aca="false">RANK(J93,$J$4:$J$147,0)</f>
        <v>90</v>
      </c>
      <c r="L93" s="10" t="str">
        <f aca="false">IF(F93&gt;=75,"체험 ","")&amp;IF(G93&gt;=75,"숙박 ","")&amp;IF(H93&gt;=75,"저녁 ","")&amp;IF(I93&gt;=75,"야간","")</f>
        <v/>
      </c>
      <c r="M93" s="21" t="n">
        <v>62</v>
      </c>
      <c r="N93" s="21" t="n">
        <v>104</v>
      </c>
      <c r="O93" s="22" t="n">
        <v>0</v>
      </c>
    </row>
    <row r="94" customFormat="false" ht="15" hidden="false" customHeight="false" outlineLevel="0" collapsed="false">
      <c r="A94" s="10" t="s">
        <v>139</v>
      </c>
      <c r="B94" s="18" t="n">
        <v>0.100750488764491</v>
      </c>
      <c r="C94" s="19" t="n">
        <v>3.56916666666667</v>
      </c>
      <c r="D94" s="20" t="n">
        <v>0.494684220561697</v>
      </c>
      <c r="E94" s="18" t="n">
        <v>0.0956950214620896</v>
      </c>
      <c r="F94" s="9" t="n">
        <f aca="false">100*(1-(COUNTIF($B$4:$B$147,"&lt;"&amp;B94)+1)/COUNT($B$4:$B$147))</f>
        <v>27.7777777777778</v>
      </c>
      <c r="G94" s="9" t="n">
        <f aca="false">100*(1-(COUNTIF($C$4:$C$147,"&lt;"&amp;C94)+1)/COUNT($C$4:$C$147))</f>
        <v>46.5277777777778</v>
      </c>
      <c r="H94" s="9" t="n">
        <f aca="false">100*(1-(COUNTIF($D$4:$D$147,"&lt;"&amp;D94)+1)/COUNT($D$4:$D$147))</f>
        <v>64.5833333333333</v>
      </c>
      <c r="I94" s="9" t="n">
        <f aca="false">100*(1-(COUNTIF($E$4:$E$147,"&lt;"&amp;E94)+1)/COUNT($E$4:$E$147))</f>
        <v>41.6666666666667</v>
      </c>
      <c r="J94" s="15" t="n">
        <f aca="false">(F94*가중치!$B$4+G94*가중치!$B$5+H94*가중치!$B$6+I94*가중치!$B$7)/가중치!$B$8</f>
        <v>45.1388888888889</v>
      </c>
      <c r="K94" s="9" t="n">
        <f aca="false">RANK(J94,$J$4:$J$147,0)</f>
        <v>91</v>
      </c>
      <c r="L94" s="10" t="str">
        <f aca="false">IF(F94&gt;=75,"체험 ","")&amp;IF(G94&gt;=75,"숙박 ","")&amp;IF(H94&gt;=75,"저녁 ","")&amp;IF(I94&gt;=75,"야간","")</f>
        <v/>
      </c>
      <c r="M94" s="21" t="n">
        <v>65</v>
      </c>
      <c r="N94" s="21" t="n">
        <v>104</v>
      </c>
      <c r="O94" s="22" t="n">
        <v>0</v>
      </c>
    </row>
    <row r="95" customFormat="false" ht="15" hidden="false" customHeight="false" outlineLevel="0" collapsed="false">
      <c r="A95" s="10" t="s">
        <v>140</v>
      </c>
      <c r="B95" s="18" t="n">
        <v>-0.28984345457546</v>
      </c>
      <c r="C95" s="19" t="n">
        <v>3.56333333333333</v>
      </c>
      <c r="D95" s="20" t="n">
        <v>0.572365714499801</v>
      </c>
      <c r="E95" s="18" t="n">
        <v>0.108855223234478</v>
      </c>
      <c r="F95" s="9" t="n">
        <f aca="false">100*(1-(COUNTIF($B$4:$B$147,"&lt;"&amp;B95)+1)/COUNT($B$4:$B$147))</f>
        <v>95.1388888888889</v>
      </c>
      <c r="G95" s="9" t="n">
        <f aca="false">100*(1-(COUNTIF($C$4:$C$147,"&lt;"&amp;C95)+1)/COUNT($C$4:$C$147))</f>
        <v>48.6111111111111</v>
      </c>
      <c r="H95" s="9" t="n">
        <f aca="false">100*(1-(COUNTIF($D$4:$D$147,"&lt;"&amp;D95)+1)/COUNT($D$4:$D$147))</f>
        <v>18.75</v>
      </c>
      <c r="I95" s="9" t="n">
        <f aca="false">100*(1-(COUNTIF($E$4:$E$147,"&lt;"&amp;E95)+1)/COUNT($E$4:$E$147))</f>
        <v>18.0555555555556</v>
      </c>
      <c r="J95" s="15" t="n">
        <f aca="false">(F95*가중치!$B$4+G95*가중치!$B$5+H95*가중치!$B$6+I95*가중치!$B$7)/가중치!$B$8</f>
        <v>45.1388888888889</v>
      </c>
      <c r="K95" s="9" t="n">
        <f aca="false">RANK(J95,$J$4:$J$147,0)</f>
        <v>91</v>
      </c>
      <c r="L95" s="10" t="str">
        <f aca="false">IF(F95&gt;=75,"체험 ","")&amp;IF(G95&gt;=75,"숙박 ","")&amp;IF(H95&gt;=75,"저녁 ","")&amp;IF(I95&gt;=75,"야간","")</f>
        <v>체험 </v>
      </c>
      <c r="M95" s="21" t="n">
        <v>34</v>
      </c>
      <c r="N95" s="21" t="n">
        <v>118</v>
      </c>
      <c r="O95" s="22" t="n">
        <v>0.025</v>
      </c>
    </row>
    <row r="96" customFormat="false" ht="15" hidden="false" customHeight="false" outlineLevel="0" collapsed="false">
      <c r="A96" s="10" t="s">
        <v>141</v>
      </c>
      <c r="B96" s="18" t="n">
        <v>0.264171937396935</v>
      </c>
      <c r="C96" s="19" t="n">
        <v>2.91166666666667</v>
      </c>
      <c r="D96" s="20" t="n">
        <v>0.53567305361454</v>
      </c>
      <c r="E96" s="18" t="n">
        <v>0.0997567295666897</v>
      </c>
      <c r="F96" s="9" t="n">
        <f aca="false">100*(1-(COUNTIF($B$4:$B$147,"&lt;"&amp;B96)+1)/COUNT($B$4:$B$147))</f>
        <v>13.8888888888889</v>
      </c>
      <c r="G96" s="9" t="n">
        <f aca="false">100*(1-(COUNTIF($C$4:$C$147,"&lt;"&amp;C96)+1)/COUNT($C$4:$C$147))</f>
        <v>90.2777777777778</v>
      </c>
      <c r="H96" s="9" t="n">
        <f aca="false">100*(1-(COUNTIF($D$4:$D$147,"&lt;"&amp;D96)+1)/COUNT($D$4:$D$147))</f>
        <v>38.8888888888889</v>
      </c>
      <c r="I96" s="9" t="n">
        <f aca="false">100*(1-(COUNTIF($E$4:$E$147,"&lt;"&amp;E96)+1)/COUNT($E$4:$E$147))</f>
        <v>33.3333333333333</v>
      </c>
      <c r="J96" s="15" t="n">
        <f aca="false">(F96*가중치!$B$4+G96*가중치!$B$5+H96*가중치!$B$6+I96*가중치!$B$7)/가중치!$B$8</f>
        <v>44.0972222222222</v>
      </c>
      <c r="K96" s="9" t="n">
        <f aca="false">RANK(J96,$J$4:$J$147,0)</f>
        <v>93</v>
      </c>
      <c r="L96" s="10" t="str">
        <f aca="false">IF(F96&gt;=75,"체험 ","")&amp;IF(G96&gt;=75,"숙박 ","")&amp;IF(H96&gt;=75,"저녁 ","")&amp;IF(I96&gt;=75,"야간","")</f>
        <v>숙박 </v>
      </c>
      <c r="M96" s="21" t="n">
        <v>39</v>
      </c>
      <c r="N96" s="21" t="n">
        <v>120</v>
      </c>
      <c r="O96" s="22" t="n">
        <v>0.018</v>
      </c>
    </row>
    <row r="97" customFormat="false" ht="15" hidden="false" customHeight="false" outlineLevel="0" collapsed="false">
      <c r="A97" s="10" t="s">
        <v>142</v>
      </c>
      <c r="B97" s="18" t="n">
        <v>-0.155829505635152</v>
      </c>
      <c r="C97" s="19" t="n">
        <v>3.68916666666667</v>
      </c>
      <c r="D97" s="20" t="n">
        <v>0.546840755510401</v>
      </c>
      <c r="E97" s="18" t="n">
        <v>0.0990704860795047</v>
      </c>
      <c r="F97" s="9" t="n">
        <f aca="false">100*(1-(COUNTIF($B$4:$B$147,"&lt;"&amp;B97)+1)/COUNT($B$4:$B$147))</f>
        <v>83.3333333333333</v>
      </c>
      <c r="G97" s="9" t="n">
        <f aca="false">100*(1-(COUNTIF($C$4:$C$147,"&lt;"&amp;C97)+1)/COUNT($C$4:$C$147))</f>
        <v>25</v>
      </c>
      <c r="H97" s="9" t="n">
        <f aca="false">100*(1-(COUNTIF($D$4:$D$147,"&lt;"&amp;D97)+1)/COUNT($D$4:$D$147))</f>
        <v>31.25</v>
      </c>
      <c r="I97" s="9" t="n">
        <f aca="false">100*(1-(COUNTIF($E$4:$E$147,"&lt;"&amp;E97)+1)/COUNT($E$4:$E$147))</f>
        <v>34.7222222222222</v>
      </c>
      <c r="J97" s="15" t="n">
        <f aca="false">(F97*가중치!$B$4+G97*가중치!$B$5+H97*가중치!$B$6+I97*가중치!$B$7)/가중치!$B$8</f>
        <v>43.5763888888889</v>
      </c>
      <c r="K97" s="9" t="n">
        <f aca="false">RANK(J97,$J$4:$J$147,0)</f>
        <v>94</v>
      </c>
      <c r="L97" s="10" t="str">
        <f aca="false">IF(F97&gt;=75,"체험 ","")&amp;IF(G97&gt;=75,"숙박 ","")&amp;IF(H97&gt;=75,"저녁 ","")&amp;IF(I97&gt;=75,"야간","")</f>
        <v>체험 </v>
      </c>
      <c r="M97" s="21" t="n">
        <v>46</v>
      </c>
      <c r="N97" s="21" t="n">
        <v>118</v>
      </c>
      <c r="O97" s="22" t="n">
        <v>0</v>
      </c>
    </row>
    <row r="98" customFormat="false" ht="15" hidden="false" customHeight="false" outlineLevel="0" collapsed="false">
      <c r="A98" s="10" t="s">
        <v>143</v>
      </c>
      <c r="B98" s="18" t="n">
        <v>-0.125257240592443</v>
      </c>
      <c r="C98" s="19" t="n">
        <v>3.80833333333333</v>
      </c>
      <c r="D98" s="20" t="n">
        <v>0.575752626790126</v>
      </c>
      <c r="E98" s="18" t="n">
        <v>0.088178381665892</v>
      </c>
      <c r="F98" s="9" t="n">
        <f aca="false">100*(1-(COUNTIF($B$4:$B$147,"&lt;"&amp;B98)+1)/COUNT($B$4:$B$147))</f>
        <v>77.0833333333333</v>
      </c>
      <c r="G98" s="9" t="n">
        <f aca="false">100*(1-(COUNTIF($C$4:$C$147,"&lt;"&amp;C98)+1)/COUNT($C$4:$C$147))</f>
        <v>16.6666666666667</v>
      </c>
      <c r="H98" s="9" t="n">
        <f aca="false">100*(1-(COUNTIF($D$4:$D$147,"&lt;"&amp;D98)+1)/COUNT($D$4:$D$147))</f>
        <v>17.3611111111111</v>
      </c>
      <c r="I98" s="9" t="n">
        <f aca="false">100*(1-(COUNTIF($E$4:$E$147,"&lt;"&amp;E98)+1)/COUNT($E$4:$E$147))</f>
        <v>61.8055555555556</v>
      </c>
      <c r="J98" s="15" t="n">
        <f aca="false">(F98*가중치!$B$4+G98*가중치!$B$5+H98*가중치!$B$6+I98*가중치!$B$7)/가중치!$B$8</f>
        <v>43.2291666666667</v>
      </c>
      <c r="K98" s="9" t="n">
        <f aca="false">RANK(J98,$J$4:$J$147,0)</f>
        <v>95</v>
      </c>
      <c r="L98" s="10" t="str">
        <f aca="false">IF(F98&gt;=75,"체험 ","")&amp;IF(G98&gt;=75,"숙박 ","")&amp;IF(H98&gt;=75,"저녁 ","")&amp;IF(I98&gt;=75,"야간","")</f>
        <v>체험 </v>
      </c>
      <c r="M98" s="21" t="n">
        <v>48</v>
      </c>
      <c r="N98" s="21" t="n">
        <v>125</v>
      </c>
      <c r="O98" s="22" t="n">
        <v>0</v>
      </c>
    </row>
    <row r="99" customFormat="false" ht="15" hidden="false" customHeight="false" outlineLevel="0" collapsed="false">
      <c r="A99" s="10" t="s">
        <v>144</v>
      </c>
      <c r="B99" s="18" t="n">
        <v>0.14519710145132</v>
      </c>
      <c r="C99" s="19" t="n">
        <v>3.90666666666667</v>
      </c>
      <c r="D99" s="20" t="n">
        <v>0.47088133855692</v>
      </c>
      <c r="E99" s="18" t="n">
        <v>0.0889507225231863</v>
      </c>
      <c r="F99" s="9" t="n">
        <f aca="false">100*(1-(COUNTIF($B$4:$B$147,"&lt;"&amp;B99)+1)/COUNT($B$4:$B$147))</f>
        <v>20.8333333333333</v>
      </c>
      <c r="G99" s="9" t="n">
        <f aca="false">100*(1-(COUNTIF($C$4:$C$147,"&lt;"&amp;C99)+1)/COUNT($C$4:$C$147))</f>
        <v>10.4166666666667</v>
      </c>
      <c r="H99" s="9" t="n">
        <f aca="false">100*(1-(COUNTIF($D$4:$D$147,"&lt;"&amp;D99)+1)/COUNT($D$4:$D$147))</f>
        <v>80.5555555555556</v>
      </c>
      <c r="I99" s="9" t="n">
        <f aca="false">100*(1-(COUNTIF($E$4:$E$147,"&lt;"&amp;E99)+1)/COUNT($E$4:$E$147))</f>
        <v>59.0277777777778</v>
      </c>
      <c r="J99" s="15" t="n">
        <f aca="false">(F99*가중치!$B$4+G99*가중치!$B$5+H99*가중치!$B$6+I99*가중치!$B$7)/가중치!$B$8</f>
        <v>42.7083333333333</v>
      </c>
      <c r="K99" s="9" t="n">
        <f aca="false">RANK(J99,$J$4:$J$147,0)</f>
        <v>96</v>
      </c>
      <c r="L99" s="10" t="str">
        <f aca="false">IF(F99&gt;=75,"체험 ","")&amp;IF(G99&gt;=75,"숙박 ","")&amp;IF(H99&gt;=75,"저녁 ","")&amp;IF(I99&gt;=75,"야간","")</f>
        <v>저녁 </v>
      </c>
      <c r="M99" s="21" t="n">
        <v>53</v>
      </c>
      <c r="N99" s="21" t="n">
        <v>131</v>
      </c>
      <c r="O99" s="22" t="n">
        <v>0</v>
      </c>
    </row>
    <row r="100" customFormat="false" ht="15" hidden="false" customHeight="false" outlineLevel="0" collapsed="false">
      <c r="A100" s="10" t="s">
        <v>145</v>
      </c>
      <c r="B100" s="18" t="n">
        <v>0.0166136158802965</v>
      </c>
      <c r="C100" s="19" t="n">
        <v>3.065</v>
      </c>
      <c r="D100" s="20" t="n">
        <v>0.549748648997566</v>
      </c>
      <c r="E100" s="18" t="n">
        <v>0.110253768996466</v>
      </c>
      <c r="F100" s="9" t="n">
        <f aca="false">100*(1-(COUNTIF($B$4:$B$147,"&lt;"&amp;B100)+1)/COUNT($B$4:$B$147))</f>
        <v>41.6666666666667</v>
      </c>
      <c r="G100" s="9" t="n">
        <f aca="false">100*(1-(COUNTIF($C$4:$C$147,"&lt;"&amp;C100)+1)/COUNT($C$4:$C$147))</f>
        <v>83.3333333333333</v>
      </c>
      <c r="H100" s="9" t="n">
        <f aca="false">100*(1-(COUNTIF($D$4:$D$147,"&lt;"&amp;D100)+1)/COUNT($D$4:$D$147))</f>
        <v>30.5555555555556</v>
      </c>
      <c r="I100" s="9" t="n">
        <f aca="false">100*(1-(COUNTIF($E$4:$E$147,"&lt;"&amp;E100)+1)/COUNT($E$4:$E$147))</f>
        <v>14.5833333333333</v>
      </c>
      <c r="J100" s="15" t="n">
        <f aca="false">(F100*가중치!$B$4+G100*가중치!$B$5+H100*가중치!$B$6+I100*가중치!$B$7)/가중치!$B$8</f>
        <v>42.5347222222222</v>
      </c>
      <c r="K100" s="9" t="n">
        <f aca="false">RANK(J100,$J$4:$J$147,0)</f>
        <v>97</v>
      </c>
      <c r="L100" s="10" t="str">
        <f aca="false">IF(F100&gt;=75,"체험 ","")&amp;IF(G100&gt;=75,"숙박 ","")&amp;IF(H100&gt;=75,"저녁 ","")&amp;IF(I100&gt;=75,"야간","")</f>
        <v>숙박 </v>
      </c>
      <c r="M100" s="21" t="n">
        <v>49</v>
      </c>
      <c r="N100" s="21" t="n">
        <v>119</v>
      </c>
      <c r="O100" s="22" t="n">
        <v>0</v>
      </c>
    </row>
    <row r="101" customFormat="false" ht="15" hidden="false" customHeight="false" outlineLevel="0" collapsed="false">
      <c r="A101" s="10" t="s">
        <v>146</v>
      </c>
      <c r="B101" s="18" t="n">
        <v>-0.0303751815156891</v>
      </c>
      <c r="C101" s="19" t="n">
        <v>3.60416666666667</v>
      </c>
      <c r="D101" s="20" t="n">
        <v>0.553845582677847</v>
      </c>
      <c r="E101" s="18" t="n">
        <v>0.0920390662341759</v>
      </c>
      <c r="F101" s="9" t="n">
        <f aca="false">100*(1-(COUNTIF($B$4:$B$147,"&lt;"&amp;B101)+1)/COUNT($B$4:$B$147))</f>
        <v>52.7777777777778</v>
      </c>
      <c r="G101" s="9" t="n">
        <f aca="false">100*(1-(COUNTIF($C$4:$C$147,"&lt;"&amp;C101)+1)/COUNT($C$4:$C$147))</f>
        <v>37.5</v>
      </c>
      <c r="H101" s="9" t="n">
        <f aca="false">100*(1-(COUNTIF($D$4:$D$147,"&lt;"&amp;D101)+1)/COUNT($D$4:$D$147))</f>
        <v>27.7777777777778</v>
      </c>
      <c r="I101" s="9" t="n">
        <f aca="false">100*(1-(COUNTIF($E$4:$E$147,"&lt;"&amp;E101)+1)/COUNT($E$4:$E$147))</f>
        <v>50</v>
      </c>
      <c r="J101" s="15" t="n">
        <f aca="false">(F101*가중치!$B$4+G101*가중치!$B$5+H101*가중치!$B$6+I101*가중치!$B$7)/가중치!$B$8</f>
        <v>42.0138888888889</v>
      </c>
      <c r="K101" s="9" t="n">
        <f aca="false">RANK(J101,$J$4:$J$147,0)</f>
        <v>98</v>
      </c>
      <c r="L101" s="10" t="str">
        <f aca="false">IF(F101&gt;=75,"체험 ","")&amp;IF(G101&gt;=75,"숙박 ","")&amp;IF(H101&gt;=75,"저녁 ","")&amp;IF(I101&gt;=75,"야간","")</f>
        <v/>
      </c>
      <c r="M101" s="21" t="n">
        <v>77</v>
      </c>
      <c r="N101" s="21" t="n">
        <v>107</v>
      </c>
      <c r="O101" s="22" t="n">
        <v>0</v>
      </c>
    </row>
    <row r="102" customFormat="false" ht="15" hidden="false" customHeight="false" outlineLevel="0" collapsed="false">
      <c r="A102" s="10" t="s">
        <v>147</v>
      </c>
      <c r="B102" s="18" t="n">
        <v>-0.048099583088364</v>
      </c>
      <c r="C102" s="19" t="n">
        <v>3.48166666666667</v>
      </c>
      <c r="D102" s="20" t="n">
        <v>0.561792967880514</v>
      </c>
      <c r="E102" s="18" t="n">
        <v>0.105500634641672</v>
      </c>
      <c r="F102" s="9" t="n">
        <f aca="false">100*(1-(COUNTIF($B$4:$B$147,"&lt;"&amp;B102)+1)/COUNT($B$4:$B$147))</f>
        <v>59.7222222222222</v>
      </c>
      <c r="G102" s="9" t="n">
        <f aca="false">100*(1-(COUNTIF($C$4:$C$147,"&lt;"&amp;C102)+1)/COUNT($C$4:$C$147))</f>
        <v>61.1111111111111</v>
      </c>
      <c r="H102" s="9" t="n">
        <f aca="false">100*(1-(COUNTIF($D$4:$D$147,"&lt;"&amp;D102)+1)/COUNT($D$4:$D$147))</f>
        <v>24.3055555555556</v>
      </c>
      <c r="I102" s="9" t="n">
        <f aca="false">100*(1-(COUNTIF($E$4:$E$147,"&lt;"&amp;E102)+1)/COUNT($E$4:$E$147))</f>
        <v>21.5277777777778</v>
      </c>
      <c r="J102" s="15" t="n">
        <f aca="false">(F102*가중치!$B$4+G102*가중치!$B$5+H102*가중치!$B$6+I102*가중치!$B$7)/가중치!$B$8</f>
        <v>41.6666666666667</v>
      </c>
      <c r="K102" s="9" t="n">
        <f aca="false">RANK(J102,$J$4:$J$147,0)</f>
        <v>99</v>
      </c>
      <c r="L102" s="10" t="str">
        <f aca="false">IF(F102&gt;=75,"체험 ","")&amp;IF(G102&gt;=75,"숙박 ","")&amp;IF(H102&gt;=75,"저녁 ","")&amp;IF(I102&gt;=75,"야간","")</f>
        <v/>
      </c>
      <c r="M102" s="21" t="n">
        <v>64</v>
      </c>
      <c r="N102" s="21" t="n">
        <v>112</v>
      </c>
      <c r="O102" s="22" t="n">
        <v>0</v>
      </c>
    </row>
    <row r="103" customFormat="false" ht="15" hidden="false" customHeight="false" outlineLevel="0" collapsed="false">
      <c r="A103" s="10" t="s">
        <v>148</v>
      </c>
      <c r="B103" s="18" t="n">
        <v>0.195652903878827</v>
      </c>
      <c r="C103" s="19" t="n">
        <v>3.655</v>
      </c>
      <c r="D103" s="20" t="n">
        <v>0.499630789580561</v>
      </c>
      <c r="E103" s="18" t="n">
        <v>0.0901068322403025</v>
      </c>
      <c r="F103" s="9" t="n">
        <f aca="false">100*(1-(COUNTIF($B$4:$B$147,"&lt;"&amp;B103)+1)/COUNT($B$4:$B$147))</f>
        <v>17.3611111111111</v>
      </c>
      <c r="G103" s="9" t="n">
        <f aca="false">100*(1-(COUNTIF($C$4:$C$147,"&lt;"&amp;C103)+1)/COUNT($C$4:$C$147))</f>
        <v>31.25</v>
      </c>
      <c r="H103" s="9" t="n">
        <f aca="false">100*(1-(COUNTIF($D$4:$D$147,"&lt;"&amp;D103)+1)/COUNT($D$4:$D$147))</f>
        <v>61.8055555555556</v>
      </c>
      <c r="I103" s="9" t="n">
        <f aca="false">100*(1-(COUNTIF($E$4:$E$147,"&lt;"&amp;E103)+1)/COUNT($E$4:$E$147))</f>
        <v>56.25</v>
      </c>
      <c r="J103" s="15" t="n">
        <f aca="false">(F103*가중치!$B$4+G103*가중치!$B$5+H103*가중치!$B$6+I103*가중치!$B$7)/가중치!$B$8</f>
        <v>41.6666666666667</v>
      </c>
      <c r="K103" s="9" t="n">
        <f aca="false">RANK(J103,$J$4:$J$147,0)</f>
        <v>99</v>
      </c>
      <c r="L103" s="10" t="str">
        <f aca="false">IF(F103&gt;=75,"체험 ","")&amp;IF(G103&gt;=75,"숙박 ","")&amp;IF(H103&gt;=75,"저녁 ","")&amp;IF(I103&gt;=75,"야간","")</f>
        <v/>
      </c>
      <c r="M103" s="21" t="n">
        <v>66</v>
      </c>
      <c r="N103" s="21" t="n">
        <v>120</v>
      </c>
      <c r="O103" s="22" t="n">
        <v>0</v>
      </c>
    </row>
    <row r="104" customFormat="false" ht="15" hidden="false" customHeight="false" outlineLevel="0" collapsed="false">
      <c r="A104" s="10" t="s">
        <v>149</v>
      </c>
      <c r="B104" s="18" t="n">
        <v>-0.0169152592890452</v>
      </c>
      <c r="C104" s="19" t="n">
        <v>3.51416666666667</v>
      </c>
      <c r="D104" s="20" t="n">
        <v>0.599500615588984</v>
      </c>
      <c r="E104" s="18" t="n">
        <v>0.0913087784385496</v>
      </c>
      <c r="F104" s="9" t="n">
        <f aca="false">100*(1-(COUNTIF($B$4:$B$147,"&lt;"&amp;B104)+1)/COUNT($B$4:$B$147))</f>
        <v>48.6111111111111</v>
      </c>
      <c r="G104" s="9" t="n">
        <f aca="false">100*(1-(COUNTIF($C$4:$C$147,"&lt;"&amp;C104)+1)/COUNT($C$4:$C$147))</f>
        <v>54.8611111111111</v>
      </c>
      <c r="H104" s="9" t="n">
        <f aca="false">100*(1-(COUNTIF($D$4:$D$147,"&lt;"&amp;D104)+1)/COUNT($D$4:$D$147))</f>
        <v>7.63888888888888</v>
      </c>
      <c r="I104" s="9" t="n">
        <f aca="false">100*(1-(COUNTIF($E$4:$E$147,"&lt;"&amp;E104)+1)/COUNT($E$4:$E$147))</f>
        <v>53.4722222222222</v>
      </c>
      <c r="J104" s="15" t="n">
        <f aca="false">(F104*가중치!$B$4+G104*가중치!$B$5+H104*가중치!$B$6+I104*가중치!$B$7)/가중치!$B$8</f>
        <v>41.1458333333333</v>
      </c>
      <c r="K104" s="9" t="n">
        <f aca="false">RANK(J104,$J$4:$J$147,0)</f>
        <v>101</v>
      </c>
      <c r="L104" s="10" t="str">
        <f aca="false">IF(F104&gt;=75,"체험 ","")&amp;IF(G104&gt;=75,"숙박 ","")&amp;IF(H104&gt;=75,"저녁 ","")&amp;IF(I104&gt;=75,"야간","")</f>
        <v/>
      </c>
      <c r="M104" s="21" t="n">
        <v>69</v>
      </c>
      <c r="N104" s="21" t="n">
        <v>120</v>
      </c>
      <c r="O104" s="22" t="n">
        <v>0</v>
      </c>
    </row>
    <row r="105" customFormat="false" ht="15" hidden="false" customHeight="false" outlineLevel="0" collapsed="false">
      <c r="A105" s="10" t="s">
        <v>150</v>
      </c>
      <c r="B105" s="18" t="n">
        <v>0.704662298686096</v>
      </c>
      <c r="C105" s="19" t="n">
        <v>3.71</v>
      </c>
      <c r="D105" s="20" t="n">
        <v>0.456435539238794</v>
      </c>
      <c r="E105" s="18" t="n">
        <v>0.0911664444658086</v>
      </c>
      <c r="F105" s="9" t="n">
        <f aca="false">100*(1-(COUNTIF($B$4:$B$147,"&lt;"&amp;B105)+1)/COUNT($B$4:$B$147))</f>
        <v>3.47222222222222</v>
      </c>
      <c r="G105" s="9" t="n">
        <f aca="false">100*(1-(COUNTIF($C$4:$C$147,"&lt;"&amp;C105)+1)/COUNT($C$4:$C$147))</f>
        <v>22.9166666666667</v>
      </c>
      <c r="H105" s="9" t="n">
        <f aca="false">100*(1-(COUNTIF($D$4:$D$147,"&lt;"&amp;D105)+1)/COUNT($D$4:$D$147))</f>
        <v>84.0277777777778</v>
      </c>
      <c r="I105" s="9" t="n">
        <f aca="false">100*(1-(COUNTIF($E$4:$E$147,"&lt;"&amp;E105)+1)/COUNT($E$4:$E$147))</f>
        <v>54.1666666666667</v>
      </c>
      <c r="J105" s="15" t="n">
        <f aca="false">(F105*가중치!$B$4+G105*가중치!$B$5+H105*가중치!$B$6+I105*가중치!$B$7)/가중치!$B$8</f>
        <v>41.1458333333333</v>
      </c>
      <c r="K105" s="9" t="n">
        <f aca="false">RANK(J105,$J$4:$J$147,0)</f>
        <v>101</v>
      </c>
      <c r="L105" s="10" t="str">
        <f aca="false">IF(F105&gt;=75,"체험 ","")&amp;IF(G105&gt;=75,"숙박 ","")&amp;IF(H105&gt;=75,"저녁 ","")&amp;IF(I105&gt;=75,"야간","")</f>
        <v>저녁 </v>
      </c>
      <c r="M105" s="21" t="n">
        <v>53</v>
      </c>
      <c r="N105" s="21" t="n">
        <v>136</v>
      </c>
      <c r="O105" s="22" t="n">
        <v>0</v>
      </c>
    </row>
    <row r="106" customFormat="false" ht="15" hidden="false" customHeight="false" outlineLevel="0" collapsed="false">
      <c r="A106" s="10" t="s">
        <v>151</v>
      </c>
      <c r="B106" s="18" t="n">
        <v>-0.0344508440076413</v>
      </c>
      <c r="C106" s="19" t="n">
        <v>3.90166666666667</v>
      </c>
      <c r="D106" s="20" t="n">
        <v>0.54320879158875</v>
      </c>
      <c r="E106" s="18" t="n">
        <v>0.0874652836457672</v>
      </c>
      <c r="F106" s="9" t="n">
        <f aca="false">100*(1-(COUNTIF($B$4:$B$147,"&lt;"&amp;B106)+1)/COUNT($B$4:$B$147))</f>
        <v>54.8611111111111</v>
      </c>
      <c r="G106" s="9" t="n">
        <f aca="false">100*(1-(COUNTIF($C$4:$C$147,"&lt;"&amp;C106)+1)/COUNT($C$4:$C$147))</f>
        <v>11.1111111111111</v>
      </c>
      <c r="H106" s="9" t="n">
        <f aca="false">100*(1-(COUNTIF($D$4:$D$147,"&lt;"&amp;D106)+1)/COUNT($D$4:$D$147))</f>
        <v>34.0277777777778</v>
      </c>
      <c r="I106" s="9" t="n">
        <f aca="false">100*(1-(COUNTIF($E$4:$E$147,"&lt;"&amp;E106)+1)/COUNT($E$4:$E$147))</f>
        <v>63.8888888888889</v>
      </c>
      <c r="J106" s="15" t="n">
        <f aca="false">(F106*가중치!$B$4+G106*가중치!$B$5+H106*가중치!$B$6+I106*가중치!$B$7)/가중치!$B$8</f>
        <v>40.9722222222222</v>
      </c>
      <c r="K106" s="9" t="n">
        <f aca="false">RANK(J106,$J$4:$J$147,0)</f>
        <v>103</v>
      </c>
      <c r="L106" s="10" t="str">
        <f aca="false">IF(F106&gt;=75,"체험 ","")&amp;IF(G106&gt;=75,"숙박 ","")&amp;IF(H106&gt;=75,"저녁 ","")&amp;IF(I106&gt;=75,"야간","")</f>
        <v/>
      </c>
      <c r="M106" s="21" t="n">
        <v>62</v>
      </c>
      <c r="N106" s="21" t="n">
        <v>128</v>
      </c>
      <c r="O106" s="22" t="n">
        <v>0</v>
      </c>
    </row>
    <row r="107" customFormat="false" ht="15" hidden="false" customHeight="false" outlineLevel="0" collapsed="false">
      <c r="A107" s="10" t="s">
        <v>152</v>
      </c>
      <c r="B107" s="18" t="n">
        <v>-0.0164574253782086</v>
      </c>
      <c r="C107" s="19" t="n">
        <v>3.71833333333333</v>
      </c>
      <c r="D107" s="20" t="n">
        <v>0.534126411417536</v>
      </c>
      <c r="E107" s="18" t="n">
        <v>0.0920252914699011</v>
      </c>
      <c r="F107" s="9" t="n">
        <f aca="false">100*(1-(COUNTIF($B$4:$B$147,"&lt;"&amp;B107)+1)/COUNT($B$4:$B$147))</f>
        <v>47.9166666666667</v>
      </c>
      <c r="G107" s="9" t="n">
        <f aca="false">100*(1-(COUNTIF($C$4:$C$147,"&lt;"&amp;C107)+1)/COUNT($C$4:$C$147))</f>
        <v>22.2222222222222</v>
      </c>
      <c r="H107" s="9" t="n">
        <f aca="false">100*(1-(COUNTIF($D$4:$D$147,"&lt;"&amp;D107)+1)/COUNT($D$4:$D$147))</f>
        <v>42.3611111111111</v>
      </c>
      <c r="I107" s="9" t="n">
        <f aca="false">100*(1-(COUNTIF($E$4:$E$147,"&lt;"&amp;E107)+1)/COUNT($E$4:$E$147))</f>
        <v>50.6944444444444</v>
      </c>
      <c r="J107" s="15" t="n">
        <f aca="false">(F107*가중치!$B$4+G107*가중치!$B$5+H107*가중치!$B$6+I107*가중치!$B$7)/가중치!$B$8</f>
        <v>40.7986111111111</v>
      </c>
      <c r="K107" s="9" t="n">
        <f aca="false">RANK(J107,$J$4:$J$147,0)</f>
        <v>104</v>
      </c>
      <c r="L107" s="10" t="str">
        <f aca="false">IF(F107&gt;=75,"체험 ","")&amp;IF(G107&gt;=75,"숙박 ","")&amp;IF(H107&gt;=75,"저녁 ","")&amp;IF(I107&gt;=75,"야간","")</f>
        <v/>
      </c>
      <c r="M107" s="21" t="n">
        <v>78</v>
      </c>
      <c r="N107" s="21" t="n">
        <v>118</v>
      </c>
      <c r="O107" s="22" t="n">
        <v>0</v>
      </c>
    </row>
    <row r="108" customFormat="false" ht="15" hidden="false" customHeight="false" outlineLevel="0" collapsed="false">
      <c r="A108" s="10" t="s">
        <v>153</v>
      </c>
      <c r="B108" s="18" t="n">
        <v>0.173725706332911</v>
      </c>
      <c r="C108" s="19" t="n">
        <v>3.65416666666667</v>
      </c>
      <c r="D108" s="20" t="n">
        <v>0.540958225045492</v>
      </c>
      <c r="E108" s="18" t="n">
        <v>0.0846810162068185</v>
      </c>
      <c r="F108" s="9" t="n">
        <f aca="false">100*(1-(COUNTIF($B$4:$B$147,"&lt;"&amp;B108)+1)/COUNT($B$4:$B$147))</f>
        <v>18.75</v>
      </c>
      <c r="G108" s="9" t="n">
        <f aca="false">100*(1-(COUNTIF($C$4:$C$147,"&lt;"&amp;C108)+1)/COUNT($C$4:$C$147))</f>
        <v>33.3333333333333</v>
      </c>
      <c r="H108" s="9" t="n">
        <f aca="false">100*(1-(COUNTIF($D$4:$D$147,"&lt;"&amp;D108)+1)/COUNT($D$4:$D$147))</f>
        <v>35.4166666666667</v>
      </c>
      <c r="I108" s="9" t="n">
        <f aca="false">100*(1-(COUNTIF($E$4:$E$147,"&lt;"&amp;E108)+1)/COUNT($E$4:$E$147))</f>
        <v>69.4444444444444</v>
      </c>
      <c r="J108" s="15" t="n">
        <f aca="false">(F108*가중치!$B$4+G108*가중치!$B$5+H108*가중치!$B$6+I108*가중치!$B$7)/가중치!$B$8</f>
        <v>39.2361111111111</v>
      </c>
      <c r="K108" s="9" t="n">
        <f aca="false">RANK(J108,$J$4:$J$147,0)</f>
        <v>105</v>
      </c>
      <c r="L108" s="10" t="str">
        <f aca="false">IF(F108&gt;=75,"체험 ","")&amp;IF(G108&gt;=75,"숙박 ","")&amp;IF(H108&gt;=75,"저녁 ","")&amp;IF(I108&gt;=75,"야간","")</f>
        <v/>
      </c>
      <c r="M108" s="21" t="n">
        <v>65</v>
      </c>
      <c r="N108" s="21" t="n">
        <v>124</v>
      </c>
      <c r="O108" s="22" t="n">
        <v>0</v>
      </c>
    </row>
    <row r="109" customFormat="false" ht="15" hidden="false" customHeight="false" outlineLevel="0" collapsed="false">
      <c r="A109" s="10" t="s">
        <v>154</v>
      </c>
      <c r="B109" s="18" t="n">
        <v>-0.0596465526315866</v>
      </c>
      <c r="C109" s="19" t="n">
        <v>3.06166666666667</v>
      </c>
      <c r="D109" s="20" t="n">
        <v>0.593488115585468</v>
      </c>
      <c r="E109" s="18" t="n">
        <v>0.133001535723427</v>
      </c>
      <c r="F109" s="9" t="n">
        <f aca="false">100*(1-(COUNTIF($B$4:$B$147,"&lt;"&amp;B109)+1)/COUNT($B$4:$B$147))</f>
        <v>62.5</v>
      </c>
      <c r="G109" s="9" t="n">
        <f aca="false">100*(1-(COUNTIF($C$4:$C$147,"&lt;"&amp;C109)+1)/COUNT($C$4:$C$147))</f>
        <v>84.0277777777778</v>
      </c>
      <c r="H109" s="9" t="n">
        <f aca="false">100*(1-(COUNTIF($D$4:$D$147,"&lt;"&amp;D109)+1)/COUNT($D$4:$D$147))</f>
        <v>9.72222222222222</v>
      </c>
      <c r="I109" s="9" t="n">
        <f aca="false">100*(1-(COUNTIF($E$4:$E$147,"&lt;"&amp;E109)+1)/COUNT($E$4:$E$147))</f>
        <v>0</v>
      </c>
      <c r="J109" s="15" t="n">
        <f aca="false">(F109*가중치!$B$4+G109*가중치!$B$5+H109*가중치!$B$6+I109*가중치!$B$7)/가중치!$B$8</f>
        <v>39.0625</v>
      </c>
      <c r="K109" s="9" t="n">
        <f aca="false">RANK(J109,$J$4:$J$147,0)</f>
        <v>106</v>
      </c>
      <c r="L109" s="10" t="str">
        <f aca="false">IF(F109&gt;=75,"체험 ","")&amp;IF(G109&gt;=75,"숙박 ","")&amp;IF(H109&gt;=75,"저녁 ","")&amp;IF(I109&gt;=75,"야간","")</f>
        <v>숙박 </v>
      </c>
      <c r="M109" s="21" t="n">
        <v>48</v>
      </c>
      <c r="N109" s="21" t="n">
        <v>133</v>
      </c>
      <c r="O109" s="22" t="n">
        <v>0.001</v>
      </c>
    </row>
    <row r="110" customFormat="false" ht="15" hidden="false" customHeight="false" outlineLevel="0" collapsed="false">
      <c r="A110" s="10" t="s">
        <v>155</v>
      </c>
      <c r="B110" s="18" t="n">
        <v>-0.0376349977876545</v>
      </c>
      <c r="C110" s="19" t="n">
        <v>2.57083333333333</v>
      </c>
      <c r="D110" s="20" t="n">
        <v>0.665698878761702</v>
      </c>
      <c r="E110" s="18" t="n">
        <v>0.132620029687822</v>
      </c>
      <c r="F110" s="9" t="n">
        <f aca="false">100*(1-(COUNTIF($B$4:$B$147,"&lt;"&amp;B110)+1)/COUNT($B$4:$B$147))</f>
        <v>55.5555555555556</v>
      </c>
      <c r="G110" s="9" t="n">
        <f aca="false">100*(1-(COUNTIF($C$4:$C$147,"&lt;"&amp;C110)+1)/COUNT($C$4:$C$147))</f>
        <v>97.2222222222222</v>
      </c>
      <c r="H110" s="9" t="n">
        <f aca="false">100*(1-(COUNTIF($D$4:$D$147,"&lt;"&amp;D110)+1)/COUNT($D$4:$D$147))</f>
        <v>0.694444444444442</v>
      </c>
      <c r="I110" s="9" t="n">
        <f aca="false">100*(1-(COUNTIF($E$4:$E$147,"&lt;"&amp;E110)+1)/COUNT($E$4:$E$147))</f>
        <v>1.38888888888888</v>
      </c>
      <c r="J110" s="15" t="n">
        <f aca="false">(F110*가중치!$B$4+G110*가중치!$B$5+H110*가중치!$B$6+I110*가중치!$B$7)/가중치!$B$8</f>
        <v>38.7152777777778</v>
      </c>
      <c r="K110" s="9" t="n">
        <f aca="false">RANK(J110,$J$4:$J$147,0)</f>
        <v>107</v>
      </c>
      <c r="L110" s="10" t="str">
        <f aca="false">IF(F110&gt;=75,"체험 ","")&amp;IF(G110&gt;=75,"숙박 ","")&amp;IF(H110&gt;=75,"저녁 ","")&amp;IF(I110&gt;=75,"야간","")</f>
        <v>숙박 </v>
      </c>
      <c r="M110" s="21" t="n">
        <v>37</v>
      </c>
      <c r="N110" s="21" t="n">
        <v>136</v>
      </c>
      <c r="O110" s="22" t="n">
        <v>0.044</v>
      </c>
    </row>
    <row r="111" customFormat="false" ht="15" hidden="false" customHeight="false" outlineLevel="0" collapsed="false">
      <c r="A111" s="10" t="s">
        <v>156</v>
      </c>
      <c r="B111" s="18" t="n">
        <v>0.529800083538956</v>
      </c>
      <c r="C111" s="19" t="n">
        <v>3.4075</v>
      </c>
      <c r="D111" s="20" t="n">
        <v>0.517954075810382</v>
      </c>
      <c r="E111" s="18" t="n">
        <v>0.101201634030498</v>
      </c>
      <c r="F111" s="9" t="n">
        <f aca="false">100*(1-(COUNTIF($B$4:$B$147,"&lt;"&amp;B111)+1)/COUNT($B$4:$B$147))</f>
        <v>6.25</v>
      </c>
      <c r="G111" s="9" t="n">
        <f aca="false">100*(1-(COUNTIF($C$4:$C$147,"&lt;"&amp;C111)+1)/COUNT($C$4:$C$147))</f>
        <v>65.9722222222222</v>
      </c>
      <c r="H111" s="9" t="n">
        <f aca="false">100*(1-(COUNTIF($D$4:$D$147,"&lt;"&amp;D111)+1)/COUNT($D$4:$D$147))</f>
        <v>51.3888888888889</v>
      </c>
      <c r="I111" s="9" t="n">
        <f aca="false">100*(1-(COUNTIF($E$4:$E$147,"&lt;"&amp;E111)+1)/COUNT($E$4:$E$147))</f>
        <v>30.5555555555556</v>
      </c>
      <c r="J111" s="15" t="n">
        <f aca="false">(F111*가중치!$B$4+G111*가중치!$B$5+H111*가중치!$B$6+I111*가중치!$B$7)/가중치!$B$8</f>
        <v>38.5416666666667</v>
      </c>
      <c r="K111" s="9" t="n">
        <f aca="false">RANK(J111,$J$4:$J$147,0)</f>
        <v>108</v>
      </c>
      <c r="L111" s="10" t="str">
        <f aca="false">IF(F111&gt;=75,"체험 ","")&amp;IF(G111&gt;=75,"숙박 ","")&amp;IF(H111&gt;=75,"저녁 ","")&amp;IF(I111&gt;=75,"야간","")</f>
        <v/>
      </c>
      <c r="M111" s="21" t="n">
        <v>69</v>
      </c>
      <c r="N111" s="21" t="n">
        <v>130</v>
      </c>
      <c r="O111" s="22" t="n">
        <v>0</v>
      </c>
    </row>
    <row r="112" customFormat="false" ht="15" hidden="false" customHeight="false" outlineLevel="0" collapsed="false">
      <c r="A112" s="10" t="s">
        <v>157</v>
      </c>
      <c r="B112" s="18" t="n">
        <v>-0.013976208688076</v>
      </c>
      <c r="C112" s="19" t="n">
        <v>2.6625</v>
      </c>
      <c r="D112" s="20" t="n">
        <v>0.612657073781546</v>
      </c>
      <c r="E112" s="18" t="n">
        <v>0.127757087300162</v>
      </c>
      <c r="F112" s="9" t="n">
        <f aca="false">100*(1-(COUNTIF($B$4:$B$147,"&lt;"&amp;B112)+1)/COUNT($B$4:$B$147))</f>
        <v>45.8333333333333</v>
      </c>
      <c r="G112" s="9" t="n">
        <f aca="false">100*(1-(COUNTIF($C$4:$C$147,"&lt;"&amp;C112)+1)/COUNT($C$4:$C$147))</f>
        <v>95.1388888888889</v>
      </c>
      <c r="H112" s="9" t="n">
        <f aca="false">100*(1-(COUNTIF($D$4:$D$147,"&lt;"&amp;D112)+1)/COUNT($D$4:$D$147))</f>
        <v>4.86111111111112</v>
      </c>
      <c r="I112" s="9" t="n">
        <f aca="false">100*(1-(COUNTIF($E$4:$E$147,"&lt;"&amp;E112)+1)/COUNT($E$4:$E$147))</f>
        <v>4.16666666666666</v>
      </c>
      <c r="J112" s="15" t="n">
        <f aca="false">(F112*가중치!$B$4+G112*가중치!$B$5+H112*가중치!$B$6+I112*가중치!$B$7)/가중치!$B$8</f>
        <v>37.5</v>
      </c>
      <c r="K112" s="9" t="n">
        <f aca="false">RANK(J112,$J$4:$J$147,0)</f>
        <v>109</v>
      </c>
      <c r="L112" s="10" t="str">
        <f aca="false">IF(F112&gt;=75,"체험 ","")&amp;IF(G112&gt;=75,"숙박 ","")&amp;IF(H112&gt;=75,"저녁 ","")&amp;IF(I112&gt;=75,"야간","")</f>
        <v>숙박 </v>
      </c>
      <c r="M112" s="21" t="n">
        <v>43</v>
      </c>
      <c r="N112" s="21" t="n">
        <v>134</v>
      </c>
      <c r="O112" s="22" t="n">
        <v>0.025</v>
      </c>
    </row>
    <row r="113" customFormat="false" ht="15" hidden="false" customHeight="false" outlineLevel="0" collapsed="false">
      <c r="A113" s="10" t="s">
        <v>158</v>
      </c>
      <c r="B113" s="18" t="n">
        <v>0.429431516618971</v>
      </c>
      <c r="C113" s="19" t="n">
        <v>3.66</v>
      </c>
      <c r="D113" s="20" t="n">
        <v>0.498641004327283</v>
      </c>
      <c r="E113" s="18" t="n">
        <v>0.0922287472506798</v>
      </c>
      <c r="F113" s="9" t="n">
        <f aca="false">100*(1-(COUNTIF($B$4:$B$147,"&lt;"&amp;B113)+1)/COUNT($B$4:$B$147))</f>
        <v>7.63888888888888</v>
      </c>
      <c r="G113" s="9" t="n">
        <f aca="false">100*(1-(COUNTIF($C$4:$C$147,"&lt;"&amp;C113)+1)/COUNT($C$4:$C$147))</f>
        <v>29.8611111111111</v>
      </c>
      <c r="H113" s="9" t="n">
        <f aca="false">100*(1-(COUNTIF($D$4:$D$147,"&lt;"&amp;D113)+1)/COUNT($D$4:$D$147))</f>
        <v>62.5</v>
      </c>
      <c r="I113" s="9" t="n">
        <f aca="false">100*(1-(COUNTIF($E$4:$E$147,"&lt;"&amp;E113)+1)/COUNT($E$4:$E$147))</f>
        <v>49.3055555555556</v>
      </c>
      <c r="J113" s="15" t="n">
        <f aca="false">(F113*가중치!$B$4+G113*가중치!$B$5+H113*가중치!$B$6+I113*가중치!$B$7)/가중치!$B$8</f>
        <v>37.3263888888889</v>
      </c>
      <c r="K113" s="9" t="n">
        <f aca="false">RANK(J113,$J$4:$J$147,0)</f>
        <v>110</v>
      </c>
      <c r="L113" s="10" t="str">
        <f aca="false">IF(F113&gt;=75,"체험 ","")&amp;IF(G113&gt;=75,"숙박 ","")&amp;IF(H113&gt;=75,"저녁 ","")&amp;IF(I113&gt;=75,"야간","")</f>
        <v/>
      </c>
      <c r="M113" s="21" t="n">
        <v>74</v>
      </c>
      <c r="N113" s="21" t="n">
        <v>134</v>
      </c>
      <c r="O113" s="22" t="n">
        <v>0</v>
      </c>
    </row>
    <row r="114" customFormat="false" ht="15" hidden="false" customHeight="false" outlineLevel="0" collapsed="false">
      <c r="A114" s="10" t="s">
        <v>159</v>
      </c>
      <c r="B114" s="18" t="n">
        <v>0.315594009142529</v>
      </c>
      <c r="C114" s="19" t="n">
        <v>3.05</v>
      </c>
      <c r="D114" s="20" t="n">
        <v>0.536468465054302</v>
      </c>
      <c r="E114" s="18" t="n">
        <v>0.112702798154637</v>
      </c>
      <c r="F114" s="9" t="n">
        <f aca="false">100*(1-(COUNTIF($B$4:$B$147,"&lt;"&amp;B114)+1)/COUNT($B$4:$B$147))</f>
        <v>12.5</v>
      </c>
      <c r="G114" s="9" t="n">
        <f aca="false">100*(1-(COUNTIF($C$4:$C$147,"&lt;"&amp;C114)+1)/COUNT($C$4:$C$147))</f>
        <v>86.1111111111111</v>
      </c>
      <c r="H114" s="9" t="n">
        <f aca="false">100*(1-(COUNTIF($D$4:$D$147,"&lt;"&amp;D114)+1)/COUNT($D$4:$D$147))</f>
        <v>38.1944444444444</v>
      </c>
      <c r="I114" s="9" t="n">
        <f aca="false">100*(1-(COUNTIF($E$4:$E$147,"&lt;"&amp;E114)+1)/COUNT($E$4:$E$147))</f>
        <v>12.5</v>
      </c>
      <c r="J114" s="15" t="n">
        <f aca="false">(F114*가중치!$B$4+G114*가중치!$B$5+H114*가중치!$B$6+I114*가중치!$B$7)/가중치!$B$8</f>
        <v>37.3263888888889</v>
      </c>
      <c r="K114" s="9" t="n">
        <f aca="false">RANK(J114,$J$4:$J$147,0)</f>
        <v>110</v>
      </c>
      <c r="L114" s="10" t="str">
        <f aca="false">IF(F114&gt;=75,"체험 ","")&amp;IF(G114&gt;=75,"숙박 ","")&amp;IF(H114&gt;=75,"저녁 ","")&amp;IF(I114&gt;=75,"야간","")</f>
        <v>숙박 </v>
      </c>
      <c r="M114" s="21" t="n">
        <v>55</v>
      </c>
      <c r="N114" s="21" t="n">
        <v>132</v>
      </c>
      <c r="O114" s="22" t="n">
        <v>0</v>
      </c>
    </row>
    <row r="115" customFormat="false" ht="15" hidden="false" customHeight="false" outlineLevel="0" collapsed="false">
      <c r="A115" s="10" t="s">
        <v>160</v>
      </c>
      <c r="B115" s="18" t="n">
        <v>-0.119054179402166</v>
      </c>
      <c r="C115" s="19" t="n">
        <v>3.66916666666667</v>
      </c>
      <c r="D115" s="20" t="n">
        <v>0.580893020576582</v>
      </c>
      <c r="E115" s="18" t="n">
        <v>0.102131079038315</v>
      </c>
      <c r="F115" s="9" t="n">
        <f aca="false">100*(1-(COUNTIF($B$4:$B$147,"&lt;"&amp;B115)+1)/COUNT($B$4:$B$147))</f>
        <v>76.3888888888889</v>
      </c>
      <c r="G115" s="9" t="n">
        <f aca="false">100*(1-(COUNTIF($C$4:$C$147,"&lt;"&amp;C115)+1)/COUNT($C$4:$C$147))</f>
        <v>27.7777777777778</v>
      </c>
      <c r="H115" s="9" t="n">
        <f aca="false">100*(1-(COUNTIF($D$4:$D$147,"&lt;"&amp;D115)+1)/COUNT($D$4:$D$147))</f>
        <v>13.8888888888889</v>
      </c>
      <c r="I115" s="9" t="n">
        <f aca="false">100*(1-(COUNTIF($E$4:$E$147,"&lt;"&amp;E115)+1)/COUNT($E$4:$E$147))</f>
        <v>28.4722222222222</v>
      </c>
      <c r="J115" s="15" t="n">
        <f aca="false">(F115*가중치!$B$4+G115*가중치!$B$5+H115*가중치!$B$6+I115*가중치!$B$7)/가중치!$B$8</f>
        <v>36.6319444444444</v>
      </c>
      <c r="K115" s="9" t="n">
        <f aca="false">RANK(J115,$J$4:$J$147,0)</f>
        <v>112</v>
      </c>
      <c r="L115" s="10" t="str">
        <f aca="false">IF(F115&gt;=75,"체험 ","")&amp;IF(G115&gt;=75,"숙박 ","")&amp;IF(H115&gt;=75,"저녁 ","")&amp;IF(I115&gt;=75,"야간","")</f>
        <v>체험 </v>
      </c>
      <c r="M115" s="21" t="n">
        <v>69</v>
      </c>
      <c r="N115" s="21" t="n">
        <v>130</v>
      </c>
      <c r="O115" s="22" t="n">
        <v>0</v>
      </c>
    </row>
    <row r="116" customFormat="false" ht="15" hidden="false" customHeight="false" outlineLevel="0" collapsed="false">
      <c r="A116" s="10" t="s">
        <v>161</v>
      </c>
      <c r="B116" s="18" t="n">
        <v>0.094700410064564</v>
      </c>
      <c r="C116" s="19" t="n">
        <v>3.77916666666667</v>
      </c>
      <c r="D116" s="20" t="n">
        <v>0.52766933527606</v>
      </c>
      <c r="E116" s="18" t="n">
        <v>0.0915009339495039</v>
      </c>
      <c r="F116" s="9" t="n">
        <f aca="false">100*(1-(COUNTIF($B$4:$B$147,"&lt;"&amp;B116)+1)/COUNT($B$4:$B$147))</f>
        <v>28.4722222222222</v>
      </c>
      <c r="G116" s="9" t="n">
        <f aca="false">100*(1-(COUNTIF($C$4:$C$147,"&lt;"&amp;C116)+1)/COUNT($C$4:$C$147))</f>
        <v>18.0555555555556</v>
      </c>
      <c r="H116" s="9" t="n">
        <f aca="false">100*(1-(COUNTIF($D$4:$D$147,"&lt;"&amp;D116)+1)/COUNT($D$4:$D$147))</f>
        <v>46.5277777777778</v>
      </c>
      <c r="I116" s="9" t="n">
        <f aca="false">100*(1-(COUNTIF($E$4:$E$147,"&lt;"&amp;E116)+1)/COUNT($E$4:$E$147))</f>
        <v>52.7777777777778</v>
      </c>
      <c r="J116" s="15" t="n">
        <f aca="false">(F116*가중치!$B$4+G116*가중치!$B$5+H116*가중치!$B$6+I116*가중치!$B$7)/가중치!$B$8</f>
        <v>36.4583333333333</v>
      </c>
      <c r="K116" s="9" t="n">
        <f aca="false">RANK(J116,$J$4:$J$147,0)</f>
        <v>113</v>
      </c>
      <c r="L116" s="10" t="str">
        <f aca="false">IF(F116&gt;=75,"체험 ","")&amp;IF(G116&gt;=75,"숙박 ","")&amp;IF(H116&gt;=75,"저녁 ","")&amp;IF(I116&gt;=75,"야간","")</f>
        <v/>
      </c>
      <c r="M116" s="21" t="n">
        <v>82</v>
      </c>
      <c r="N116" s="21" t="n">
        <v>130</v>
      </c>
      <c r="O116" s="22" t="n">
        <v>0</v>
      </c>
    </row>
    <row r="117" customFormat="false" ht="15" hidden="false" customHeight="false" outlineLevel="0" collapsed="false">
      <c r="A117" s="10" t="s">
        <v>162</v>
      </c>
      <c r="B117" s="18" t="n">
        <v>0.239900317497121</v>
      </c>
      <c r="C117" s="19" t="n">
        <v>3.145</v>
      </c>
      <c r="D117" s="20" t="n">
        <v>0.551695524344181</v>
      </c>
      <c r="E117" s="18" t="n">
        <v>0.104211468730767</v>
      </c>
      <c r="F117" s="9" t="n">
        <f aca="false">100*(1-(COUNTIF($B$4:$B$147,"&lt;"&amp;B117)+1)/COUNT($B$4:$B$147))</f>
        <v>14.5833333333333</v>
      </c>
      <c r="G117" s="9" t="n">
        <f aca="false">100*(1-(COUNTIF($C$4:$C$147,"&lt;"&amp;C117)+1)/COUNT($C$4:$C$147))</f>
        <v>78.4722222222222</v>
      </c>
      <c r="H117" s="9" t="n">
        <f aca="false">100*(1-(COUNTIF($D$4:$D$147,"&lt;"&amp;D117)+1)/COUNT($D$4:$D$147))</f>
        <v>28.4722222222222</v>
      </c>
      <c r="I117" s="9" t="n">
        <f aca="false">100*(1-(COUNTIF($E$4:$E$147,"&lt;"&amp;E117)+1)/COUNT($E$4:$E$147))</f>
        <v>24.3055555555556</v>
      </c>
      <c r="J117" s="15" t="n">
        <f aca="false">(F117*가중치!$B$4+G117*가중치!$B$5+H117*가중치!$B$6+I117*가중치!$B$7)/가중치!$B$8</f>
        <v>36.4583333333333</v>
      </c>
      <c r="K117" s="9" t="n">
        <f aca="false">RANK(J117,$J$4:$J$147,0)</f>
        <v>115</v>
      </c>
      <c r="L117" s="10" t="str">
        <f aca="false">IF(F117&gt;=75,"체험 ","")&amp;IF(G117&gt;=75,"숙박 ","")&amp;IF(H117&gt;=75,"저녁 ","")&amp;IF(I117&gt;=75,"야간","")</f>
        <v>숙박 </v>
      </c>
      <c r="M117" s="21" t="n">
        <v>66</v>
      </c>
      <c r="N117" s="21" t="n">
        <v>128</v>
      </c>
      <c r="O117" s="22" t="n">
        <v>0</v>
      </c>
    </row>
    <row r="118" customFormat="false" ht="15" hidden="false" customHeight="false" outlineLevel="0" collapsed="false">
      <c r="A118" s="10" t="s">
        <v>163</v>
      </c>
      <c r="B118" s="18" t="n">
        <v>0.164402561403854</v>
      </c>
      <c r="C118" s="19" t="n">
        <v>3.58916666666667</v>
      </c>
      <c r="D118" s="20" t="n">
        <v>0.597192384593511</v>
      </c>
      <c r="E118" s="18" t="n">
        <v>0.0820175542936005</v>
      </c>
      <c r="F118" s="9" t="n">
        <f aca="false">100*(1-(COUNTIF($B$4:$B$147,"&lt;"&amp;B118)+1)/COUNT($B$4:$B$147))</f>
        <v>19.4444444444444</v>
      </c>
      <c r="G118" s="9" t="n">
        <f aca="false">100*(1-(COUNTIF($C$4:$C$147,"&lt;"&amp;C118)+1)/COUNT($C$4:$C$147))</f>
        <v>40.2777777777778</v>
      </c>
      <c r="H118" s="9" t="n">
        <f aca="false">100*(1-(COUNTIF($D$4:$D$147,"&lt;"&amp;D118)+1)/COUNT($D$4:$D$147))</f>
        <v>9.02777777777778</v>
      </c>
      <c r="I118" s="9" t="n">
        <f aca="false">100*(1-(COUNTIF($E$4:$E$147,"&lt;"&amp;E118)+1)/COUNT($E$4:$E$147))</f>
        <v>77.0833333333333</v>
      </c>
      <c r="J118" s="15" t="n">
        <f aca="false">(F118*가중치!$B$4+G118*가중치!$B$5+H118*가중치!$B$6+I118*가중치!$B$7)/가중치!$B$8</f>
        <v>36.4583333333333</v>
      </c>
      <c r="K118" s="9" t="n">
        <f aca="false">RANK(J118,$J$4:$J$147,0)</f>
        <v>113</v>
      </c>
      <c r="L118" s="10" t="str">
        <f aca="false">IF(F118&gt;=75,"체험 ","")&amp;IF(G118&gt;=75,"숙박 ","")&amp;IF(H118&gt;=75,"저녁 ","")&amp;IF(I118&gt;=75,"야간","")</f>
        <v>야간</v>
      </c>
      <c r="M118" s="21" t="n">
        <v>61</v>
      </c>
      <c r="N118" s="21" t="n">
        <v>135</v>
      </c>
      <c r="O118" s="22" t="n">
        <v>0</v>
      </c>
    </row>
    <row r="119" customFormat="false" ht="15" hidden="false" customHeight="false" outlineLevel="0" collapsed="false">
      <c r="A119" s="10" t="s">
        <v>164</v>
      </c>
      <c r="B119" s="18" t="n">
        <v>0.102347687409748</v>
      </c>
      <c r="C119" s="19" t="n">
        <v>3.935</v>
      </c>
      <c r="D119" s="20" t="n">
        <v>0.485958598071255</v>
      </c>
      <c r="E119" s="18" t="n">
        <v>0.0983226849855859</v>
      </c>
      <c r="F119" s="9" t="n">
        <f aca="false">100*(1-(COUNTIF($B$4:$B$147,"&lt;"&amp;B119)+1)/COUNT($B$4:$B$147))</f>
        <v>26.3888888888889</v>
      </c>
      <c r="G119" s="9" t="n">
        <f aca="false">100*(1-(COUNTIF($C$4:$C$147,"&lt;"&amp;C119)+1)/COUNT($C$4:$C$147))</f>
        <v>7.63888888888888</v>
      </c>
      <c r="H119" s="9" t="n">
        <f aca="false">100*(1-(COUNTIF($D$4:$D$147,"&lt;"&amp;D119)+1)/COUNT($D$4:$D$147))</f>
        <v>72.9166666666667</v>
      </c>
      <c r="I119" s="9" t="n">
        <f aca="false">100*(1-(COUNTIF($E$4:$E$147,"&lt;"&amp;E119)+1)/COUNT($E$4:$E$147))</f>
        <v>37.5</v>
      </c>
      <c r="J119" s="15" t="n">
        <f aca="false">(F119*가중치!$B$4+G119*가중치!$B$5+H119*가중치!$B$6+I119*가중치!$B$7)/가중치!$B$8</f>
        <v>36.1111111111111</v>
      </c>
      <c r="K119" s="9" t="n">
        <f aca="false">RANK(J119,$J$4:$J$147,0)</f>
        <v>116</v>
      </c>
      <c r="L119" s="10" t="str">
        <f aca="false">IF(F119&gt;=75,"체험 ","")&amp;IF(G119&gt;=75,"숙박 ","")&amp;IF(H119&gt;=75,"저녁 ","")&amp;IF(I119&gt;=75,"야간","")</f>
        <v/>
      </c>
      <c r="M119" s="21" t="n">
        <v>72</v>
      </c>
      <c r="N119" s="21" t="n">
        <v>139</v>
      </c>
      <c r="O119" s="22" t="n">
        <v>0</v>
      </c>
    </row>
    <row r="120" customFormat="false" ht="15" hidden="false" customHeight="false" outlineLevel="0" collapsed="false">
      <c r="A120" s="10" t="s">
        <v>165</v>
      </c>
      <c r="B120" s="18" t="n">
        <v>0.325331483147983</v>
      </c>
      <c r="C120" s="19" t="n">
        <v>3.52416666666667</v>
      </c>
      <c r="D120" s="20" t="n">
        <v>0.5686999100606</v>
      </c>
      <c r="E120" s="18" t="n">
        <v>0.0895265122345253</v>
      </c>
      <c r="F120" s="9" t="n">
        <f aca="false">100*(1-(COUNTIF($B$4:$B$147,"&lt;"&amp;B120)+1)/COUNT($B$4:$B$147))</f>
        <v>11.8055555555556</v>
      </c>
      <c r="G120" s="9" t="n">
        <f aca="false">100*(1-(COUNTIF($C$4:$C$147,"&lt;"&amp;C120)+1)/COUNT($C$4:$C$147))</f>
        <v>54.1666666666667</v>
      </c>
      <c r="H120" s="9" t="n">
        <f aca="false">100*(1-(COUNTIF($D$4:$D$147,"&lt;"&amp;D120)+1)/COUNT($D$4:$D$147))</f>
        <v>20.1388888888889</v>
      </c>
      <c r="I120" s="9" t="n">
        <f aca="false">100*(1-(COUNTIF($E$4:$E$147,"&lt;"&amp;E120)+1)/COUNT($E$4:$E$147))</f>
        <v>57.6388888888889</v>
      </c>
      <c r="J120" s="15" t="n">
        <f aca="false">(F120*가중치!$B$4+G120*가중치!$B$5+H120*가중치!$B$6+I120*가중치!$B$7)/가중치!$B$8</f>
        <v>35.9375</v>
      </c>
      <c r="K120" s="9" t="n">
        <f aca="false">RANK(J120,$J$4:$J$147,0)</f>
        <v>117</v>
      </c>
      <c r="L120" s="10" t="str">
        <f aca="false">IF(F120&gt;=75,"체험 ","")&amp;IF(G120&gt;=75,"숙박 ","")&amp;IF(H120&gt;=75,"저녁 ","")&amp;IF(I120&gt;=75,"야간","")</f>
        <v/>
      </c>
      <c r="M120" s="21" t="n">
        <v>76</v>
      </c>
      <c r="N120" s="21" t="n">
        <v>131</v>
      </c>
      <c r="O120" s="22" t="n">
        <v>0</v>
      </c>
    </row>
    <row r="121" customFormat="false" ht="15" hidden="false" customHeight="false" outlineLevel="0" collapsed="false">
      <c r="A121" s="10" t="s">
        <v>166</v>
      </c>
      <c r="B121" s="18" t="n">
        <v>0.0741970498316293</v>
      </c>
      <c r="C121" s="19" t="n">
        <v>2.56583333333333</v>
      </c>
      <c r="D121" s="20" t="n">
        <v>0.60225664171609</v>
      </c>
      <c r="E121" s="18" t="n">
        <v>0.123001214893752</v>
      </c>
      <c r="F121" s="9" t="n">
        <f aca="false">100*(1-(COUNTIF($B$4:$B$147,"&lt;"&amp;B121)+1)/COUNT($B$4:$B$147))</f>
        <v>32.6388888888889</v>
      </c>
      <c r="G121" s="9" t="n">
        <f aca="false">100*(1-(COUNTIF($C$4:$C$147,"&lt;"&amp;C121)+1)/COUNT($C$4:$C$147))</f>
        <v>97.9166666666667</v>
      </c>
      <c r="H121" s="9" t="n">
        <f aca="false">100*(1-(COUNTIF($D$4:$D$147,"&lt;"&amp;D121)+1)/COUNT($D$4:$D$147))</f>
        <v>6.25</v>
      </c>
      <c r="I121" s="9" t="n">
        <f aca="false">100*(1-(COUNTIF($E$4:$E$147,"&lt;"&amp;E121)+1)/COUNT($E$4:$E$147))</f>
        <v>5.55555555555556</v>
      </c>
      <c r="J121" s="15" t="n">
        <f aca="false">(F121*가중치!$B$4+G121*가중치!$B$5+H121*가중치!$B$6+I121*가중치!$B$7)/가중치!$B$8</f>
        <v>35.5902777777778</v>
      </c>
      <c r="K121" s="9" t="n">
        <f aca="false">RANK(J121,$J$4:$J$147,0)</f>
        <v>118</v>
      </c>
      <c r="L121" s="10" t="str">
        <f aca="false">IF(F121&gt;=75,"체험 ","")&amp;IF(G121&gt;=75,"숙박 ","")&amp;IF(H121&gt;=75,"저녁 ","")&amp;IF(I121&gt;=75,"야간","")</f>
        <v>숙박 </v>
      </c>
      <c r="M121" s="21" t="n">
        <v>47</v>
      </c>
      <c r="N121" s="21" t="n">
        <v>135</v>
      </c>
      <c r="O121" s="22" t="n">
        <v>0.027</v>
      </c>
    </row>
    <row r="122" customFormat="false" ht="15" hidden="false" customHeight="false" outlineLevel="0" collapsed="false">
      <c r="A122" s="10" t="s">
        <v>167</v>
      </c>
      <c r="B122" s="18" t="n">
        <v>-0.0439417381830278</v>
      </c>
      <c r="C122" s="19" t="n">
        <v>3.57333333333333</v>
      </c>
      <c r="D122" s="20" t="n">
        <v>0.551338639559995</v>
      </c>
      <c r="E122" s="18" t="n">
        <v>0.114422023406186</v>
      </c>
      <c r="F122" s="9" t="n">
        <f aca="false">100*(1-(COUNTIF($B$4:$B$147,"&lt;"&amp;B122)+1)/COUNT($B$4:$B$147))</f>
        <v>56.9444444444444</v>
      </c>
      <c r="G122" s="9" t="n">
        <f aca="false">100*(1-(COUNTIF($C$4:$C$147,"&lt;"&amp;C122)+1)/COUNT($C$4:$C$147))</f>
        <v>43.75</v>
      </c>
      <c r="H122" s="9" t="n">
        <f aca="false">100*(1-(COUNTIF($D$4:$D$147,"&lt;"&amp;D122)+1)/COUNT($D$4:$D$147))</f>
        <v>29.1666666666667</v>
      </c>
      <c r="I122" s="9" t="n">
        <f aca="false">100*(1-(COUNTIF($E$4:$E$147,"&lt;"&amp;E122)+1)/COUNT($E$4:$E$147))</f>
        <v>11.1111111111111</v>
      </c>
      <c r="J122" s="15" t="n">
        <f aca="false">(F122*가중치!$B$4+G122*가중치!$B$5+H122*가중치!$B$6+I122*가중치!$B$7)/가중치!$B$8</f>
        <v>35.2430555555556</v>
      </c>
      <c r="K122" s="9" t="n">
        <f aca="false">RANK(J122,$J$4:$J$147,0)</f>
        <v>119</v>
      </c>
      <c r="L122" s="10" t="str">
        <f aca="false">IF(F122&gt;=75,"체험 ","")&amp;IF(G122&gt;=75,"숙박 ","")&amp;IF(H122&gt;=75,"저녁 ","")&amp;IF(I122&gt;=75,"야간","")</f>
        <v/>
      </c>
      <c r="M122" s="21" t="n">
        <v>84</v>
      </c>
      <c r="N122" s="21" t="n">
        <v>127</v>
      </c>
      <c r="O122" s="22" t="n">
        <v>0</v>
      </c>
    </row>
    <row r="123" customFormat="false" ht="15" hidden="false" customHeight="false" outlineLevel="0" collapsed="false">
      <c r="A123" s="10" t="s">
        <v>168</v>
      </c>
      <c r="B123" s="18" t="n">
        <v>0.211195340869685</v>
      </c>
      <c r="C123" s="19" t="n">
        <v>3.12916666666667</v>
      </c>
      <c r="D123" s="20" t="n">
        <v>0.567142185894694</v>
      </c>
      <c r="E123" s="18" t="n">
        <v>0.108664059672204</v>
      </c>
      <c r="F123" s="9" t="n">
        <f aca="false">100*(1-(COUNTIF($B$4:$B$147,"&lt;"&amp;B123)+1)/COUNT($B$4:$B$147))</f>
        <v>16.6666666666667</v>
      </c>
      <c r="G123" s="9" t="n">
        <f aca="false">100*(1-(COUNTIF($C$4:$C$147,"&lt;"&amp;C123)+1)/COUNT($C$4:$C$147))</f>
        <v>80.5555555555556</v>
      </c>
      <c r="H123" s="9" t="n">
        <f aca="false">100*(1-(COUNTIF($D$4:$D$147,"&lt;"&amp;D123)+1)/COUNT($D$4:$D$147))</f>
        <v>22.2222222222222</v>
      </c>
      <c r="I123" s="9" t="n">
        <f aca="false">100*(1-(COUNTIF($E$4:$E$147,"&lt;"&amp;E123)+1)/COUNT($E$4:$E$147))</f>
        <v>18.75</v>
      </c>
      <c r="J123" s="15" t="n">
        <f aca="false">(F123*가중치!$B$4+G123*가중치!$B$5+H123*가중치!$B$6+I123*가중치!$B$7)/가중치!$B$8</f>
        <v>34.5486111111111</v>
      </c>
      <c r="K123" s="9" t="n">
        <f aca="false">RANK(J123,$J$4:$J$147,0)</f>
        <v>120</v>
      </c>
      <c r="L123" s="10" t="str">
        <f aca="false">IF(F123&gt;=75,"체험 ","")&amp;IF(G123&gt;=75,"숙박 ","")&amp;IF(H123&gt;=75,"저녁 ","")&amp;IF(I123&gt;=75,"야간","")</f>
        <v>숙박 </v>
      </c>
      <c r="M123" s="21" t="n">
        <v>69</v>
      </c>
      <c r="N123" s="21" t="n">
        <v>132</v>
      </c>
      <c r="O123" s="22" t="n">
        <v>0</v>
      </c>
    </row>
    <row r="124" customFormat="false" ht="15" hidden="false" customHeight="false" outlineLevel="0" collapsed="false">
      <c r="A124" s="10" t="s">
        <v>169</v>
      </c>
      <c r="B124" s="18" t="n">
        <v>-0.186012633390266</v>
      </c>
      <c r="C124" s="19" t="n">
        <v>4.06333333333333</v>
      </c>
      <c r="D124" s="20" t="n">
        <v>0.567192157766634</v>
      </c>
      <c r="E124" s="18" t="n">
        <v>0.103563108921944</v>
      </c>
      <c r="F124" s="9" t="n">
        <f aca="false">100*(1-(COUNTIF($B$4:$B$147,"&lt;"&amp;B124)+1)/COUNT($B$4:$B$147))</f>
        <v>86.8055555555556</v>
      </c>
      <c r="G124" s="9" t="n">
        <f aca="false">100*(1-(COUNTIF($C$4:$C$147,"&lt;"&amp;C124)+1)/COUNT($C$4:$C$147))</f>
        <v>3.47222222222222</v>
      </c>
      <c r="H124" s="9" t="n">
        <f aca="false">100*(1-(COUNTIF($D$4:$D$147,"&lt;"&amp;D124)+1)/COUNT($D$4:$D$147))</f>
        <v>21.5277777777778</v>
      </c>
      <c r="I124" s="9" t="n">
        <f aca="false">100*(1-(COUNTIF($E$4:$E$147,"&lt;"&amp;E124)+1)/COUNT($E$4:$E$147))</f>
        <v>25.6944444444444</v>
      </c>
      <c r="J124" s="15" t="n">
        <f aca="false">(F124*가중치!$B$4+G124*가중치!$B$5+H124*가중치!$B$6+I124*가중치!$B$7)/가중치!$B$8</f>
        <v>34.375</v>
      </c>
      <c r="K124" s="9" t="n">
        <f aca="false">RANK(J124,$J$4:$J$147,0)</f>
        <v>121</v>
      </c>
      <c r="L124" s="10" t="str">
        <f aca="false">IF(F124&gt;=75,"체험 ","")&amp;IF(G124&gt;=75,"숙박 ","")&amp;IF(H124&gt;=75,"저녁 ","")&amp;IF(I124&gt;=75,"야간","")</f>
        <v>체험 </v>
      </c>
      <c r="M124" s="21" t="n">
        <v>58</v>
      </c>
      <c r="N124" s="21" t="n">
        <v>142</v>
      </c>
      <c r="O124" s="22" t="n">
        <v>0</v>
      </c>
    </row>
    <row r="125" customFormat="false" ht="15" hidden="false" customHeight="false" outlineLevel="0" collapsed="false">
      <c r="A125" s="10" t="s">
        <v>170</v>
      </c>
      <c r="B125" s="18" t="n">
        <v>-0.204789393582843</v>
      </c>
      <c r="C125" s="19" t="n">
        <v>3.68916666666667</v>
      </c>
      <c r="D125" s="20" t="n">
        <v>0.59300280631531</v>
      </c>
      <c r="E125" s="18" t="n">
        <v>0.111613919500068</v>
      </c>
      <c r="F125" s="9" t="n">
        <f aca="false">100*(1-(COUNTIF($B$4:$B$147,"&lt;"&amp;B125)+1)/COUNT($B$4:$B$147))</f>
        <v>88.1944444444444</v>
      </c>
      <c r="G125" s="9" t="n">
        <f aca="false">100*(1-(COUNTIF($C$4:$C$147,"&lt;"&amp;C125)+1)/COUNT($C$4:$C$147))</f>
        <v>25</v>
      </c>
      <c r="H125" s="9" t="n">
        <f aca="false">100*(1-(COUNTIF($D$4:$D$147,"&lt;"&amp;D125)+1)/COUNT($D$4:$D$147))</f>
        <v>10.4166666666667</v>
      </c>
      <c r="I125" s="9" t="n">
        <f aca="false">100*(1-(COUNTIF($E$4:$E$147,"&lt;"&amp;E125)+1)/COUNT($E$4:$E$147))</f>
        <v>13.8888888888889</v>
      </c>
      <c r="J125" s="15" t="n">
        <f aca="false">(F125*가중치!$B$4+G125*가중치!$B$5+H125*가중치!$B$6+I125*가중치!$B$7)/가중치!$B$8</f>
        <v>34.375</v>
      </c>
      <c r="K125" s="9" t="n">
        <f aca="false">RANK(J125,$J$4:$J$147,0)</f>
        <v>122</v>
      </c>
      <c r="L125" s="10" t="str">
        <f aca="false">IF(F125&gt;=75,"체험 ","")&amp;IF(G125&gt;=75,"숙박 ","")&amp;IF(H125&gt;=75,"저녁 ","")&amp;IF(I125&gt;=75,"야간","")</f>
        <v>체험 </v>
      </c>
      <c r="M125" s="21" t="n">
        <v>61</v>
      </c>
      <c r="N125" s="21" t="n">
        <v>138</v>
      </c>
      <c r="O125" s="22" t="n">
        <v>0</v>
      </c>
    </row>
    <row r="126" customFormat="false" ht="15" hidden="false" customHeight="false" outlineLevel="0" collapsed="false">
      <c r="A126" s="10" t="s">
        <v>171</v>
      </c>
      <c r="B126" s="18" t="n">
        <v>0.0190013948427794</v>
      </c>
      <c r="C126" s="19" t="n">
        <v>2.835</v>
      </c>
      <c r="D126" s="20" t="n">
        <v>0.69841939601956</v>
      </c>
      <c r="E126" s="18" t="n">
        <v>0.131108099686216</v>
      </c>
      <c r="F126" s="9" t="n">
        <f aca="false">100*(1-(COUNTIF($B$4:$B$147,"&lt;"&amp;B126)+1)/COUNT($B$4:$B$147))</f>
        <v>40.2777777777778</v>
      </c>
      <c r="G126" s="9" t="n">
        <f aca="false">100*(1-(COUNTIF($C$4:$C$147,"&lt;"&amp;C126)+1)/COUNT($C$4:$C$147))</f>
        <v>93.0555555555556</v>
      </c>
      <c r="H126" s="9" t="n">
        <f aca="false">100*(1-(COUNTIF($D$4:$D$147,"&lt;"&amp;D126)+1)/COUNT($D$4:$D$147))</f>
        <v>0</v>
      </c>
      <c r="I126" s="9" t="n">
        <f aca="false">100*(1-(COUNTIF($E$4:$E$147,"&lt;"&amp;E126)+1)/COUNT($E$4:$E$147))</f>
        <v>2.08333333333334</v>
      </c>
      <c r="J126" s="15" t="n">
        <f aca="false">(F126*가중치!$B$4+G126*가중치!$B$5+H126*가중치!$B$6+I126*가중치!$B$7)/가중치!$B$8</f>
        <v>33.8541666666667</v>
      </c>
      <c r="K126" s="9" t="n">
        <f aca="false">RANK(J126,$J$4:$J$147,0)</f>
        <v>123</v>
      </c>
      <c r="L126" s="10" t="str">
        <f aca="false">IF(F126&gt;=75,"체험 ","")&amp;IF(G126&gt;=75,"숙박 ","")&amp;IF(H126&gt;=75,"저녁 ","")&amp;IF(I126&gt;=75,"야간","")</f>
        <v>숙박 </v>
      </c>
      <c r="M126" s="21" t="n">
        <v>53</v>
      </c>
      <c r="N126" s="21" t="n">
        <v>140</v>
      </c>
      <c r="O126" s="22" t="n">
        <v>0.012</v>
      </c>
    </row>
    <row r="127" customFormat="false" ht="15" hidden="false" customHeight="false" outlineLevel="0" collapsed="false">
      <c r="A127" s="10" t="s">
        <v>172</v>
      </c>
      <c r="B127" s="18" t="n">
        <v>-0.0473891575712391</v>
      </c>
      <c r="C127" s="19" t="n">
        <v>3.68333333333333</v>
      </c>
      <c r="D127" s="20" t="n">
        <v>0.56970690259478</v>
      </c>
      <c r="E127" s="18" t="n">
        <v>0.101525134706195</v>
      </c>
      <c r="F127" s="9" t="n">
        <f aca="false">100*(1-(COUNTIF($B$4:$B$147,"&lt;"&amp;B127)+1)/COUNT($B$4:$B$147))</f>
        <v>58.3333333333333</v>
      </c>
      <c r="G127" s="9" t="n">
        <f aca="false">100*(1-(COUNTIF($C$4:$C$147,"&lt;"&amp;C127)+1)/COUNT($C$4:$C$147))</f>
        <v>25.6944444444444</v>
      </c>
      <c r="H127" s="9" t="n">
        <f aca="false">100*(1-(COUNTIF($D$4:$D$147,"&lt;"&amp;D127)+1)/COUNT($D$4:$D$147))</f>
        <v>19.4444444444444</v>
      </c>
      <c r="I127" s="9" t="n">
        <f aca="false">100*(1-(COUNTIF($E$4:$E$147,"&lt;"&amp;E127)+1)/COUNT($E$4:$E$147))</f>
        <v>29.8611111111111</v>
      </c>
      <c r="J127" s="15" t="n">
        <f aca="false">(F127*가중치!$B$4+G127*가중치!$B$5+H127*가중치!$B$6+I127*가중치!$B$7)/가중치!$B$8</f>
        <v>33.3333333333333</v>
      </c>
      <c r="K127" s="9" t="n">
        <f aca="false">RANK(J127,$J$4:$J$147,0)</f>
        <v>124</v>
      </c>
      <c r="L127" s="10" t="str">
        <f aca="false">IF(F127&gt;=75,"체험 ","")&amp;IF(G127&gt;=75,"숙박 ","")&amp;IF(H127&gt;=75,"저녁 ","")&amp;IF(I127&gt;=75,"야간","")</f>
        <v/>
      </c>
      <c r="M127" s="21" t="n">
        <v>92</v>
      </c>
      <c r="N127" s="21" t="n">
        <v>131</v>
      </c>
      <c r="O127" s="22" t="n">
        <v>0</v>
      </c>
    </row>
    <row r="128" customFormat="false" ht="15" hidden="false" customHeight="false" outlineLevel="0" collapsed="false">
      <c r="A128" s="10" t="s">
        <v>173</v>
      </c>
      <c r="B128" s="18" t="n">
        <v>-0.0047052200807311</v>
      </c>
      <c r="C128" s="19" t="n">
        <v>3.63916666666667</v>
      </c>
      <c r="D128" s="20" t="n">
        <v>0.57943117436244</v>
      </c>
      <c r="E128" s="18" t="n">
        <v>0.0983311885353467</v>
      </c>
      <c r="F128" s="9" t="n">
        <f aca="false">100*(1-(COUNTIF($B$4:$B$147,"&lt;"&amp;B128)+1)/COUNT($B$4:$B$147))</f>
        <v>44.4444444444444</v>
      </c>
      <c r="G128" s="9" t="n">
        <f aca="false">100*(1-(COUNTIF($C$4:$C$147,"&lt;"&amp;C128)+1)/COUNT($C$4:$C$147))</f>
        <v>36.1111111111111</v>
      </c>
      <c r="H128" s="9" t="n">
        <f aca="false">100*(1-(COUNTIF($D$4:$D$147,"&lt;"&amp;D128)+1)/COUNT($D$4:$D$147))</f>
        <v>15.2777777777778</v>
      </c>
      <c r="I128" s="9" t="n">
        <f aca="false">100*(1-(COUNTIF($E$4:$E$147,"&lt;"&amp;E128)+1)/COUNT($E$4:$E$147))</f>
        <v>36.8055555555556</v>
      </c>
      <c r="J128" s="15" t="n">
        <f aca="false">(F128*가중치!$B$4+G128*가중치!$B$5+H128*가중치!$B$6+I128*가중치!$B$7)/가중치!$B$8</f>
        <v>33.1597222222222</v>
      </c>
      <c r="K128" s="9" t="n">
        <f aca="false">RANK(J128,$J$4:$J$147,0)</f>
        <v>125</v>
      </c>
      <c r="L128" s="10" t="str">
        <f aca="false">IF(F128&gt;=75,"체험 ","")&amp;IF(G128&gt;=75,"숙박 ","")&amp;IF(H128&gt;=75,"저녁 ","")&amp;IF(I128&gt;=75,"야간","")</f>
        <v/>
      </c>
      <c r="M128" s="21" t="n">
        <v>98</v>
      </c>
      <c r="N128" s="21" t="n">
        <v>126</v>
      </c>
      <c r="O128" s="22" t="n">
        <v>0</v>
      </c>
    </row>
    <row r="129" customFormat="false" ht="15" hidden="false" customHeight="false" outlineLevel="0" collapsed="false">
      <c r="A129" s="10" t="s">
        <v>174</v>
      </c>
      <c r="B129" s="18" t="n">
        <v>-0.045697320509671</v>
      </c>
      <c r="C129" s="19" t="n">
        <v>3.88083333333333</v>
      </c>
      <c r="D129" s="20" t="n">
        <v>0.530496269251405</v>
      </c>
      <c r="E129" s="18" t="n">
        <v>0.109453850474278</v>
      </c>
      <c r="F129" s="9" t="n">
        <f aca="false">100*(1-(COUNTIF($B$4:$B$147,"&lt;"&amp;B129)+1)/COUNT($B$4:$B$147))</f>
        <v>57.6388888888889</v>
      </c>
      <c r="G129" s="9" t="n">
        <f aca="false">100*(1-(COUNTIF($C$4:$C$147,"&lt;"&amp;C129)+1)/COUNT($C$4:$C$147))</f>
        <v>12.5</v>
      </c>
      <c r="H129" s="9" t="n">
        <f aca="false">100*(1-(COUNTIF($D$4:$D$147,"&lt;"&amp;D129)+1)/COUNT($D$4:$D$147))</f>
        <v>44.4444444444444</v>
      </c>
      <c r="I129" s="9" t="n">
        <f aca="false">100*(1-(COUNTIF($E$4:$E$147,"&lt;"&amp;E129)+1)/COUNT($E$4:$E$147))</f>
        <v>15.9722222222222</v>
      </c>
      <c r="J129" s="15" t="n">
        <f aca="false">(F129*가중치!$B$4+G129*가중치!$B$5+H129*가중치!$B$6+I129*가중치!$B$7)/가중치!$B$8</f>
        <v>32.6388888888889</v>
      </c>
      <c r="K129" s="9" t="n">
        <f aca="false">RANK(J129,$J$4:$J$147,0)</f>
        <v>126</v>
      </c>
      <c r="L129" s="10" t="str">
        <f aca="false">IF(F129&gt;=75,"체험 ","")&amp;IF(G129&gt;=75,"숙박 ","")&amp;IF(H129&gt;=75,"저녁 ","")&amp;IF(I129&gt;=75,"야간","")</f>
        <v/>
      </c>
      <c r="M129" s="21" t="n">
        <v>86</v>
      </c>
      <c r="N129" s="21" t="n">
        <v>138</v>
      </c>
      <c r="O129" s="22" t="n">
        <v>0</v>
      </c>
    </row>
    <row r="130" customFormat="false" ht="15" hidden="false" customHeight="false" outlineLevel="0" collapsed="false">
      <c r="A130" s="10" t="s">
        <v>175</v>
      </c>
      <c r="B130" s="18" t="n">
        <v>0.0233379263694735</v>
      </c>
      <c r="C130" s="19" t="n">
        <v>3.90083333333333</v>
      </c>
      <c r="D130" s="20" t="n">
        <v>0.545595907901795</v>
      </c>
      <c r="E130" s="18" t="n">
        <v>0.0952156991966723</v>
      </c>
      <c r="F130" s="9" t="n">
        <f aca="false">100*(1-(COUNTIF($B$4:$B$147,"&lt;"&amp;B130)+1)/COUNT($B$4:$B$147))</f>
        <v>38.8888888888889</v>
      </c>
      <c r="G130" s="9" t="n">
        <f aca="false">100*(1-(COUNTIF($C$4:$C$147,"&lt;"&amp;C130)+1)/COUNT($C$4:$C$147))</f>
        <v>11.8055555555556</v>
      </c>
      <c r="H130" s="9" t="n">
        <f aca="false">100*(1-(COUNTIF($D$4:$D$147,"&lt;"&amp;D130)+1)/COUNT($D$4:$D$147))</f>
        <v>31.9444444444444</v>
      </c>
      <c r="I130" s="9" t="n">
        <f aca="false">100*(1-(COUNTIF($E$4:$E$147,"&lt;"&amp;E130)+1)/COUNT($E$4:$E$147))</f>
        <v>43.75</v>
      </c>
      <c r="J130" s="15" t="n">
        <f aca="false">(F130*가중치!$B$4+G130*가중치!$B$5+H130*가중치!$B$6+I130*가중치!$B$7)/가중치!$B$8</f>
        <v>31.5972222222222</v>
      </c>
      <c r="K130" s="9" t="n">
        <f aca="false">RANK(J130,$J$4:$J$147,0)</f>
        <v>127</v>
      </c>
      <c r="L130" s="10" t="str">
        <f aca="false">IF(F130&gt;=75,"체험 ","")&amp;IF(G130&gt;=75,"숙박 ","")&amp;IF(H130&gt;=75,"저녁 ","")&amp;IF(I130&gt;=75,"야간","")</f>
        <v/>
      </c>
      <c r="M130" s="21" t="n">
        <v>97</v>
      </c>
      <c r="N130" s="21" t="n">
        <v>137</v>
      </c>
      <c r="O130" s="22" t="n">
        <v>0</v>
      </c>
    </row>
    <row r="131" customFormat="false" ht="15" hidden="false" customHeight="false" outlineLevel="0" collapsed="false">
      <c r="A131" s="10" t="s">
        <v>176</v>
      </c>
      <c r="B131" s="18" t="n">
        <v>0.367207488201501</v>
      </c>
      <c r="C131" s="19" t="n">
        <v>3.5675</v>
      </c>
      <c r="D131" s="20" t="n">
        <v>0.535122866989829</v>
      </c>
      <c r="E131" s="18" t="n">
        <v>0.103277162063953</v>
      </c>
      <c r="F131" s="9" t="n">
        <f aca="false">100*(1-(COUNTIF($B$4:$B$147,"&lt;"&amp;B131)+1)/COUNT($B$4:$B$147))</f>
        <v>9.72222222222222</v>
      </c>
      <c r="G131" s="9" t="n">
        <f aca="false">100*(1-(COUNTIF($C$4:$C$147,"&lt;"&amp;C131)+1)/COUNT($C$4:$C$147))</f>
        <v>47.2222222222222</v>
      </c>
      <c r="H131" s="9" t="n">
        <f aca="false">100*(1-(COUNTIF($D$4:$D$147,"&lt;"&amp;D131)+1)/COUNT($D$4:$D$147))</f>
        <v>40.2777777777778</v>
      </c>
      <c r="I131" s="9" t="n">
        <f aca="false">100*(1-(COUNTIF($E$4:$E$147,"&lt;"&amp;E131)+1)/COUNT($E$4:$E$147))</f>
        <v>26.3888888888889</v>
      </c>
      <c r="J131" s="15" t="n">
        <f aca="false">(F131*가중치!$B$4+G131*가중치!$B$5+H131*가중치!$B$6+I131*가중치!$B$7)/가중치!$B$8</f>
        <v>30.9027777777778</v>
      </c>
      <c r="K131" s="9" t="n">
        <f aca="false">RANK(J131,$J$4:$J$147,0)</f>
        <v>128</v>
      </c>
      <c r="L131" s="10" t="str">
        <f aca="false">IF(F131&gt;=75,"체험 ","")&amp;IF(G131&gt;=75,"숙박 ","")&amp;IF(H131&gt;=75,"저녁 ","")&amp;IF(I131&gt;=75,"야간","")</f>
        <v/>
      </c>
      <c r="M131" s="21" t="n">
        <v>98</v>
      </c>
      <c r="N131" s="21" t="n">
        <v>136</v>
      </c>
      <c r="O131" s="22" t="n">
        <v>0</v>
      </c>
    </row>
    <row r="132" customFormat="false" ht="15" hidden="false" customHeight="false" outlineLevel="0" collapsed="false">
      <c r="A132" s="10" t="s">
        <v>177</v>
      </c>
      <c r="B132" s="18" t="n">
        <v>0.116398687133333</v>
      </c>
      <c r="C132" s="19" t="n">
        <v>3.47166666666667</v>
      </c>
      <c r="D132" s="20" t="n">
        <v>0.563614953175651</v>
      </c>
      <c r="E132" s="18" t="n">
        <v>0.111880555454889</v>
      </c>
      <c r="F132" s="9" t="n">
        <f aca="false">100*(1-(COUNTIF($B$4:$B$147,"&lt;"&amp;B132)+1)/COUNT($B$4:$B$147))</f>
        <v>25</v>
      </c>
      <c r="G132" s="9" t="n">
        <f aca="false">100*(1-(COUNTIF($C$4:$C$147,"&lt;"&amp;C132)+1)/COUNT($C$4:$C$147))</f>
        <v>62.5</v>
      </c>
      <c r="H132" s="9" t="n">
        <f aca="false">100*(1-(COUNTIF($D$4:$D$147,"&lt;"&amp;D132)+1)/COUNT($D$4:$D$147))</f>
        <v>22.9166666666667</v>
      </c>
      <c r="I132" s="9" t="n">
        <f aca="false">100*(1-(COUNTIF($E$4:$E$147,"&lt;"&amp;E132)+1)/COUNT($E$4:$E$147))</f>
        <v>13.1944444444444</v>
      </c>
      <c r="J132" s="15" t="n">
        <f aca="false">(F132*가중치!$B$4+G132*가중치!$B$5+H132*가중치!$B$6+I132*가중치!$B$7)/가중치!$B$8</f>
        <v>30.9027777777778</v>
      </c>
      <c r="K132" s="9" t="n">
        <f aca="false">RANK(J132,$J$4:$J$147,0)</f>
        <v>129</v>
      </c>
      <c r="L132" s="10" t="str">
        <f aca="false">IF(F132&gt;=75,"체험 ","")&amp;IF(G132&gt;=75,"숙박 ","")&amp;IF(H132&gt;=75,"저녁 ","")&amp;IF(I132&gt;=75,"야간","")</f>
        <v/>
      </c>
      <c r="M132" s="21" t="n">
        <v>93</v>
      </c>
      <c r="N132" s="21" t="n">
        <v>131</v>
      </c>
      <c r="O132" s="22" t="n">
        <v>0</v>
      </c>
    </row>
    <row r="133" customFormat="false" ht="15" hidden="false" customHeight="false" outlineLevel="0" collapsed="false">
      <c r="A133" s="10" t="s">
        <v>178</v>
      </c>
      <c r="B133" s="18" t="n">
        <v>0.0202967848886876</v>
      </c>
      <c r="C133" s="19" t="n">
        <v>3.275</v>
      </c>
      <c r="D133" s="20" t="n">
        <v>0.623976805015963</v>
      </c>
      <c r="E133" s="18" t="n">
        <v>0.130545934878912</v>
      </c>
      <c r="F133" s="9" t="n">
        <f aca="false">100*(1-(COUNTIF($B$4:$B$147,"&lt;"&amp;B133)+1)/COUNT($B$4:$B$147))</f>
        <v>39.5833333333333</v>
      </c>
      <c r="G133" s="9" t="n">
        <f aca="false">100*(1-(COUNTIF($C$4:$C$147,"&lt;"&amp;C133)+1)/COUNT($C$4:$C$147))</f>
        <v>73.6111111111111</v>
      </c>
      <c r="H133" s="9" t="n">
        <f aca="false">100*(1-(COUNTIF($D$4:$D$147,"&lt;"&amp;D133)+1)/COUNT($D$4:$D$147))</f>
        <v>4.16666666666666</v>
      </c>
      <c r="I133" s="9" t="n">
        <f aca="false">100*(1-(COUNTIF($E$4:$E$147,"&lt;"&amp;E133)+1)/COUNT($E$4:$E$147))</f>
        <v>2.77777777777778</v>
      </c>
      <c r="J133" s="15" t="n">
        <f aca="false">(F133*가중치!$B$4+G133*가중치!$B$5+H133*가중치!$B$6+I133*가중치!$B$7)/가중치!$B$8</f>
        <v>30.0347222222222</v>
      </c>
      <c r="K133" s="9" t="n">
        <f aca="false">RANK(J133,$J$4:$J$147,0)</f>
        <v>130</v>
      </c>
      <c r="L133" s="10" t="str">
        <f aca="false">IF(F133&gt;=75,"체험 ","")&amp;IF(G133&gt;=75,"숙박 ","")&amp;IF(H133&gt;=75,"저녁 ","")&amp;IF(I133&gt;=75,"야간","")</f>
        <v/>
      </c>
      <c r="M133" s="21" t="n">
        <v>80</v>
      </c>
      <c r="N133" s="21" t="n">
        <v>140</v>
      </c>
      <c r="O133" s="22" t="n">
        <v>0</v>
      </c>
    </row>
    <row r="134" customFormat="false" ht="15" hidden="false" customHeight="false" outlineLevel="0" collapsed="false">
      <c r="A134" s="10" t="s">
        <v>179</v>
      </c>
      <c r="B134" s="18" t="n">
        <v>0.0777983504708137</v>
      </c>
      <c r="C134" s="19" t="n">
        <v>3.22</v>
      </c>
      <c r="D134" s="20" t="n">
        <v>0.598100848278569</v>
      </c>
      <c r="E134" s="18" t="n">
        <v>0.129956680530627</v>
      </c>
      <c r="F134" s="9" t="n">
        <f aca="false">100*(1-(COUNTIF($B$4:$B$147,"&lt;"&amp;B134)+1)/COUNT($B$4:$B$147))</f>
        <v>31.25</v>
      </c>
      <c r="G134" s="9" t="n">
        <f aca="false">100*(1-(COUNTIF($C$4:$C$147,"&lt;"&amp;C134)+1)/COUNT($C$4:$C$147))</f>
        <v>76.3888888888889</v>
      </c>
      <c r="H134" s="9" t="n">
        <f aca="false">100*(1-(COUNTIF($D$4:$D$147,"&lt;"&amp;D134)+1)/COUNT($D$4:$D$147))</f>
        <v>8.33333333333334</v>
      </c>
      <c r="I134" s="9" t="n">
        <f aca="false">100*(1-(COUNTIF($E$4:$E$147,"&lt;"&amp;E134)+1)/COUNT($E$4:$E$147))</f>
        <v>3.47222222222222</v>
      </c>
      <c r="J134" s="15" t="n">
        <f aca="false">(F134*가중치!$B$4+G134*가중치!$B$5+H134*가중치!$B$6+I134*가중치!$B$7)/가중치!$B$8</f>
        <v>29.8611111111111</v>
      </c>
      <c r="K134" s="9" t="n">
        <f aca="false">RANK(J134,$J$4:$J$147,0)</f>
        <v>131</v>
      </c>
      <c r="L134" s="10" t="str">
        <f aca="false">IF(F134&gt;=75,"체험 ","")&amp;IF(G134&gt;=75,"숙박 ","")&amp;IF(H134&gt;=75,"저녁 ","")&amp;IF(I134&gt;=75,"야간","")</f>
        <v>숙박 </v>
      </c>
      <c r="M134" s="21" t="n">
        <v>79</v>
      </c>
      <c r="N134" s="21" t="n">
        <v>139</v>
      </c>
      <c r="O134" s="22" t="n">
        <v>0</v>
      </c>
    </row>
    <row r="135" customFormat="false" ht="15" hidden="false" customHeight="false" outlineLevel="0" collapsed="false">
      <c r="A135" s="10" t="s">
        <v>180</v>
      </c>
      <c r="B135" s="18" t="n">
        <v>0.0486848994433586</v>
      </c>
      <c r="C135" s="19" t="n">
        <v>3.65416666666667</v>
      </c>
      <c r="D135" s="20" t="n">
        <v>0.63491799477244</v>
      </c>
      <c r="E135" s="18" t="n">
        <v>0.0946945310126569</v>
      </c>
      <c r="F135" s="9" t="n">
        <f aca="false">100*(1-(COUNTIF($B$4:$B$147,"&lt;"&amp;B135)+1)/COUNT($B$4:$B$147))</f>
        <v>35.4166666666667</v>
      </c>
      <c r="G135" s="9" t="n">
        <f aca="false">100*(1-(COUNTIF($C$4:$C$147,"&lt;"&amp;C135)+1)/COUNT($C$4:$C$147))</f>
        <v>33.3333333333333</v>
      </c>
      <c r="H135" s="9" t="n">
        <f aca="false">100*(1-(COUNTIF($D$4:$D$147,"&lt;"&amp;D135)+1)/COUNT($D$4:$D$147))</f>
        <v>2.77777777777778</v>
      </c>
      <c r="I135" s="9" t="n">
        <f aca="false">100*(1-(COUNTIF($E$4:$E$147,"&lt;"&amp;E135)+1)/COUNT($E$4:$E$147))</f>
        <v>47.2222222222222</v>
      </c>
      <c r="J135" s="15" t="n">
        <f aca="false">(F135*가중치!$B$4+G135*가중치!$B$5+H135*가중치!$B$6+I135*가중치!$B$7)/가중치!$B$8</f>
        <v>29.6875</v>
      </c>
      <c r="K135" s="9" t="n">
        <f aca="false">RANK(J135,$J$4:$J$147,0)</f>
        <v>132</v>
      </c>
      <c r="L135" s="10" t="str">
        <f aca="false">IF(F135&gt;=75,"체험 ","")&amp;IF(G135&gt;=75,"숙박 ","")&amp;IF(H135&gt;=75,"저녁 ","")&amp;IF(I135&gt;=75,"야간","")</f>
        <v/>
      </c>
      <c r="M135" s="21" t="n">
        <v>100</v>
      </c>
      <c r="N135" s="21" t="n">
        <v>138</v>
      </c>
      <c r="O135" s="22" t="n">
        <v>0</v>
      </c>
    </row>
    <row r="136" customFormat="false" ht="15" hidden="false" customHeight="false" outlineLevel="0" collapsed="false">
      <c r="A136" s="10" t="s">
        <v>181</v>
      </c>
      <c r="B136" s="18" t="n">
        <v>0.368990569523854</v>
      </c>
      <c r="C136" s="19" t="n">
        <v>3.07833333333333</v>
      </c>
      <c r="D136" s="20" t="n">
        <v>0.584873864195374</v>
      </c>
      <c r="E136" s="18" t="n">
        <v>0.122179658426071</v>
      </c>
      <c r="F136" s="9" t="n">
        <f aca="false">100*(1-(COUNTIF($B$4:$B$147,"&lt;"&amp;B136)+1)/COUNT($B$4:$B$147))</f>
        <v>9.02777777777778</v>
      </c>
      <c r="G136" s="9" t="n">
        <f aca="false">100*(1-(COUNTIF($C$4:$C$147,"&lt;"&amp;C136)+1)/COUNT($C$4:$C$147))</f>
        <v>81.9444444444444</v>
      </c>
      <c r="H136" s="9" t="n">
        <f aca="false">100*(1-(COUNTIF($D$4:$D$147,"&lt;"&amp;D136)+1)/COUNT($D$4:$D$147))</f>
        <v>13.1944444444444</v>
      </c>
      <c r="I136" s="9" t="n">
        <f aca="false">100*(1-(COUNTIF($E$4:$E$147,"&lt;"&amp;E136)+1)/COUNT($E$4:$E$147))</f>
        <v>6.94444444444444</v>
      </c>
      <c r="J136" s="15" t="n">
        <f aca="false">(F136*가중치!$B$4+G136*가중치!$B$5+H136*가중치!$B$6+I136*가중치!$B$7)/가중치!$B$8</f>
        <v>27.7777777777778</v>
      </c>
      <c r="K136" s="9" t="n">
        <f aca="false">RANK(J136,$J$4:$J$147,0)</f>
        <v>133</v>
      </c>
      <c r="L136" s="10" t="str">
        <f aca="false">IF(F136&gt;=75,"체험 ","")&amp;IF(G136&gt;=75,"숙박 ","")&amp;IF(H136&gt;=75,"저녁 ","")&amp;IF(I136&gt;=75,"야간","")</f>
        <v>숙박 </v>
      </c>
      <c r="M136" s="21" t="n">
        <v>81</v>
      </c>
      <c r="N136" s="21" t="n">
        <v>142</v>
      </c>
      <c r="O136" s="22" t="n">
        <v>0</v>
      </c>
    </row>
    <row r="137" customFormat="false" ht="15" hidden="false" customHeight="false" outlineLevel="0" collapsed="false">
      <c r="A137" s="10" t="s">
        <v>182</v>
      </c>
      <c r="B137" s="18" t="n">
        <v>0.0168206265694119</v>
      </c>
      <c r="C137" s="19" t="n">
        <v>3.75916666666667</v>
      </c>
      <c r="D137" s="20" t="n">
        <v>0.578029157468242</v>
      </c>
      <c r="E137" s="18" t="n">
        <v>0.100167756196223</v>
      </c>
      <c r="F137" s="9" t="n">
        <f aca="false">100*(1-(COUNTIF($B$4:$B$147,"&lt;"&amp;B137)+1)/COUNT($B$4:$B$147))</f>
        <v>40.9722222222222</v>
      </c>
      <c r="G137" s="9" t="n">
        <f aca="false">100*(1-(COUNTIF($C$4:$C$147,"&lt;"&amp;C137)+1)/COUNT($C$4:$C$147))</f>
        <v>18.75</v>
      </c>
      <c r="H137" s="9" t="n">
        <f aca="false">100*(1-(COUNTIF($D$4:$D$147,"&lt;"&amp;D137)+1)/COUNT($D$4:$D$147))</f>
        <v>15.9722222222222</v>
      </c>
      <c r="I137" s="9" t="n">
        <f aca="false">100*(1-(COUNTIF($E$4:$E$147,"&lt;"&amp;E137)+1)/COUNT($E$4:$E$147))</f>
        <v>32.6388888888889</v>
      </c>
      <c r="J137" s="15" t="n">
        <f aca="false">(F137*가중치!$B$4+G137*가중치!$B$5+H137*가중치!$B$6+I137*가중치!$B$7)/가중치!$B$8</f>
        <v>27.0833333333333</v>
      </c>
      <c r="K137" s="9" t="n">
        <f aca="false">RANK(J137,$J$4:$J$147,0)</f>
        <v>134</v>
      </c>
      <c r="L137" s="10" t="str">
        <f aca="false">IF(F137&gt;=75,"체험 ","")&amp;IF(G137&gt;=75,"숙박 ","")&amp;IF(H137&gt;=75,"저녁 ","")&amp;IF(I137&gt;=75,"야간","")</f>
        <v/>
      </c>
      <c r="M137" s="21" t="n">
        <v>111</v>
      </c>
      <c r="N137" s="21" t="n">
        <v>139</v>
      </c>
      <c r="O137" s="22" t="n">
        <v>0</v>
      </c>
    </row>
    <row r="138" customFormat="false" ht="15" hidden="false" customHeight="false" outlineLevel="0" collapsed="false">
      <c r="A138" s="10" t="s">
        <v>183</v>
      </c>
      <c r="B138" s="18" t="n">
        <v>0.0837994566077364</v>
      </c>
      <c r="C138" s="19" t="n">
        <v>3.57333333333333</v>
      </c>
      <c r="D138" s="20" t="n">
        <v>0.586118647514674</v>
      </c>
      <c r="E138" s="18" t="n">
        <v>0.109046908317384</v>
      </c>
      <c r="F138" s="9" t="n">
        <f aca="false">100*(1-(COUNTIF($B$4:$B$147,"&lt;"&amp;B138)+1)/COUNT($B$4:$B$147))</f>
        <v>30.5555555555556</v>
      </c>
      <c r="G138" s="9" t="n">
        <f aca="false">100*(1-(COUNTIF($C$4:$C$147,"&lt;"&amp;C138)+1)/COUNT($C$4:$C$147))</f>
        <v>43.75</v>
      </c>
      <c r="H138" s="9" t="n">
        <f aca="false">100*(1-(COUNTIF($D$4:$D$147,"&lt;"&amp;D138)+1)/COUNT($D$4:$D$147))</f>
        <v>12.5</v>
      </c>
      <c r="I138" s="9" t="n">
        <f aca="false">100*(1-(COUNTIF($E$4:$E$147,"&lt;"&amp;E138)+1)/COUNT($E$4:$E$147))</f>
        <v>16.6666666666667</v>
      </c>
      <c r="J138" s="15" t="n">
        <f aca="false">(F138*가중치!$B$4+G138*가중치!$B$5+H138*가중치!$B$6+I138*가중치!$B$7)/가중치!$B$8</f>
        <v>25.8680555555556</v>
      </c>
      <c r="K138" s="9" t="n">
        <f aca="false">RANK(J138,$J$4:$J$147,0)</f>
        <v>135</v>
      </c>
      <c r="L138" s="10" t="str">
        <f aca="false">IF(F138&gt;=75,"체험 ","")&amp;IF(G138&gt;=75,"숙박 ","")&amp;IF(H138&gt;=75,"저녁 ","")&amp;IF(I138&gt;=75,"야간","")</f>
        <v/>
      </c>
      <c r="M138" s="21" t="n">
        <v>115</v>
      </c>
      <c r="N138" s="21" t="n">
        <v>136</v>
      </c>
      <c r="O138" s="22" t="n">
        <v>0</v>
      </c>
    </row>
    <row r="139" customFormat="false" ht="15" hidden="false" customHeight="false" outlineLevel="0" collapsed="false">
      <c r="A139" s="10" t="s">
        <v>184</v>
      </c>
      <c r="B139" s="18" t="n">
        <v>0.0920594702648203</v>
      </c>
      <c r="C139" s="19" t="n">
        <v>3.3425</v>
      </c>
      <c r="D139" s="20" t="n">
        <v>0.642064966191269</v>
      </c>
      <c r="E139" s="18" t="n">
        <v>0.132741238941405</v>
      </c>
      <c r="F139" s="9" t="n">
        <f aca="false">100*(1-(COUNTIF($B$4:$B$147,"&lt;"&amp;B139)+1)/COUNT($B$4:$B$147))</f>
        <v>29.8611111111111</v>
      </c>
      <c r="G139" s="9" t="n">
        <f aca="false">100*(1-(COUNTIF($C$4:$C$147,"&lt;"&amp;C139)+1)/COUNT($C$4:$C$147))</f>
        <v>70.8333333333333</v>
      </c>
      <c r="H139" s="9" t="n">
        <f aca="false">100*(1-(COUNTIF($D$4:$D$147,"&lt;"&amp;D139)+1)/COUNT($D$4:$D$147))</f>
        <v>1.38888888888888</v>
      </c>
      <c r="I139" s="9" t="n">
        <f aca="false">100*(1-(COUNTIF($E$4:$E$147,"&lt;"&amp;E139)+1)/COUNT($E$4:$E$147))</f>
        <v>0.694444444444442</v>
      </c>
      <c r="J139" s="15" t="n">
        <f aca="false">(F139*가중치!$B$4+G139*가중치!$B$5+H139*가중치!$B$6+I139*가중치!$B$7)/가중치!$B$8</f>
        <v>25.6944444444444</v>
      </c>
      <c r="K139" s="9" t="n">
        <f aca="false">RANK(J139,$J$4:$J$147,0)</f>
        <v>136</v>
      </c>
      <c r="L139" s="10" t="str">
        <f aca="false">IF(F139&gt;=75,"체험 ","")&amp;IF(G139&gt;=75,"숙박 ","")&amp;IF(H139&gt;=75,"저녁 ","")&amp;IF(I139&gt;=75,"야간","")</f>
        <v/>
      </c>
      <c r="M139" s="21" t="n">
        <v>92</v>
      </c>
      <c r="N139" s="21" t="n">
        <v>144</v>
      </c>
      <c r="O139" s="22" t="n">
        <v>0</v>
      </c>
    </row>
    <row r="140" customFormat="false" ht="15" hidden="false" customHeight="false" outlineLevel="0" collapsed="false">
      <c r="A140" s="10" t="s">
        <v>185</v>
      </c>
      <c r="B140" s="18" t="n">
        <v>0.0434988317704543</v>
      </c>
      <c r="C140" s="19" t="n">
        <v>3.67416666666667</v>
      </c>
      <c r="D140" s="20" t="n">
        <v>0.631802771744791</v>
      </c>
      <c r="E140" s="18" t="n">
        <v>0.0984955343007496</v>
      </c>
      <c r="F140" s="9" t="n">
        <f aca="false">100*(1-(COUNTIF($B$4:$B$147,"&lt;"&amp;B140)+1)/COUNT($B$4:$B$147))</f>
        <v>36.1111111111111</v>
      </c>
      <c r="G140" s="9" t="n">
        <f aca="false">100*(1-(COUNTIF($C$4:$C$147,"&lt;"&amp;C140)+1)/COUNT($C$4:$C$147))</f>
        <v>27.0833333333333</v>
      </c>
      <c r="H140" s="9" t="n">
        <f aca="false">100*(1-(COUNTIF($D$4:$D$147,"&lt;"&amp;D140)+1)/COUNT($D$4:$D$147))</f>
        <v>3.47222222222222</v>
      </c>
      <c r="I140" s="9" t="n">
        <f aca="false">100*(1-(COUNTIF($E$4:$E$147,"&lt;"&amp;E140)+1)/COUNT($E$4:$E$147))</f>
        <v>35.4166666666667</v>
      </c>
      <c r="J140" s="15" t="n">
        <f aca="false">(F140*가중치!$B$4+G140*가중치!$B$5+H140*가중치!$B$6+I140*가중치!$B$7)/가중치!$B$8</f>
        <v>25.5208333333333</v>
      </c>
      <c r="K140" s="9" t="n">
        <f aca="false">RANK(J140,$J$4:$J$147,0)</f>
        <v>137</v>
      </c>
      <c r="L140" s="10" t="str">
        <f aca="false">IF(F140&gt;=75,"체험 ","")&amp;IF(G140&gt;=75,"숙박 ","")&amp;IF(H140&gt;=75,"저녁 ","")&amp;IF(I140&gt;=75,"야간","")</f>
        <v/>
      </c>
      <c r="M140" s="21" t="n">
        <v>113</v>
      </c>
      <c r="N140" s="21" t="n">
        <v>141</v>
      </c>
      <c r="O140" s="22" t="n">
        <v>0</v>
      </c>
    </row>
    <row r="141" customFormat="false" ht="15" hidden="false" customHeight="false" outlineLevel="0" collapsed="false">
      <c r="A141" s="10" t="s">
        <v>186</v>
      </c>
      <c r="B141" s="18" t="n">
        <v>0.13697549794818</v>
      </c>
      <c r="C141" s="19" t="n">
        <v>3.64333333333333</v>
      </c>
      <c r="D141" s="20" t="n">
        <v>0.544287764213786</v>
      </c>
      <c r="E141" s="18" t="n">
        <v>0.115185972901459</v>
      </c>
      <c r="F141" s="9" t="n">
        <f aca="false">100*(1-(COUNTIF($B$4:$B$147,"&lt;"&amp;B141)+1)/COUNT($B$4:$B$147))</f>
        <v>22.2222222222222</v>
      </c>
      <c r="G141" s="9" t="n">
        <f aca="false">100*(1-(COUNTIF($C$4:$C$147,"&lt;"&amp;C141)+1)/COUNT($C$4:$C$147))</f>
        <v>34.7222222222222</v>
      </c>
      <c r="H141" s="9" t="n">
        <f aca="false">100*(1-(COUNTIF($D$4:$D$147,"&lt;"&amp;D141)+1)/COUNT($D$4:$D$147))</f>
        <v>33.3333333333333</v>
      </c>
      <c r="I141" s="9" t="n">
        <f aca="false">100*(1-(COUNTIF($E$4:$E$147,"&lt;"&amp;E141)+1)/COUNT($E$4:$E$147))</f>
        <v>9.72222222222222</v>
      </c>
      <c r="J141" s="15" t="n">
        <f aca="false">(F141*가중치!$B$4+G141*가중치!$B$5+H141*가중치!$B$6+I141*가중치!$B$7)/가중치!$B$8</f>
        <v>25</v>
      </c>
      <c r="K141" s="9" t="n">
        <f aca="false">RANK(J141,$J$4:$J$147,0)</f>
        <v>138</v>
      </c>
      <c r="L141" s="10" t="str">
        <f aca="false">IF(F141&gt;=75,"체험 ","")&amp;IF(G141&gt;=75,"숙박 ","")&amp;IF(H141&gt;=75,"저녁 ","")&amp;IF(I141&gt;=75,"야간","")</f>
        <v/>
      </c>
      <c r="M141" s="21" t="n">
        <v>118</v>
      </c>
      <c r="N141" s="21" t="n">
        <v>140</v>
      </c>
      <c r="O141" s="22" t="n">
        <v>0</v>
      </c>
    </row>
    <row r="142" customFormat="false" ht="15" hidden="false" customHeight="false" outlineLevel="0" collapsed="false">
      <c r="A142" s="10" t="s">
        <v>187</v>
      </c>
      <c r="B142" s="18" t="n">
        <v>0.336270453994193</v>
      </c>
      <c r="C142" s="19" t="n">
        <v>3.265</v>
      </c>
      <c r="D142" s="20" t="n">
        <v>0.63924543007248</v>
      </c>
      <c r="E142" s="18" t="n">
        <v>0.117468266811804</v>
      </c>
      <c r="F142" s="9" t="n">
        <f aca="false">100*(1-(COUNTIF($B$4:$B$147,"&lt;"&amp;B142)+1)/COUNT($B$4:$B$147))</f>
        <v>11.1111111111111</v>
      </c>
      <c r="G142" s="9" t="n">
        <f aca="false">100*(1-(COUNTIF($C$4:$C$147,"&lt;"&amp;C142)+1)/COUNT($C$4:$C$147))</f>
        <v>75</v>
      </c>
      <c r="H142" s="9" t="n">
        <f aca="false">100*(1-(COUNTIF($D$4:$D$147,"&lt;"&amp;D142)+1)/COUNT($D$4:$D$147))</f>
        <v>2.08333333333334</v>
      </c>
      <c r="I142" s="9" t="n">
        <f aca="false">100*(1-(COUNTIF($E$4:$E$147,"&lt;"&amp;E142)+1)/COUNT($E$4:$E$147))</f>
        <v>9.02777777777778</v>
      </c>
      <c r="J142" s="15" t="n">
        <f aca="false">(F142*가중치!$B$4+G142*가중치!$B$5+H142*가중치!$B$6+I142*가중치!$B$7)/가중치!$B$8</f>
        <v>24.3055555555556</v>
      </c>
      <c r="K142" s="9" t="n">
        <f aca="false">RANK(J142,$J$4:$J$147,0)</f>
        <v>139</v>
      </c>
      <c r="L142" s="10" t="str">
        <f aca="false">IF(F142&gt;=75,"체험 ","")&amp;IF(G142&gt;=75,"숙박 ","")&amp;IF(H142&gt;=75,"저녁 ","")&amp;IF(I142&gt;=75,"야간","")</f>
        <v>숙박 </v>
      </c>
      <c r="M142" s="21" t="n">
        <v>93</v>
      </c>
      <c r="N142" s="21" t="n">
        <v>143</v>
      </c>
      <c r="O142" s="22" t="n">
        <v>0</v>
      </c>
    </row>
    <row r="143" customFormat="false" ht="15" hidden="false" customHeight="false" outlineLevel="0" collapsed="false">
      <c r="A143" s="10" t="s">
        <v>188</v>
      </c>
      <c r="B143" s="18" t="n">
        <v>0.3421318249176</v>
      </c>
      <c r="C143" s="19" t="n">
        <v>3.5575</v>
      </c>
      <c r="D143" s="20" t="n">
        <v>0.576258860895211</v>
      </c>
      <c r="E143" s="18" t="n">
        <v>0.106773637887488</v>
      </c>
      <c r="F143" s="9" t="n">
        <f aca="false">100*(1-(COUNTIF($B$4:$B$147,"&lt;"&amp;B143)+1)/COUNT($B$4:$B$147))</f>
        <v>10.4166666666667</v>
      </c>
      <c r="G143" s="9" t="n">
        <f aca="false">100*(1-(COUNTIF($C$4:$C$147,"&lt;"&amp;C143)+1)/COUNT($C$4:$C$147))</f>
        <v>49.3055555555556</v>
      </c>
      <c r="H143" s="9" t="n">
        <f aca="false">100*(1-(COUNTIF($D$4:$D$147,"&lt;"&amp;D143)+1)/COUNT($D$4:$D$147))</f>
        <v>16.6666666666667</v>
      </c>
      <c r="I143" s="9" t="n">
        <f aca="false">100*(1-(COUNTIF($E$4:$E$147,"&lt;"&amp;E143)+1)/COUNT($E$4:$E$147))</f>
        <v>20.1388888888889</v>
      </c>
      <c r="J143" s="15" t="n">
        <f aca="false">(F143*가중치!$B$4+G143*가중치!$B$5+H143*가중치!$B$6+I143*가중치!$B$7)/가중치!$B$8</f>
        <v>24.1319444444444</v>
      </c>
      <c r="K143" s="9" t="n">
        <f aca="false">RANK(J143,$J$4:$J$147,0)</f>
        <v>140</v>
      </c>
      <c r="L143" s="10" t="str">
        <f aca="false">IF(F143&gt;=75,"체험 ","")&amp;IF(G143&gt;=75,"숙박 ","")&amp;IF(H143&gt;=75,"저녁 ","")&amp;IF(I143&gt;=75,"야간","")</f>
        <v/>
      </c>
      <c r="M143" s="21" t="n">
        <v>120</v>
      </c>
      <c r="N143" s="21" t="n">
        <v>140</v>
      </c>
      <c r="O143" s="22" t="n">
        <v>0</v>
      </c>
    </row>
    <row r="144" customFormat="false" ht="15" hidden="false" customHeight="false" outlineLevel="0" collapsed="false">
      <c r="A144" s="10" t="s">
        <v>189</v>
      </c>
      <c r="B144" s="18" t="n">
        <v>0.178278149533927</v>
      </c>
      <c r="C144" s="19" t="n">
        <v>4.02333333333333</v>
      </c>
      <c r="D144" s="20" t="n">
        <v>0.558784309434516</v>
      </c>
      <c r="E144" s="18" t="n">
        <v>0.0974635828905046</v>
      </c>
      <c r="F144" s="9" t="n">
        <f aca="false">100*(1-(COUNTIF($B$4:$B$147,"&lt;"&amp;B144)+1)/COUNT($B$4:$B$147))</f>
        <v>18.0555555555556</v>
      </c>
      <c r="G144" s="9" t="n">
        <f aca="false">100*(1-(COUNTIF($C$4:$C$147,"&lt;"&amp;C144)+1)/COUNT($C$4:$C$147))</f>
        <v>5.55555555555556</v>
      </c>
      <c r="H144" s="9" t="n">
        <f aca="false">100*(1-(COUNTIF($D$4:$D$147,"&lt;"&amp;D144)+1)/COUNT($D$4:$D$147))</f>
        <v>25</v>
      </c>
      <c r="I144" s="9" t="n">
        <f aca="false">100*(1-(COUNTIF($E$4:$E$147,"&lt;"&amp;E144)+1)/COUNT($E$4:$E$147))</f>
        <v>40.2777777777778</v>
      </c>
      <c r="J144" s="15" t="n">
        <f aca="false">(F144*가중치!$B$4+G144*가중치!$B$5+H144*가중치!$B$6+I144*가중치!$B$7)/가중치!$B$8</f>
        <v>22.2222222222222</v>
      </c>
      <c r="K144" s="9" t="n">
        <f aca="false">RANK(J144,$J$4:$J$147,0)</f>
        <v>141</v>
      </c>
      <c r="L144" s="10" t="str">
        <f aca="false">IF(F144&gt;=75,"체험 ","")&amp;IF(G144&gt;=75,"숙박 ","")&amp;IF(H144&gt;=75,"저녁 ","")&amp;IF(I144&gt;=75,"야간","")</f>
        <v/>
      </c>
      <c r="M144" s="21" t="n">
        <v>114</v>
      </c>
      <c r="N144" s="21" t="n">
        <v>143</v>
      </c>
      <c r="O144" s="22" t="n">
        <v>0</v>
      </c>
    </row>
    <row r="145" customFormat="false" ht="15" hidden="false" customHeight="false" outlineLevel="0" collapsed="false">
      <c r="A145" s="10" t="s">
        <v>190</v>
      </c>
      <c r="B145" s="18" t="n">
        <v>0.143760670084621</v>
      </c>
      <c r="C145" s="19" t="n">
        <v>3.6675</v>
      </c>
      <c r="D145" s="20" t="n">
        <v>0.600422580130761</v>
      </c>
      <c r="E145" s="18" t="n">
        <v>0.107130178188313</v>
      </c>
      <c r="F145" s="9" t="n">
        <f aca="false">100*(1-(COUNTIF($B$4:$B$147,"&lt;"&amp;B145)+1)/COUNT($B$4:$B$147))</f>
        <v>21.5277777777778</v>
      </c>
      <c r="G145" s="9" t="n">
        <f aca="false">100*(1-(COUNTIF($C$4:$C$147,"&lt;"&amp;C145)+1)/COUNT($C$4:$C$147))</f>
        <v>28.4722222222222</v>
      </c>
      <c r="H145" s="9" t="n">
        <f aca="false">100*(1-(COUNTIF($D$4:$D$147,"&lt;"&amp;D145)+1)/COUNT($D$4:$D$147))</f>
        <v>6.94444444444444</v>
      </c>
      <c r="I145" s="9" t="n">
        <f aca="false">100*(1-(COUNTIF($E$4:$E$147,"&lt;"&amp;E145)+1)/COUNT($E$4:$E$147))</f>
        <v>19.4444444444444</v>
      </c>
      <c r="J145" s="15" t="n">
        <f aca="false">(F145*가중치!$B$4+G145*가중치!$B$5+H145*가중치!$B$6+I145*가중치!$B$7)/가중치!$B$8</f>
        <v>19.0972222222222</v>
      </c>
      <c r="K145" s="9" t="n">
        <f aca="false">RANK(J145,$J$4:$J$147,0)</f>
        <v>142</v>
      </c>
      <c r="L145" s="10" t="str">
        <f aca="false">IF(F145&gt;=75,"체험 ","")&amp;IF(G145&gt;=75,"숙박 ","")&amp;IF(H145&gt;=75,"저녁 ","")&amp;IF(I145&gt;=75,"야간","")</f>
        <v/>
      </c>
      <c r="M145" s="21" t="n">
        <v>131</v>
      </c>
      <c r="N145" s="21" t="n">
        <v>143</v>
      </c>
      <c r="O145" s="22" t="n">
        <v>0</v>
      </c>
    </row>
    <row r="146" customFormat="false" ht="15" hidden="false" customHeight="false" outlineLevel="0" collapsed="false">
      <c r="A146" s="10" t="s">
        <v>191</v>
      </c>
      <c r="B146" s="18" t="n">
        <v>0.841156370514271</v>
      </c>
      <c r="C146" s="19" t="n">
        <v>3.57</v>
      </c>
      <c r="D146" s="20" t="n">
        <v>0.590664143614875</v>
      </c>
      <c r="E146" s="18" t="n">
        <v>0.113726319434873</v>
      </c>
      <c r="F146" s="9" t="n">
        <f aca="false">100*(1-(COUNTIF($B$4:$B$147,"&lt;"&amp;B146)+1)/COUNT($B$4:$B$147))</f>
        <v>2.08333333333334</v>
      </c>
      <c r="G146" s="9" t="n">
        <f aca="false">100*(1-(COUNTIF($C$4:$C$147,"&lt;"&amp;C146)+1)/COUNT($C$4:$C$147))</f>
        <v>45.8333333333333</v>
      </c>
      <c r="H146" s="9" t="n">
        <f aca="false">100*(1-(COUNTIF($D$4:$D$147,"&lt;"&amp;D146)+1)/COUNT($D$4:$D$147))</f>
        <v>11.1111111111111</v>
      </c>
      <c r="I146" s="9" t="n">
        <f aca="false">100*(1-(COUNTIF($E$4:$E$147,"&lt;"&amp;E146)+1)/COUNT($E$4:$E$147))</f>
        <v>11.8055555555556</v>
      </c>
      <c r="J146" s="15" t="n">
        <f aca="false">(F146*가중치!$B$4+G146*가중치!$B$5+H146*가중치!$B$6+I146*가중치!$B$7)/가중치!$B$8</f>
        <v>17.7083333333333</v>
      </c>
      <c r="K146" s="9" t="n">
        <f aca="false">RANK(J146,$J$4:$J$147,0)</f>
        <v>143</v>
      </c>
      <c r="L146" s="10" t="str">
        <f aca="false">IF(F146&gt;=75,"체험 ","")&amp;IF(G146&gt;=75,"숙박 ","")&amp;IF(H146&gt;=75,"저녁 ","")&amp;IF(I146&gt;=75,"야간","")</f>
        <v/>
      </c>
      <c r="M146" s="21" t="n">
        <v>131</v>
      </c>
      <c r="N146" s="21" t="n">
        <v>144</v>
      </c>
      <c r="O146" s="22" t="n">
        <v>0</v>
      </c>
    </row>
    <row r="147" customFormat="false" ht="15" hidden="false" customHeight="false" outlineLevel="0" collapsed="false">
      <c r="A147" s="10" t="s">
        <v>192</v>
      </c>
      <c r="B147" s="18" t="n">
        <v>0.659023431194218</v>
      </c>
      <c r="C147" s="19" t="n">
        <v>4.08166666666667</v>
      </c>
      <c r="D147" s="20" t="n">
        <v>0.531063666089633</v>
      </c>
      <c r="E147" s="18" t="n">
        <v>0.115052700690443</v>
      </c>
      <c r="F147" s="9" t="n">
        <f aca="false">100*(1-(COUNTIF($B$4:$B$147,"&lt;"&amp;B147)+1)/COUNT($B$4:$B$147))</f>
        <v>4.16666666666666</v>
      </c>
      <c r="G147" s="9" t="n">
        <f aca="false">100*(1-(COUNTIF($C$4:$C$147,"&lt;"&amp;C147)+1)/COUNT($C$4:$C$147))</f>
        <v>2.77777777777778</v>
      </c>
      <c r="H147" s="9" t="n">
        <f aca="false">100*(1-(COUNTIF($D$4:$D$147,"&lt;"&amp;D147)+1)/COUNT($D$4:$D$147))</f>
        <v>43.0555555555556</v>
      </c>
      <c r="I147" s="9" t="n">
        <f aca="false">100*(1-(COUNTIF($E$4:$E$147,"&lt;"&amp;E147)+1)/COUNT($E$4:$E$147))</f>
        <v>10.4166666666667</v>
      </c>
      <c r="J147" s="15" t="n">
        <f aca="false">(F147*가중치!$B$4+G147*가중치!$B$5+H147*가중치!$B$6+I147*가중치!$B$7)/가중치!$B$8</f>
        <v>15.1041666666667</v>
      </c>
      <c r="K147" s="9" t="n">
        <f aca="false">RANK(J147,$J$4:$J$147,0)</f>
        <v>144</v>
      </c>
      <c r="L147" s="10" t="str">
        <f aca="false">IF(F147&gt;=75,"체험 ","")&amp;IF(G147&gt;=75,"숙박 ","")&amp;IF(H147&gt;=75,"저녁 ","")&amp;IF(I147&gt;=75,"야간","")</f>
        <v/>
      </c>
      <c r="M147" s="21" t="n">
        <v>125</v>
      </c>
      <c r="N147" s="21" t="n">
        <v>144</v>
      </c>
      <c r="O147" s="2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0.03"/>
    <col collapsed="false" customWidth="true" hidden="false" outlineLevel="0" max="2" min="2" style="0" width="7.51"/>
    <col collapsed="false" customWidth="true" hidden="false" outlineLevel="0" max="3" min="3" style="0" width="100.15"/>
  </cols>
  <sheetData>
    <row r="1" customFormat="false" ht="39.55" hidden="false" customHeight="false" outlineLevel="0" collapsed="false">
      <c r="A1" s="4" t="s">
        <v>193</v>
      </c>
    </row>
    <row r="3" customFormat="false" ht="15" hidden="false" customHeight="false" outlineLevel="0" collapsed="false">
      <c r="A3" s="5" t="s">
        <v>24</v>
      </c>
      <c r="B3" s="5" t="s">
        <v>194</v>
      </c>
      <c r="C3" s="5" t="s">
        <v>40</v>
      </c>
    </row>
    <row r="4" customFormat="false" ht="23.85" hidden="false" customHeight="false" outlineLevel="0" collapsed="false">
      <c r="A4" s="6" t="s">
        <v>195</v>
      </c>
      <c r="B4" s="10" t="n">
        <v>51</v>
      </c>
      <c r="C4" s="10" t="s">
        <v>196</v>
      </c>
    </row>
    <row r="5" customFormat="false" ht="15" hidden="false" customHeight="false" outlineLevel="0" collapsed="false">
      <c r="A5" s="6" t="s">
        <v>197</v>
      </c>
      <c r="B5" s="10" t="n">
        <v>25</v>
      </c>
      <c r="C5" s="10" t="s">
        <v>198</v>
      </c>
    </row>
    <row r="6" customFormat="false" ht="15" hidden="false" customHeight="false" outlineLevel="0" collapsed="false">
      <c r="A6" s="6" t="s">
        <v>199</v>
      </c>
      <c r="B6" s="10" t="n">
        <v>19</v>
      </c>
      <c r="C6" s="10" t="s">
        <v>200</v>
      </c>
    </row>
    <row r="7" customFormat="false" ht="15" hidden="false" customHeight="false" outlineLevel="0" collapsed="false">
      <c r="A7" s="6" t="s">
        <v>201</v>
      </c>
      <c r="B7" s="10" t="n">
        <v>18</v>
      </c>
      <c r="C7" s="10" t="s">
        <v>202</v>
      </c>
    </row>
    <row r="8" customFormat="false" ht="15" hidden="false" customHeight="false" outlineLevel="0" collapsed="false">
      <c r="A8" s="6" t="s">
        <v>203</v>
      </c>
      <c r="B8" s="10" t="n">
        <v>9</v>
      </c>
      <c r="C8" s="10" t="s">
        <v>204</v>
      </c>
    </row>
    <row r="9" customFormat="false" ht="15" hidden="false" customHeight="false" outlineLevel="0" collapsed="false">
      <c r="A9" s="23" t="s">
        <v>205</v>
      </c>
      <c r="B9" s="10" t="n">
        <v>7</v>
      </c>
      <c r="C9" s="29" t="s">
        <v>206</v>
      </c>
    </row>
    <row r="10" customFormat="false" ht="15" hidden="false" customHeight="false" outlineLevel="0" collapsed="false">
      <c r="A10" s="6" t="s">
        <v>207</v>
      </c>
      <c r="B10" s="10" t="n">
        <v>6</v>
      </c>
      <c r="C10" s="10" t="s">
        <v>208</v>
      </c>
    </row>
    <row r="11" customFormat="false" ht="15" hidden="false" customHeight="false" outlineLevel="0" collapsed="false">
      <c r="A11" s="6" t="s">
        <v>209</v>
      </c>
      <c r="B11" s="10" t="n">
        <v>5</v>
      </c>
      <c r="C11" s="10" t="s">
        <v>210</v>
      </c>
    </row>
    <row r="12" customFormat="false" ht="15" hidden="false" customHeight="false" outlineLevel="0" collapsed="false">
      <c r="A12" s="6" t="s">
        <v>211</v>
      </c>
      <c r="B12" s="10" t="n">
        <v>2</v>
      </c>
      <c r="C12" s="10" t="s">
        <v>212</v>
      </c>
    </row>
    <row r="13" customFormat="false" ht="15" hidden="false" customHeight="false" outlineLevel="0" collapsed="false">
      <c r="A13" s="6" t="s">
        <v>213</v>
      </c>
      <c r="B13" s="10" t="n">
        <v>1</v>
      </c>
      <c r="C13" s="10" t="s">
        <v>49</v>
      </c>
    </row>
    <row r="14" customFormat="false" ht="15" hidden="false" customHeight="false" outlineLevel="0" collapsed="false">
      <c r="A14" s="6" t="s">
        <v>214</v>
      </c>
      <c r="B14" s="10" t="n">
        <v>1</v>
      </c>
      <c r="C14" s="1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2026-09-22T16:09:04Z</dcterms:created>
  <dc:creator>openpyxl</dc:creator>
  <dc:description/>
  <dc:language>ko-KR</dc:language>
  <cp:lastModifiedBy/>
  <dcterms:modified xsi:type="dcterms:W3CDTF">2026-09-22T16:09:04Z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