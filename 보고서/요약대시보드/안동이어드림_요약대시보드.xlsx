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koyunseo/Library/Containers/com.microsoft.Excel/Data/Documents/andong_check/"/>
    </mc:Choice>
  </mc:AlternateContent>
  <xr:revisionPtr revIDLastSave="0" documentId="13_ncr:1_{4F318C61-12FE-A642-BD81-CAEC3A7A111A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한눈에" sheetId="1" r:id="rId1"/>
    <sheet name="1 문제" sheetId="2" r:id="rId2"/>
    <sheet name="2 해법" sheetId="3" r:id="rId3"/>
    <sheet name="3 기대효과" sheetId="4" r:id="rId4"/>
    <sheet name="4 시·군 진단" sheetId="5" r:id="rId5"/>
    <sheet name="출처" sheetId="6" r:id="rId6"/>
    <sheet name="d_시군" sheetId="7" state="hidden" r:id="rId7"/>
    <sheet name="d_문제" sheetId="8" state="hidden" r:id="rId8"/>
    <sheet name="d_시나리오" sheetId="9" state="hidden" r:id="rId9"/>
    <sheet name="d_순위" sheetId="10" state="hidden" r:id="rId10"/>
    <sheet name="d_자" sheetId="11" state="hidden" r:id="rId11"/>
    <sheet name="d_진단" sheetId="12" state="hidden" r:id="rId12"/>
    <sheet name="d_목록" sheetId="13" state="hidden" r:id="rId13"/>
    <sheet name="d_선택" sheetId="14" state="hidden" r:id="rId14"/>
    <sheet name="d_유형" sheetId="15" state="hidden" r:id="rId15"/>
    <sheet name="d_경계" sheetId="16" state="hidden" r:id="rId16"/>
    <sheet name="d_지도" sheetId="17" state="hidden" r:id="rId17"/>
  </sheets>
  <definedNames>
    <definedName name="_xlnm.Print_Area" localSheetId="1">'1 문제'!$A$1:$AK$31</definedName>
    <definedName name="_xlnm.Print_Area" localSheetId="2">'2 해법'!$A$1:$AT$43</definedName>
    <definedName name="_xlnm.Print_Area" localSheetId="3">'3 기대효과'!$A$1:$AK$33</definedName>
    <definedName name="_xlnm.Print_Area" localSheetId="4">'4 시·군 진단'!$A$1:$AK$53</definedName>
    <definedName name="_xlnm.Print_Area" localSheetId="5">출처!$A$1:$E$26</definedName>
    <definedName name="_xlnm.Print_Area" localSheetId="0">한눈에!$A$1:$AK$27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8" i="17" l="1"/>
  <c r="F227" i="17"/>
  <c r="F226" i="17"/>
  <c r="F225" i="17"/>
  <c r="F224" i="17"/>
  <c r="F223" i="17"/>
  <c r="F222" i="17"/>
  <c r="F221" i="17"/>
  <c r="F220" i="17"/>
  <c r="F219" i="17"/>
  <c r="F218" i="17"/>
  <c r="F217" i="17"/>
  <c r="F216" i="17"/>
  <c r="F215" i="17"/>
  <c r="F214" i="17"/>
  <c r="F213" i="17"/>
  <c r="F212" i="17"/>
  <c r="F211" i="17"/>
  <c r="F210" i="17"/>
  <c r="F209" i="17"/>
  <c r="F208" i="17"/>
  <c r="F207" i="17"/>
  <c r="F206" i="17"/>
  <c r="F205" i="17"/>
  <c r="F204" i="17"/>
  <c r="F203" i="17"/>
  <c r="F202" i="17"/>
  <c r="F201" i="17"/>
  <c r="F200" i="17"/>
  <c r="F199" i="17"/>
  <c r="F198" i="17"/>
  <c r="F197" i="17"/>
  <c r="F196" i="17"/>
  <c r="F195" i="17"/>
  <c r="F194" i="17"/>
  <c r="F193" i="17"/>
  <c r="F192" i="17"/>
  <c r="F191" i="17"/>
  <c r="F190" i="17"/>
  <c r="F189" i="17"/>
  <c r="F188" i="17"/>
  <c r="I187" i="17"/>
  <c r="F187" i="17"/>
  <c r="F186" i="17"/>
  <c r="F185" i="17"/>
  <c r="F184" i="17"/>
  <c r="F183" i="17"/>
  <c r="F182" i="17"/>
  <c r="F181" i="17"/>
  <c r="F180" i="17"/>
  <c r="F179" i="17"/>
  <c r="F178" i="17"/>
  <c r="F177" i="17"/>
  <c r="F176" i="17"/>
  <c r="F175" i="17"/>
  <c r="F174" i="17"/>
  <c r="F173" i="17"/>
  <c r="F172" i="17"/>
  <c r="F171" i="17"/>
  <c r="F170" i="17"/>
  <c r="I169" i="17"/>
  <c r="F169" i="17"/>
  <c r="F168" i="17"/>
  <c r="F167" i="17"/>
  <c r="F166" i="17"/>
  <c r="F165" i="17"/>
  <c r="F164" i="17"/>
  <c r="F163" i="17"/>
  <c r="F162" i="17"/>
  <c r="I161" i="17"/>
  <c r="F161" i="17"/>
  <c r="F160" i="17"/>
  <c r="F159" i="17"/>
  <c r="F158" i="17"/>
  <c r="F157" i="17"/>
  <c r="F156" i="17"/>
  <c r="F155" i="17"/>
  <c r="F154" i="17"/>
  <c r="F153" i="17"/>
  <c r="F152" i="17"/>
  <c r="F151" i="17"/>
  <c r="F150" i="17"/>
  <c r="F149" i="17"/>
  <c r="F148" i="17"/>
  <c r="F147" i="17"/>
  <c r="F146" i="17"/>
  <c r="F145" i="17"/>
  <c r="F144" i="17"/>
  <c r="F143" i="17"/>
  <c r="F142" i="17"/>
  <c r="I141" i="17"/>
  <c r="F141" i="17"/>
  <c r="F140" i="17"/>
  <c r="F139" i="17"/>
  <c r="F138" i="17"/>
  <c r="F137" i="17"/>
  <c r="F136" i="17"/>
  <c r="F135" i="17"/>
  <c r="F134" i="17"/>
  <c r="F133" i="17"/>
  <c r="I132" i="17"/>
  <c r="F132" i="17"/>
  <c r="F131" i="17"/>
  <c r="F130" i="17"/>
  <c r="F129" i="17"/>
  <c r="F128" i="17"/>
  <c r="F127" i="17"/>
  <c r="F126" i="17"/>
  <c r="F125" i="17"/>
  <c r="F124" i="17"/>
  <c r="F123" i="17"/>
  <c r="F122" i="17"/>
  <c r="F121" i="17"/>
  <c r="F120" i="17"/>
  <c r="F119" i="17"/>
  <c r="F118" i="17"/>
  <c r="F117" i="17"/>
  <c r="F116" i="17"/>
  <c r="F115" i="17"/>
  <c r="F114" i="17"/>
  <c r="F113" i="17"/>
  <c r="F112" i="17"/>
  <c r="I111" i="17"/>
  <c r="F111" i="17"/>
  <c r="F110" i="17"/>
  <c r="F109" i="17"/>
  <c r="F108" i="17"/>
  <c r="F107" i="17"/>
  <c r="F106" i="17"/>
  <c r="F105" i="17"/>
  <c r="F104" i="17"/>
  <c r="F103" i="17"/>
  <c r="F102" i="17"/>
  <c r="F101" i="17"/>
  <c r="F100" i="17"/>
  <c r="I99" i="17"/>
  <c r="F99" i="17"/>
  <c r="F98" i="17"/>
  <c r="F97" i="17"/>
  <c r="F96" i="17"/>
  <c r="F95" i="17"/>
  <c r="F94" i="17"/>
  <c r="F93" i="17"/>
  <c r="F92" i="17"/>
  <c r="I91" i="17"/>
  <c r="F91" i="17"/>
  <c r="F90" i="17"/>
  <c r="F89" i="17"/>
  <c r="F88" i="17"/>
  <c r="F87" i="17"/>
  <c r="F86" i="17"/>
  <c r="F85" i="17"/>
  <c r="F84" i="17"/>
  <c r="F83" i="17"/>
  <c r="F82" i="17"/>
  <c r="F81" i="17"/>
  <c r="F80" i="17"/>
  <c r="F79" i="17"/>
  <c r="F78" i="17"/>
  <c r="F77" i="17"/>
  <c r="F76" i="17"/>
  <c r="F75" i="17"/>
  <c r="F74" i="17"/>
  <c r="I73" i="17"/>
  <c r="F73" i="17"/>
  <c r="F72" i="17"/>
  <c r="F71" i="17"/>
  <c r="F70" i="17"/>
  <c r="F69" i="17"/>
  <c r="F68" i="17"/>
  <c r="F67" i="17"/>
  <c r="F66" i="17"/>
  <c r="F65" i="17"/>
  <c r="F64" i="17"/>
  <c r="F63" i="17"/>
  <c r="F62" i="17"/>
  <c r="F61" i="17"/>
  <c r="F60" i="17"/>
  <c r="F59" i="17"/>
  <c r="F58" i="17"/>
  <c r="F57" i="17"/>
  <c r="F56" i="17"/>
  <c r="F55" i="17"/>
  <c r="F54" i="17"/>
  <c r="I53" i="17"/>
  <c r="F53" i="17"/>
  <c r="F52" i="17"/>
  <c r="F51" i="17"/>
  <c r="F50" i="17"/>
  <c r="F49" i="17"/>
  <c r="F48" i="17"/>
  <c r="F47" i="17"/>
  <c r="F46" i="17"/>
  <c r="I45" i="17"/>
  <c r="F45" i="17"/>
  <c r="F44" i="17"/>
  <c r="F43" i="17"/>
  <c r="F42" i="17"/>
  <c r="F41" i="17"/>
  <c r="F40" i="17"/>
  <c r="F39" i="17"/>
  <c r="F38" i="17"/>
  <c r="F37" i="17"/>
  <c r="I36" i="17"/>
  <c r="F36" i="17"/>
  <c r="F35" i="17"/>
  <c r="F34" i="17"/>
  <c r="F33" i="17"/>
  <c r="F32" i="17"/>
  <c r="F31" i="17"/>
  <c r="F30" i="17"/>
  <c r="F29" i="17"/>
  <c r="F28" i="17"/>
  <c r="F27" i="17"/>
  <c r="F26" i="17"/>
  <c r="F25" i="17"/>
  <c r="F24" i="17"/>
  <c r="F23" i="17"/>
  <c r="F22" i="17"/>
  <c r="F21" i="17"/>
  <c r="F20" i="17"/>
  <c r="F19" i="17"/>
  <c r="F18" i="17"/>
  <c r="F17" i="17"/>
  <c r="F16" i="17"/>
  <c r="I15" i="17"/>
  <c r="F15" i="17"/>
  <c r="F14" i="17"/>
  <c r="F13" i="17"/>
  <c r="F12" i="17"/>
  <c r="F11" i="17"/>
  <c r="F10" i="17"/>
  <c r="F9" i="17"/>
  <c r="F8" i="17"/>
  <c r="I7" i="17"/>
  <c r="F7" i="17"/>
  <c r="F6" i="17"/>
  <c r="F5" i="17"/>
  <c r="F4" i="17"/>
  <c r="F3" i="17"/>
  <c r="F2" i="17"/>
  <c r="B2" i="14"/>
  <c r="I212" i="17" s="1"/>
  <c r="E147" i="10"/>
  <c r="D147" i="10"/>
  <c r="C147" i="10"/>
  <c r="E146" i="10"/>
  <c r="D146" i="10"/>
  <c r="C146" i="10"/>
  <c r="E145" i="10"/>
  <c r="D145" i="10"/>
  <c r="C145" i="10"/>
  <c r="E144" i="10"/>
  <c r="D144" i="10"/>
  <c r="C144" i="10"/>
  <c r="E143" i="10"/>
  <c r="D143" i="10"/>
  <c r="C143" i="10"/>
  <c r="E142" i="10"/>
  <c r="D142" i="10"/>
  <c r="C142" i="10"/>
  <c r="E141" i="10"/>
  <c r="D141" i="10"/>
  <c r="C141" i="10"/>
  <c r="E140" i="10"/>
  <c r="D140" i="10"/>
  <c r="C140" i="10"/>
  <c r="E139" i="10"/>
  <c r="D139" i="10"/>
  <c r="C139" i="10"/>
  <c r="E138" i="10"/>
  <c r="D138" i="10"/>
  <c r="C138" i="10"/>
  <c r="E137" i="10"/>
  <c r="D137" i="10"/>
  <c r="C137" i="10"/>
  <c r="E136" i="10"/>
  <c r="D136" i="10"/>
  <c r="C136" i="10"/>
  <c r="E135" i="10"/>
  <c r="D135" i="10"/>
  <c r="C135" i="10"/>
  <c r="E134" i="10"/>
  <c r="D134" i="10"/>
  <c r="C134" i="10"/>
  <c r="E133" i="10"/>
  <c r="D133" i="10"/>
  <c r="C133" i="10"/>
  <c r="E132" i="10"/>
  <c r="D132" i="10"/>
  <c r="C132" i="10"/>
  <c r="E131" i="10"/>
  <c r="D131" i="10"/>
  <c r="C131" i="10"/>
  <c r="E130" i="10"/>
  <c r="D130" i="10"/>
  <c r="C130" i="10"/>
  <c r="E129" i="10"/>
  <c r="D129" i="10"/>
  <c r="C129" i="10"/>
  <c r="E128" i="10"/>
  <c r="D128" i="10"/>
  <c r="C128" i="10"/>
  <c r="E127" i="10"/>
  <c r="D127" i="10"/>
  <c r="C127" i="10"/>
  <c r="E126" i="10"/>
  <c r="D126" i="10"/>
  <c r="C126" i="10"/>
  <c r="E125" i="10"/>
  <c r="D125" i="10"/>
  <c r="C125" i="10"/>
  <c r="E124" i="10"/>
  <c r="D124" i="10"/>
  <c r="C124" i="10"/>
  <c r="E123" i="10"/>
  <c r="D123" i="10"/>
  <c r="C123" i="10"/>
  <c r="E122" i="10"/>
  <c r="D122" i="10"/>
  <c r="C122" i="10"/>
  <c r="E121" i="10"/>
  <c r="D121" i="10"/>
  <c r="C121" i="10"/>
  <c r="E120" i="10"/>
  <c r="D120" i="10"/>
  <c r="C120" i="10"/>
  <c r="E119" i="10"/>
  <c r="D119" i="10"/>
  <c r="C119" i="10"/>
  <c r="E118" i="10"/>
  <c r="D118" i="10"/>
  <c r="C118" i="10"/>
  <c r="E117" i="10"/>
  <c r="D117" i="10"/>
  <c r="C117" i="10"/>
  <c r="E116" i="10"/>
  <c r="D116" i="10"/>
  <c r="C116" i="10"/>
  <c r="E115" i="10"/>
  <c r="D115" i="10"/>
  <c r="C115" i="10"/>
  <c r="E114" i="10"/>
  <c r="D114" i="10"/>
  <c r="C114" i="10"/>
  <c r="E113" i="10"/>
  <c r="D113" i="10"/>
  <c r="C113" i="10"/>
  <c r="E112" i="10"/>
  <c r="D112" i="10"/>
  <c r="C112" i="10"/>
  <c r="E111" i="10"/>
  <c r="D111" i="10"/>
  <c r="C111" i="10"/>
  <c r="E110" i="10"/>
  <c r="D110" i="10"/>
  <c r="C110" i="10"/>
  <c r="E109" i="10"/>
  <c r="D109" i="10"/>
  <c r="C109" i="10"/>
  <c r="E108" i="10"/>
  <c r="D108" i="10"/>
  <c r="C108" i="10"/>
  <c r="E107" i="10"/>
  <c r="D107" i="10"/>
  <c r="C107" i="10"/>
  <c r="E106" i="10"/>
  <c r="D106" i="10"/>
  <c r="C106" i="10"/>
  <c r="E105" i="10"/>
  <c r="D105" i="10"/>
  <c r="C105" i="10"/>
  <c r="E104" i="10"/>
  <c r="D104" i="10"/>
  <c r="C104" i="10"/>
  <c r="E103" i="10"/>
  <c r="D103" i="10"/>
  <c r="C103" i="10"/>
  <c r="E102" i="10"/>
  <c r="D102" i="10"/>
  <c r="C102" i="10"/>
  <c r="E101" i="10"/>
  <c r="D101" i="10"/>
  <c r="C101" i="10"/>
  <c r="E100" i="10"/>
  <c r="D100" i="10"/>
  <c r="C100" i="10"/>
  <c r="E99" i="10"/>
  <c r="D99" i="10"/>
  <c r="C99" i="10"/>
  <c r="E98" i="10"/>
  <c r="D98" i="10"/>
  <c r="C98" i="10"/>
  <c r="E97" i="10"/>
  <c r="D97" i="10"/>
  <c r="C97" i="10"/>
  <c r="E96" i="10"/>
  <c r="D96" i="10"/>
  <c r="C96" i="10"/>
  <c r="E95" i="10"/>
  <c r="D95" i="10"/>
  <c r="C95" i="10"/>
  <c r="E94" i="10"/>
  <c r="D94" i="10"/>
  <c r="C94" i="10"/>
  <c r="E93" i="10"/>
  <c r="D93" i="10"/>
  <c r="C93" i="10"/>
  <c r="E92" i="10"/>
  <c r="D92" i="10"/>
  <c r="C92" i="10"/>
  <c r="E91" i="10"/>
  <c r="D91" i="10"/>
  <c r="C91" i="10"/>
  <c r="E90" i="10"/>
  <c r="D90" i="10"/>
  <c r="C90" i="10"/>
  <c r="E89" i="10"/>
  <c r="D89" i="10"/>
  <c r="C89" i="10"/>
  <c r="E88" i="10"/>
  <c r="D88" i="10"/>
  <c r="C88" i="10"/>
  <c r="E87" i="10"/>
  <c r="D87" i="10"/>
  <c r="C87" i="10"/>
  <c r="E86" i="10"/>
  <c r="D86" i="10"/>
  <c r="C86" i="10"/>
  <c r="E85" i="10"/>
  <c r="D85" i="10"/>
  <c r="C85" i="10"/>
  <c r="E84" i="10"/>
  <c r="D84" i="10"/>
  <c r="C84" i="10"/>
  <c r="E83" i="10"/>
  <c r="D83" i="10"/>
  <c r="C83" i="10"/>
  <c r="E82" i="10"/>
  <c r="D82" i="10"/>
  <c r="C82" i="10"/>
  <c r="E81" i="10"/>
  <c r="D81" i="10"/>
  <c r="C81" i="10"/>
  <c r="E80" i="10"/>
  <c r="D80" i="10"/>
  <c r="C80" i="10"/>
  <c r="E79" i="10"/>
  <c r="D79" i="10"/>
  <c r="C79" i="10"/>
  <c r="E78" i="10"/>
  <c r="D78" i="10"/>
  <c r="C78" i="10"/>
  <c r="E77" i="10"/>
  <c r="D77" i="10"/>
  <c r="C77" i="10"/>
  <c r="E76" i="10"/>
  <c r="D76" i="10"/>
  <c r="C76" i="10"/>
  <c r="E75" i="10"/>
  <c r="D75" i="10"/>
  <c r="C75" i="10"/>
  <c r="D74" i="10"/>
  <c r="C74" i="10"/>
  <c r="B74" i="10"/>
  <c r="E73" i="10"/>
  <c r="D73" i="10"/>
  <c r="C73" i="10"/>
  <c r="E72" i="10"/>
  <c r="D72" i="10"/>
  <c r="C72" i="10"/>
  <c r="E71" i="10"/>
  <c r="D71" i="10"/>
  <c r="C71" i="10"/>
  <c r="E70" i="10"/>
  <c r="D70" i="10"/>
  <c r="C70" i="10"/>
  <c r="E69" i="10"/>
  <c r="D69" i="10"/>
  <c r="C69" i="10"/>
  <c r="E68" i="10"/>
  <c r="D68" i="10"/>
  <c r="C68" i="10"/>
  <c r="E67" i="10"/>
  <c r="D67" i="10"/>
  <c r="C67" i="10"/>
  <c r="E66" i="10"/>
  <c r="D66" i="10"/>
  <c r="C66" i="10"/>
  <c r="E65" i="10"/>
  <c r="D65" i="10"/>
  <c r="C65" i="10"/>
  <c r="E64" i="10"/>
  <c r="D64" i="10"/>
  <c r="C64" i="10"/>
  <c r="E63" i="10"/>
  <c r="D63" i="10"/>
  <c r="C63" i="10"/>
  <c r="E62" i="10"/>
  <c r="D62" i="10"/>
  <c r="C62" i="10"/>
  <c r="E61" i="10"/>
  <c r="D61" i="10"/>
  <c r="C61" i="10"/>
  <c r="E60" i="10"/>
  <c r="D60" i="10"/>
  <c r="C60" i="10"/>
  <c r="E59" i="10"/>
  <c r="D59" i="10"/>
  <c r="C59" i="10"/>
  <c r="E58" i="10"/>
  <c r="D58" i="10"/>
  <c r="C58" i="10"/>
  <c r="E57" i="10"/>
  <c r="D57" i="10"/>
  <c r="C57" i="10"/>
  <c r="E56" i="10"/>
  <c r="D56" i="10"/>
  <c r="C56" i="10"/>
  <c r="E55" i="10"/>
  <c r="D55" i="10"/>
  <c r="C55" i="10"/>
  <c r="E54" i="10"/>
  <c r="D54" i="10"/>
  <c r="C54" i="10"/>
  <c r="E53" i="10"/>
  <c r="D53" i="10"/>
  <c r="C53" i="10"/>
  <c r="E52" i="10"/>
  <c r="D52" i="10"/>
  <c r="C52" i="10"/>
  <c r="E51" i="10"/>
  <c r="D51" i="10"/>
  <c r="C51" i="10"/>
  <c r="E50" i="10"/>
  <c r="D50" i="10"/>
  <c r="C50" i="10"/>
  <c r="E49" i="10"/>
  <c r="D49" i="10"/>
  <c r="C49" i="10"/>
  <c r="E48" i="10"/>
  <c r="D48" i="10"/>
  <c r="C48" i="10"/>
  <c r="E47" i="10"/>
  <c r="D47" i="10"/>
  <c r="C47" i="10"/>
  <c r="E46" i="10"/>
  <c r="D46" i="10"/>
  <c r="C46" i="10"/>
  <c r="E45" i="10"/>
  <c r="D45" i="10"/>
  <c r="C45" i="10"/>
  <c r="E44" i="10"/>
  <c r="D44" i="10"/>
  <c r="C44" i="10"/>
  <c r="E43" i="10"/>
  <c r="D43" i="10"/>
  <c r="C43" i="10"/>
  <c r="E42" i="10"/>
  <c r="D42" i="10"/>
  <c r="C42" i="10"/>
  <c r="E41" i="10"/>
  <c r="D41" i="10"/>
  <c r="C41" i="10"/>
  <c r="E40" i="10"/>
  <c r="D40" i="10"/>
  <c r="C40" i="10"/>
  <c r="E39" i="10"/>
  <c r="D39" i="10"/>
  <c r="C39" i="10"/>
  <c r="E38" i="10"/>
  <c r="D38" i="10"/>
  <c r="C38" i="10"/>
  <c r="E37" i="10"/>
  <c r="D37" i="10"/>
  <c r="C37" i="10"/>
  <c r="E36" i="10"/>
  <c r="D36" i="10"/>
  <c r="C36" i="10"/>
  <c r="E35" i="10"/>
  <c r="D35" i="10"/>
  <c r="C35" i="10"/>
  <c r="E34" i="10"/>
  <c r="D34" i="10"/>
  <c r="C34" i="10"/>
  <c r="E33" i="10"/>
  <c r="D33" i="10"/>
  <c r="C33" i="10"/>
  <c r="E32" i="10"/>
  <c r="D32" i="10"/>
  <c r="C32" i="10"/>
  <c r="E31" i="10"/>
  <c r="D31" i="10"/>
  <c r="C31" i="10"/>
  <c r="E30" i="10"/>
  <c r="D30" i="10"/>
  <c r="C30" i="10"/>
  <c r="E29" i="10"/>
  <c r="D29" i="10"/>
  <c r="C29" i="10"/>
  <c r="E28" i="10"/>
  <c r="D28" i="10"/>
  <c r="C28" i="10"/>
  <c r="E27" i="10"/>
  <c r="D27" i="10"/>
  <c r="C27" i="10"/>
  <c r="E26" i="10"/>
  <c r="D26" i="10"/>
  <c r="C26" i="10"/>
  <c r="E25" i="10"/>
  <c r="D25" i="10"/>
  <c r="C25" i="10"/>
  <c r="E24" i="10"/>
  <c r="D24" i="10"/>
  <c r="C24" i="10"/>
  <c r="E23" i="10"/>
  <c r="C23" i="10"/>
  <c r="B23" i="10"/>
  <c r="E22" i="10"/>
  <c r="D22" i="10"/>
  <c r="B22" i="10"/>
  <c r="E21" i="10"/>
  <c r="D21" i="10"/>
  <c r="B21" i="10"/>
  <c r="E20" i="10"/>
  <c r="D20" i="10"/>
  <c r="B20" i="10"/>
  <c r="E19" i="10"/>
  <c r="D19" i="10"/>
  <c r="B19" i="10"/>
  <c r="E18" i="10"/>
  <c r="D18" i="10"/>
  <c r="B18" i="10"/>
  <c r="E17" i="10"/>
  <c r="D17" i="10"/>
  <c r="B17" i="10"/>
  <c r="E16" i="10"/>
  <c r="D16" i="10"/>
  <c r="B16" i="10"/>
  <c r="E15" i="10"/>
  <c r="D15" i="10"/>
  <c r="B15" i="10"/>
  <c r="E14" i="10"/>
  <c r="D14" i="10"/>
  <c r="B14" i="10"/>
  <c r="E13" i="10"/>
  <c r="D13" i="10"/>
  <c r="B13" i="10"/>
  <c r="E12" i="10"/>
  <c r="D12" i="10"/>
  <c r="B12" i="10"/>
  <c r="E11" i="10"/>
  <c r="D11" i="10"/>
  <c r="B11" i="10"/>
  <c r="E10" i="10"/>
  <c r="D10" i="10"/>
  <c r="B10" i="10"/>
  <c r="E9" i="10"/>
  <c r="D9" i="10"/>
  <c r="B9" i="10"/>
  <c r="E8" i="10"/>
  <c r="D8" i="10"/>
  <c r="B8" i="10"/>
  <c r="E7" i="10"/>
  <c r="D7" i="10"/>
  <c r="B7" i="10"/>
  <c r="E6" i="10"/>
  <c r="D6" i="10"/>
  <c r="B6" i="10"/>
  <c r="E5" i="10"/>
  <c r="D5" i="10"/>
  <c r="B5" i="10"/>
  <c r="E4" i="10"/>
  <c r="D4" i="10"/>
  <c r="B4" i="10"/>
  <c r="E3" i="10"/>
  <c r="D3" i="10"/>
  <c r="B3" i="10"/>
  <c r="E2" i="10"/>
  <c r="D2" i="10"/>
  <c r="B2" i="10"/>
  <c r="B6" i="9"/>
  <c r="B12" i="9" s="1"/>
  <c r="G29" i="4" s="1"/>
  <c r="B3" i="8"/>
  <c r="B2" i="8"/>
  <c r="Z8" i="2"/>
  <c r="N8" i="2"/>
  <c r="B8" i="2"/>
  <c r="Z9" i="1"/>
  <c r="N9" i="1"/>
  <c r="B9" i="1"/>
  <c r="B7" i="9" l="1"/>
  <c r="B8" i="9"/>
  <c r="Z10" i="4" s="1"/>
  <c r="I103" i="17"/>
  <c r="I48" i="17"/>
  <c r="I133" i="17"/>
  <c r="I11" i="17"/>
  <c r="I40" i="17"/>
  <c r="I58" i="17"/>
  <c r="I86" i="17"/>
  <c r="I154" i="17"/>
  <c r="I66" i="17"/>
  <c r="AM8" i="5"/>
  <c r="I3" i="17"/>
  <c r="B9" i="9"/>
  <c r="B8" i="11" s="1"/>
  <c r="B10" i="9"/>
  <c r="AE12" i="4" s="1"/>
  <c r="B11" i="9"/>
  <c r="I8" i="10" s="1"/>
  <c r="I33" i="17"/>
  <c r="I78" i="17"/>
  <c r="I174" i="17"/>
  <c r="I194" i="17"/>
  <c r="I70" i="17"/>
  <c r="I128" i="17"/>
  <c r="I166" i="17"/>
  <c r="AM3" i="4"/>
  <c r="B3" i="4"/>
  <c r="G25" i="4"/>
  <c r="G24" i="4"/>
  <c r="K107" i="10"/>
  <c r="K3" i="10"/>
  <c r="I5" i="10"/>
  <c r="K14" i="10"/>
  <c r="I16" i="10"/>
  <c r="F18" i="10"/>
  <c r="K25" i="10"/>
  <c r="F33" i="10"/>
  <c r="F35" i="10"/>
  <c r="I37" i="10"/>
  <c r="I41" i="10"/>
  <c r="I43" i="10"/>
  <c r="I45" i="10"/>
  <c r="F50" i="10"/>
  <c r="I61" i="10"/>
  <c r="K63" i="10"/>
  <c r="K65" i="10"/>
  <c r="I81" i="10"/>
  <c r="K92" i="10"/>
  <c r="F101" i="10"/>
  <c r="I108" i="10"/>
  <c r="F124" i="10"/>
  <c r="F129" i="10"/>
  <c r="I131" i="10"/>
  <c r="I143" i="10"/>
  <c r="K5" i="10"/>
  <c r="I7" i="10"/>
  <c r="I18" i="10"/>
  <c r="F20" i="10"/>
  <c r="K27" i="10"/>
  <c r="K29" i="10"/>
  <c r="K31" i="10"/>
  <c r="I33" i="10"/>
  <c r="K35" i="10"/>
  <c r="K37" i="10"/>
  <c r="K39" i="10"/>
  <c r="K45" i="10"/>
  <c r="I50" i="10"/>
  <c r="K52" i="10"/>
  <c r="K54" i="10"/>
  <c r="K61" i="10"/>
  <c r="I70" i="10"/>
  <c r="K81" i="10"/>
  <c r="F90" i="10"/>
  <c r="I97" i="10"/>
  <c r="K101" i="10"/>
  <c r="K106" i="10"/>
  <c r="K108" i="10"/>
  <c r="I110" i="10"/>
  <c r="F127" i="10"/>
  <c r="I129" i="10"/>
  <c r="K131" i="10"/>
  <c r="K136" i="10"/>
  <c r="I19" i="10"/>
  <c r="K28" i="10"/>
  <c r="K7" i="10"/>
  <c r="I9" i="10"/>
  <c r="F11" i="10"/>
  <c r="K18" i="10"/>
  <c r="I20" i="10"/>
  <c r="F22" i="10"/>
  <c r="K50" i="10"/>
  <c r="I59" i="10"/>
  <c r="K70" i="10"/>
  <c r="F79" i="10"/>
  <c r="I86" i="10"/>
  <c r="F88" i="10"/>
  <c r="K90" i="10"/>
  <c r="K95" i="10"/>
  <c r="K97" i="10"/>
  <c r="I99" i="10"/>
  <c r="F122" i="10"/>
  <c r="I127" i="10"/>
  <c r="K129" i="10"/>
  <c r="I141" i="10"/>
  <c r="I146" i="10"/>
  <c r="I48" i="10"/>
  <c r="K59" i="10"/>
  <c r="F68" i="10"/>
  <c r="I75" i="10"/>
  <c r="F77" i="10"/>
  <c r="K79" i="10"/>
  <c r="K84" i="10"/>
  <c r="K86" i="10"/>
  <c r="I88" i="10"/>
  <c r="F120" i="10"/>
  <c r="I122" i="10"/>
  <c r="K127" i="10"/>
  <c r="K134" i="10"/>
  <c r="K139" i="10"/>
  <c r="K146" i="10"/>
  <c r="K22" i="10"/>
  <c r="I24" i="10"/>
  <c r="F26" i="10"/>
  <c r="K48" i="10"/>
  <c r="F57" i="10"/>
  <c r="I64" i="10"/>
  <c r="F66" i="10"/>
  <c r="K68" i="10"/>
  <c r="K73" i="10"/>
  <c r="K75" i="10"/>
  <c r="I77" i="10"/>
  <c r="F113" i="10"/>
  <c r="F118" i="10"/>
  <c r="I120" i="10"/>
  <c r="I125" i="10"/>
  <c r="F144" i="10"/>
  <c r="I216" i="17"/>
  <c r="K2" i="10"/>
  <c r="I4" i="10"/>
  <c r="F6" i="10"/>
  <c r="K13" i="10"/>
  <c r="I15" i="10"/>
  <c r="F17" i="10"/>
  <c r="K24" i="10"/>
  <c r="I26" i="10"/>
  <c r="F28" i="10"/>
  <c r="F30" i="10"/>
  <c r="F32" i="10"/>
  <c r="F34" i="10"/>
  <c r="F36" i="10"/>
  <c r="F38" i="10"/>
  <c r="F40" i="10"/>
  <c r="I42" i="10"/>
  <c r="F44" i="10"/>
  <c r="F46" i="10"/>
  <c r="I53" i="10"/>
  <c r="F55" i="10"/>
  <c r="K57" i="10"/>
  <c r="K62" i="10"/>
  <c r="K64" i="10"/>
  <c r="I66" i="10"/>
  <c r="F102" i="10"/>
  <c r="F107" i="10"/>
  <c r="F109" i="10"/>
  <c r="F111" i="10"/>
  <c r="F116" i="10"/>
  <c r="I118" i="10"/>
  <c r="K120" i="10"/>
  <c r="K125" i="10"/>
  <c r="F132" i="10"/>
  <c r="K144" i="10"/>
  <c r="K4" i="10"/>
  <c r="I6" i="10"/>
  <c r="F8" i="10"/>
  <c r="K15" i="10"/>
  <c r="I17" i="10"/>
  <c r="F19" i="10"/>
  <c r="K26" i="10"/>
  <c r="I28" i="10"/>
  <c r="I30" i="10"/>
  <c r="I32" i="10"/>
  <c r="I34" i="10"/>
  <c r="I36" i="10"/>
  <c r="I38" i="10"/>
  <c r="K40" i="10"/>
  <c r="K42" i="10"/>
  <c r="I44" i="10"/>
  <c r="K46" i="10"/>
  <c r="K51" i="10"/>
  <c r="K53" i="10"/>
  <c r="I55" i="10"/>
  <c r="F91" i="10"/>
  <c r="F96" i="10"/>
  <c r="F98" i="10"/>
  <c r="F100" i="10"/>
  <c r="F105" i="10"/>
  <c r="I107" i="10"/>
  <c r="I109" i="10"/>
  <c r="I111" i="10"/>
  <c r="I116" i="10"/>
  <c r="K118" i="10"/>
  <c r="I130" i="10"/>
  <c r="I224" i="17"/>
  <c r="F146" i="10"/>
  <c r="I144" i="10"/>
  <c r="K142" i="10"/>
  <c r="I147" i="10"/>
  <c r="F147" i="10"/>
  <c r="F145" i="10"/>
  <c r="F143" i="10"/>
  <c r="F141" i="10"/>
  <c r="I139" i="10"/>
  <c r="K137" i="10"/>
  <c r="F130" i="10"/>
  <c r="I128" i="10"/>
  <c r="K126" i="10"/>
  <c r="F119" i="10"/>
  <c r="I117" i="10"/>
  <c r="K115" i="10"/>
  <c r="F108" i="10"/>
  <c r="I106" i="10"/>
  <c r="K104" i="10"/>
  <c r="F97" i="10"/>
  <c r="I95" i="10"/>
  <c r="K93" i="10"/>
  <c r="F86" i="10"/>
  <c r="I84" i="10"/>
  <c r="K82" i="10"/>
  <c r="F75" i="10"/>
  <c r="I73" i="10"/>
  <c r="K71" i="10"/>
  <c r="F64" i="10"/>
  <c r="I62" i="10"/>
  <c r="K60" i="10"/>
  <c r="F53" i="10"/>
  <c r="I51" i="10"/>
  <c r="K49" i="10"/>
  <c r="F42" i="10"/>
  <c r="I40" i="10"/>
  <c r="K38" i="10"/>
  <c r="F31" i="10"/>
  <c r="I29" i="10"/>
  <c r="F139" i="10"/>
  <c r="I137" i="10"/>
  <c r="K135" i="10"/>
  <c r="F128" i="10"/>
  <c r="I126" i="10"/>
  <c r="K124" i="10"/>
  <c r="F117" i="10"/>
  <c r="I115" i="10"/>
  <c r="K113" i="10"/>
  <c r="F106" i="10"/>
  <c r="I104" i="10"/>
  <c r="K102" i="10"/>
  <c r="F95" i="10"/>
  <c r="I93" i="10"/>
  <c r="K91" i="10"/>
  <c r="F84" i="10"/>
  <c r="I82" i="10"/>
  <c r="K80" i="10"/>
  <c r="F73" i="10"/>
  <c r="I71" i="10"/>
  <c r="K69" i="10"/>
  <c r="F62" i="10"/>
  <c r="I60" i="10"/>
  <c r="K58" i="10"/>
  <c r="F51" i="10"/>
  <c r="I49" i="10"/>
  <c r="K47" i="10"/>
  <c r="F137" i="10"/>
  <c r="I135" i="10"/>
  <c r="K133" i="10"/>
  <c r="F126" i="10"/>
  <c r="I124" i="10"/>
  <c r="K122" i="10"/>
  <c r="F115" i="10"/>
  <c r="I113" i="10"/>
  <c r="K111" i="10"/>
  <c r="F104" i="10"/>
  <c r="I102" i="10"/>
  <c r="K100" i="10"/>
  <c r="F93" i="10"/>
  <c r="I91" i="10"/>
  <c r="K89" i="10"/>
  <c r="F82" i="10"/>
  <c r="I80" i="10"/>
  <c r="K78" i="10"/>
  <c r="F71" i="10"/>
  <c r="I69" i="10"/>
  <c r="K67" i="10"/>
  <c r="F60" i="10"/>
  <c r="I58" i="10"/>
  <c r="K56" i="10"/>
  <c r="F49" i="10"/>
  <c r="I47" i="10"/>
  <c r="F136" i="10"/>
  <c r="I134" i="10"/>
  <c r="K132" i="10"/>
  <c r="F125" i="10"/>
  <c r="I123" i="10"/>
  <c r="K121" i="10"/>
  <c r="F114" i="10"/>
  <c r="I112" i="10"/>
  <c r="K110" i="10"/>
  <c r="F103" i="10"/>
  <c r="I101" i="10"/>
  <c r="K99" i="10"/>
  <c r="F92" i="10"/>
  <c r="I90" i="10"/>
  <c r="K88" i="10"/>
  <c r="F81" i="10"/>
  <c r="I79" i="10"/>
  <c r="K77" i="10"/>
  <c r="F70" i="10"/>
  <c r="I68" i="10"/>
  <c r="K66" i="10"/>
  <c r="F59" i="10"/>
  <c r="I57" i="10"/>
  <c r="K55" i="10"/>
  <c r="F48" i="10"/>
  <c r="I46" i="10"/>
  <c r="K44" i="10"/>
  <c r="F37" i="10"/>
  <c r="I35" i="10"/>
  <c r="K33" i="10"/>
  <c r="K147" i="10"/>
  <c r="K145" i="10"/>
  <c r="K143" i="10"/>
  <c r="K141" i="10"/>
  <c r="F134" i="10"/>
  <c r="I132" i="10"/>
  <c r="K130" i="10"/>
  <c r="F123" i="10"/>
  <c r="I121" i="10"/>
  <c r="K119" i="10"/>
  <c r="F80" i="10"/>
  <c r="I108" i="17"/>
  <c r="I157" i="17"/>
  <c r="K6" i="10"/>
  <c r="K32" i="10"/>
  <c r="F87" i="10"/>
  <c r="F89" i="10"/>
  <c r="F94" i="10"/>
  <c r="I96" i="10"/>
  <c r="I98" i="10"/>
  <c r="I100" i="10"/>
  <c r="I105" i="10"/>
  <c r="K109" i="10"/>
  <c r="K116" i="10"/>
  <c r="K123" i="10"/>
  <c r="K128" i="10"/>
  <c r="F135" i="10"/>
  <c r="F140" i="10"/>
  <c r="I142" i="10"/>
  <c r="I12" i="17"/>
  <c r="I25" i="17"/>
  <c r="I136" i="17"/>
  <c r="I191" i="17"/>
  <c r="F21" i="10"/>
  <c r="K30" i="10"/>
  <c r="K36" i="10"/>
  <c r="F85" i="10"/>
  <c r="K8" i="10"/>
  <c r="I10" i="10"/>
  <c r="F12" i="10"/>
  <c r="K19" i="10"/>
  <c r="I21" i="10"/>
  <c r="F23" i="10"/>
  <c r="F69" i="10"/>
  <c r="F74" i="10"/>
  <c r="F76" i="10"/>
  <c r="F78" i="10"/>
  <c r="F83" i="10"/>
  <c r="I85" i="10"/>
  <c r="I87" i="10"/>
  <c r="I89" i="10"/>
  <c r="I94" i="10"/>
  <c r="K96" i="10"/>
  <c r="K98" i="10"/>
  <c r="K105" i="10"/>
  <c r="I114" i="10"/>
  <c r="F138" i="10"/>
  <c r="B13" i="9"/>
  <c r="F3" i="10"/>
  <c r="K10" i="10"/>
  <c r="I12" i="10"/>
  <c r="F14" i="10"/>
  <c r="K21" i="10"/>
  <c r="I23" i="10"/>
  <c r="F25" i="10"/>
  <c r="F58" i="10"/>
  <c r="F63" i="10"/>
  <c r="F65" i="10"/>
  <c r="F67" i="10"/>
  <c r="F72" i="10"/>
  <c r="I74" i="10"/>
  <c r="I76" i="10"/>
  <c r="I78" i="10"/>
  <c r="I83" i="10"/>
  <c r="K85" i="10"/>
  <c r="K87" i="10"/>
  <c r="K94" i="10"/>
  <c r="I103" i="10"/>
  <c r="K114" i="10"/>
  <c r="F121" i="10"/>
  <c r="F133" i="10"/>
  <c r="I138" i="10"/>
  <c r="K140" i="10"/>
  <c r="I145" i="10"/>
  <c r="I228" i="17"/>
  <c r="I217" i="17"/>
  <c r="I206" i="17"/>
  <c r="I195" i="17"/>
  <c r="I184" i="17"/>
  <c r="I173" i="17"/>
  <c r="I162" i="17"/>
  <c r="I151" i="17"/>
  <c r="I140" i="17"/>
  <c r="I129" i="17"/>
  <c r="I118" i="17"/>
  <c r="I107" i="17"/>
  <c r="I96" i="17"/>
  <c r="I85" i="17"/>
  <c r="I74" i="17"/>
  <c r="I63" i="17"/>
  <c r="I52" i="17"/>
  <c r="I41" i="17"/>
  <c r="I30" i="17"/>
  <c r="I19" i="17"/>
  <c r="I8" i="17"/>
  <c r="I225" i="17"/>
  <c r="I214" i="17"/>
  <c r="I203" i="17"/>
  <c r="I192" i="17"/>
  <c r="I181" i="17"/>
  <c r="I170" i="17"/>
  <c r="I159" i="17"/>
  <c r="I148" i="17"/>
  <c r="I137" i="17"/>
  <c r="I126" i="17"/>
  <c r="I115" i="17"/>
  <c r="I104" i="17"/>
  <c r="I93" i="17"/>
  <c r="I82" i="17"/>
  <c r="I71" i="17"/>
  <c r="I60" i="17"/>
  <c r="I49" i="17"/>
  <c r="I38" i="17"/>
  <c r="I27" i="17"/>
  <c r="I16" i="17"/>
  <c r="I5" i="17"/>
  <c r="I222" i="17"/>
  <c r="I211" i="17"/>
  <c r="I200" i="17"/>
  <c r="I189" i="17"/>
  <c r="I178" i="17"/>
  <c r="I167" i="17"/>
  <c r="I156" i="17"/>
  <c r="I145" i="17"/>
  <c r="I134" i="17"/>
  <c r="I123" i="17"/>
  <c r="I112" i="17"/>
  <c r="I101" i="17"/>
  <c r="I90" i="17"/>
  <c r="I79" i="17"/>
  <c r="I68" i="17"/>
  <c r="I57" i="17"/>
  <c r="I46" i="17"/>
  <c r="I35" i="17"/>
  <c r="I24" i="17"/>
  <c r="I13" i="17"/>
  <c r="I2" i="17"/>
  <c r="I219" i="17"/>
  <c r="I208" i="17"/>
  <c r="I197" i="17"/>
  <c r="I186" i="17"/>
  <c r="I175" i="17"/>
  <c r="I164" i="17"/>
  <c r="I153" i="17"/>
  <c r="I142" i="17"/>
  <c r="I131" i="17"/>
  <c r="I120" i="17"/>
  <c r="I109" i="17"/>
  <c r="I98" i="17"/>
  <c r="I87" i="17"/>
  <c r="I76" i="17"/>
  <c r="I65" i="17"/>
  <c r="I54" i="17"/>
  <c r="I43" i="17"/>
  <c r="I32" i="17"/>
  <c r="I21" i="17"/>
  <c r="I10" i="17"/>
  <c r="I227" i="17"/>
  <c r="I226" i="17"/>
  <c r="I215" i="17"/>
  <c r="I204" i="17"/>
  <c r="I193" i="17"/>
  <c r="I182" i="17"/>
  <c r="I171" i="17"/>
  <c r="I160" i="17"/>
  <c r="I149" i="17"/>
  <c r="I138" i="17"/>
  <c r="I127" i="17"/>
  <c r="I116" i="17"/>
  <c r="I105" i="17"/>
  <c r="I94" i="17"/>
  <c r="I83" i="17"/>
  <c r="I72" i="17"/>
  <c r="I61" i="17"/>
  <c r="I50" i="17"/>
  <c r="I39" i="17"/>
  <c r="I28" i="17"/>
  <c r="I17" i="17"/>
  <c r="I6" i="17"/>
  <c r="I210" i="17"/>
  <c r="I185" i="17"/>
  <c r="I172" i="17"/>
  <c r="I147" i="17"/>
  <c r="I135" i="17"/>
  <c r="I110" i="17"/>
  <c r="I89" i="17"/>
  <c r="I64" i="17"/>
  <c r="I51" i="17"/>
  <c r="I26" i="17"/>
  <c r="I14" i="17"/>
  <c r="I218" i="17"/>
  <c r="I205" i="17"/>
  <c r="I180" i="17"/>
  <c r="I168" i="17"/>
  <c r="I143" i="17"/>
  <c r="I122" i="17"/>
  <c r="I97" i="17"/>
  <c r="I84" i="17"/>
  <c r="I59" i="17"/>
  <c r="I47" i="17"/>
  <c r="I22" i="17"/>
  <c r="I213" i="17"/>
  <c r="I201" i="17"/>
  <c r="I176" i="17"/>
  <c r="I155" i="17"/>
  <c r="I130" i="17"/>
  <c r="I117" i="17"/>
  <c r="I92" i="17"/>
  <c r="I80" i="17"/>
  <c r="I55" i="17"/>
  <c r="I34" i="17"/>
  <c r="I9" i="17"/>
  <c r="I209" i="17"/>
  <c r="I188" i="17"/>
  <c r="I163" i="17"/>
  <c r="I150" i="17"/>
  <c r="I125" i="17"/>
  <c r="I113" i="17"/>
  <c r="I88" i="17"/>
  <c r="I67" i="17"/>
  <c r="I42" i="17"/>
  <c r="I29" i="17"/>
  <c r="I4" i="17"/>
  <c r="I221" i="17"/>
  <c r="I196" i="17"/>
  <c r="I183" i="17"/>
  <c r="I158" i="17"/>
  <c r="I146" i="17"/>
  <c r="I121" i="17"/>
  <c r="I100" i="17"/>
  <c r="I75" i="17"/>
  <c r="I202" i="17"/>
  <c r="I190" i="17"/>
  <c r="I165" i="17"/>
  <c r="I144" i="17"/>
  <c r="I119" i="17"/>
  <c r="I106" i="17"/>
  <c r="I81" i="17"/>
  <c r="I69" i="17"/>
  <c r="I44" i="17"/>
  <c r="I23" i="17"/>
  <c r="I223" i="17"/>
  <c r="I198" i="17"/>
  <c r="I177" i="17"/>
  <c r="I152" i="17"/>
  <c r="I139" i="17"/>
  <c r="I114" i="17"/>
  <c r="I102" i="17"/>
  <c r="I77" i="17"/>
  <c r="I56" i="17"/>
  <c r="I31" i="17"/>
  <c r="I18" i="17"/>
  <c r="I37" i="17"/>
  <c r="I95" i="17"/>
  <c r="I124" i="17"/>
  <c r="I199" i="17"/>
  <c r="I220" i="17"/>
  <c r="F10" i="10"/>
  <c r="I140" i="10"/>
  <c r="I3" i="10"/>
  <c r="F5" i="10"/>
  <c r="K12" i="10"/>
  <c r="I14" i="10"/>
  <c r="F16" i="10"/>
  <c r="K23" i="10"/>
  <c r="I25" i="10"/>
  <c r="F27" i="10"/>
  <c r="F39" i="10"/>
  <c r="F41" i="10"/>
  <c r="F43" i="10"/>
  <c r="F45" i="10"/>
  <c r="F47" i="10"/>
  <c r="F52" i="10"/>
  <c r="F54" i="10"/>
  <c r="F56" i="10"/>
  <c r="F61" i="10"/>
  <c r="I63" i="10"/>
  <c r="I65" i="10"/>
  <c r="I67" i="10"/>
  <c r="I72" i="10"/>
  <c r="K74" i="10"/>
  <c r="K76" i="10"/>
  <c r="K83" i="10"/>
  <c r="I92" i="10"/>
  <c r="K103" i="10"/>
  <c r="F112" i="10"/>
  <c r="I119" i="10"/>
  <c r="F131" i="10"/>
  <c r="I133" i="10"/>
  <c r="K138" i="10"/>
  <c r="B3" i="14"/>
  <c r="I20" i="17"/>
  <c r="I62" i="17"/>
  <c r="I179" i="17"/>
  <c r="I207" i="17"/>
  <c r="K117" i="10" l="1"/>
  <c r="I56" i="10"/>
  <c r="I31" i="10"/>
  <c r="K34" i="10"/>
  <c r="B14" i="9"/>
  <c r="K43" i="10"/>
  <c r="K16" i="10"/>
  <c r="K112" i="10"/>
  <c r="I54" i="10"/>
  <c r="F29" i="10"/>
  <c r="K17" i="10"/>
  <c r="F99" i="10"/>
  <c r="K41" i="10"/>
  <c r="F9" i="10"/>
  <c r="F110" i="10"/>
  <c r="I52" i="10"/>
  <c r="I27" i="10"/>
  <c r="F142" i="10"/>
  <c r="I2" i="10"/>
  <c r="I13" i="10"/>
  <c r="F24" i="10"/>
  <c r="F2" i="10"/>
  <c r="F15" i="10"/>
  <c r="K11" i="10"/>
  <c r="F13" i="10"/>
  <c r="I22" i="10"/>
  <c r="I11" i="10"/>
  <c r="K20" i="10"/>
  <c r="F4" i="10"/>
  <c r="N19" i="4"/>
  <c r="K9" i="10"/>
  <c r="Z12" i="4"/>
  <c r="B10" i="11"/>
  <c r="I136" i="10"/>
  <c r="K72" i="10"/>
  <c r="I39" i="10"/>
  <c r="F7" i="10"/>
  <c r="B18" i="4"/>
  <c r="G23" i="4"/>
  <c r="B23" i="14"/>
  <c r="K8" i="5" s="1"/>
  <c r="B12" i="14"/>
  <c r="B22" i="14"/>
  <c r="B9" i="5" s="1"/>
  <c r="B15" i="14"/>
  <c r="X19" i="5" s="1"/>
  <c r="B4" i="14"/>
  <c r="B9" i="14"/>
  <c r="B21" i="14"/>
  <c r="T9" i="5" s="1"/>
  <c r="B7" i="14"/>
  <c r="B20" i="14"/>
  <c r="T8" i="5" s="1"/>
  <c r="B6" i="14"/>
  <c r="B13" i="14"/>
  <c r="B19" i="14"/>
  <c r="AM6" i="5" s="1"/>
  <c r="B18" i="14"/>
  <c r="AM5" i="5" s="1"/>
  <c r="B17" i="14"/>
  <c r="AM4" i="5" s="1"/>
  <c r="B16" i="14"/>
  <c r="AM3" i="5" s="1"/>
  <c r="B14" i="14"/>
  <c r="X17" i="5" s="1"/>
  <c r="B5" i="14"/>
  <c r="X15" i="5" l="1"/>
  <c r="B8" i="14"/>
  <c r="AC8" i="5" s="1"/>
  <c r="G223" i="17"/>
  <c r="H220" i="17"/>
  <c r="G212" i="17"/>
  <c r="H209" i="17"/>
  <c r="G201" i="17"/>
  <c r="H198" i="17"/>
  <c r="G190" i="17"/>
  <c r="H187" i="17"/>
  <c r="G179" i="17"/>
  <c r="H176" i="17"/>
  <c r="G168" i="17"/>
  <c r="H165" i="17"/>
  <c r="G157" i="17"/>
  <c r="H154" i="17"/>
  <c r="G146" i="17"/>
  <c r="H143" i="17"/>
  <c r="G135" i="17"/>
  <c r="H132" i="17"/>
  <c r="G124" i="17"/>
  <c r="H121" i="17"/>
  <c r="G113" i="17"/>
  <c r="H110" i="17"/>
  <c r="G102" i="17"/>
  <c r="H99" i="17"/>
  <c r="G91" i="17"/>
  <c r="H88" i="17"/>
  <c r="G80" i="17"/>
  <c r="H77" i="17"/>
  <c r="G69" i="17"/>
  <c r="H66" i="17"/>
  <c r="G58" i="17"/>
  <c r="H55" i="17"/>
  <c r="G47" i="17"/>
  <c r="H44" i="17"/>
  <c r="G36" i="17"/>
  <c r="H33" i="17"/>
  <c r="G25" i="17"/>
  <c r="H22" i="17"/>
  <c r="G14" i="17"/>
  <c r="H11" i="17"/>
  <c r="G3" i="17"/>
  <c r="C7" i="15"/>
  <c r="S145" i="12"/>
  <c r="S134" i="12"/>
  <c r="S123" i="12"/>
  <c r="S112" i="12"/>
  <c r="S101" i="12"/>
  <c r="S90" i="12"/>
  <c r="S79" i="12"/>
  <c r="S68" i="12"/>
  <c r="S57" i="12"/>
  <c r="S46" i="12"/>
  <c r="S35" i="12"/>
  <c r="S24" i="12"/>
  <c r="S13" i="12"/>
  <c r="S2" i="12"/>
  <c r="H228" i="17"/>
  <c r="G220" i="17"/>
  <c r="H217" i="17"/>
  <c r="G209" i="17"/>
  <c r="H206" i="17"/>
  <c r="G198" i="17"/>
  <c r="H195" i="17"/>
  <c r="G187" i="17"/>
  <c r="H184" i="17"/>
  <c r="G176" i="17"/>
  <c r="H173" i="17"/>
  <c r="G165" i="17"/>
  <c r="H162" i="17"/>
  <c r="G154" i="17"/>
  <c r="H151" i="17"/>
  <c r="G143" i="17"/>
  <c r="H140" i="17"/>
  <c r="G132" i="17"/>
  <c r="H129" i="17"/>
  <c r="G121" i="17"/>
  <c r="H118" i="17"/>
  <c r="G110" i="17"/>
  <c r="H107" i="17"/>
  <c r="G99" i="17"/>
  <c r="H96" i="17"/>
  <c r="G88" i="17"/>
  <c r="H85" i="17"/>
  <c r="G77" i="17"/>
  <c r="H74" i="17"/>
  <c r="G66" i="17"/>
  <c r="H63" i="17"/>
  <c r="G55" i="17"/>
  <c r="H52" i="17"/>
  <c r="G44" i="17"/>
  <c r="H41" i="17"/>
  <c r="G33" i="17"/>
  <c r="H30" i="17"/>
  <c r="G22" i="17"/>
  <c r="H19" i="17"/>
  <c r="G11" i="17"/>
  <c r="H8" i="17"/>
  <c r="C6" i="15"/>
  <c r="S144" i="12"/>
  <c r="G228" i="17"/>
  <c r="H225" i="17"/>
  <c r="G217" i="17"/>
  <c r="H214" i="17"/>
  <c r="G206" i="17"/>
  <c r="H203" i="17"/>
  <c r="G195" i="17"/>
  <c r="H192" i="17"/>
  <c r="G184" i="17"/>
  <c r="H181" i="17"/>
  <c r="G173" i="17"/>
  <c r="H170" i="17"/>
  <c r="G162" i="17"/>
  <c r="H159" i="17"/>
  <c r="G151" i="17"/>
  <c r="H148" i="17"/>
  <c r="G140" i="17"/>
  <c r="H137" i="17"/>
  <c r="G129" i="17"/>
  <c r="H126" i="17"/>
  <c r="G118" i="17"/>
  <c r="H115" i="17"/>
  <c r="G107" i="17"/>
  <c r="H104" i="17"/>
  <c r="G96" i="17"/>
  <c r="H93" i="17"/>
  <c r="G85" i="17"/>
  <c r="H82" i="17"/>
  <c r="G74" i="17"/>
  <c r="H71" i="17"/>
  <c r="G63" i="17"/>
  <c r="H60" i="17"/>
  <c r="G52" i="17"/>
  <c r="H49" i="17"/>
  <c r="G41" i="17"/>
  <c r="H38" i="17"/>
  <c r="G30" i="17"/>
  <c r="H27" i="17"/>
  <c r="G19" i="17"/>
  <c r="H16" i="17"/>
  <c r="G8" i="17"/>
  <c r="H5" i="17"/>
  <c r="C5" i="15"/>
  <c r="G225" i="17"/>
  <c r="H222" i="17"/>
  <c r="G214" i="17"/>
  <c r="H211" i="17"/>
  <c r="G203" i="17"/>
  <c r="H200" i="17"/>
  <c r="G192" i="17"/>
  <c r="H189" i="17"/>
  <c r="G181" i="17"/>
  <c r="H178" i="17"/>
  <c r="G170" i="17"/>
  <c r="H167" i="17"/>
  <c r="G159" i="17"/>
  <c r="H156" i="17"/>
  <c r="G148" i="17"/>
  <c r="H145" i="17"/>
  <c r="G137" i="17"/>
  <c r="H134" i="17"/>
  <c r="G126" i="17"/>
  <c r="H123" i="17"/>
  <c r="G115" i="17"/>
  <c r="H112" i="17"/>
  <c r="G104" i="17"/>
  <c r="H101" i="17"/>
  <c r="G93" i="17"/>
  <c r="H90" i="17"/>
  <c r="G82" i="17"/>
  <c r="H79" i="17"/>
  <c r="G71" i="17"/>
  <c r="H68" i="17"/>
  <c r="G60" i="17"/>
  <c r="H57" i="17"/>
  <c r="G49" i="17"/>
  <c r="H46" i="17"/>
  <c r="G38" i="17"/>
  <c r="H35" i="17"/>
  <c r="G27" i="17"/>
  <c r="H24" i="17"/>
  <c r="G16" i="17"/>
  <c r="H13" i="17"/>
  <c r="G5" i="17"/>
  <c r="H2" i="17"/>
  <c r="C4" i="15"/>
  <c r="H227" i="17"/>
  <c r="G227" i="17"/>
  <c r="G221" i="17"/>
  <c r="H218" i="17"/>
  <c r="G210" i="17"/>
  <c r="H207" i="17"/>
  <c r="G199" i="17"/>
  <c r="H196" i="17"/>
  <c r="G188" i="17"/>
  <c r="H185" i="17"/>
  <c r="G177" i="17"/>
  <c r="H174" i="17"/>
  <c r="G166" i="17"/>
  <c r="H163" i="17"/>
  <c r="G155" i="17"/>
  <c r="H152" i="17"/>
  <c r="G144" i="17"/>
  <c r="H141" i="17"/>
  <c r="G133" i="17"/>
  <c r="H130" i="17"/>
  <c r="G122" i="17"/>
  <c r="H119" i="17"/>
  <c r="G111" i="17"/>
  <c r="H108" i="17"/>
  <c r="G100" i="17"/>
  <c r="H97" i="17"/>
  <c r="G89" i="17"/>
  <c r="H86" i="17"/>
  <c r="G78" i="17"/>
  <c r="H75" i="17"/>
  <c r="G67" i="17"/>
  <c r="H64" i="17"/>
  <c r="G56" i="17"/>
  <c r="H53" i="17"/>
  <c r="G45" i="17"/>
  <c r="H42" i="17"/>
  <c r="G34" i="17"/>
  <c r="H31" i="17"/>
  <c r="G23" i="17"/>
  <c r="H20" i="17"/>
  <c r="G12" i="17"/>
  <c r="H9" i="17"/>
  <c r="C10" i="15"/>
  <c r="S137" i="12"/>
  <c r="S126" i="12"/>
  <c r="S115" i="12"/>
  <c r="S104" i="12"/>
  <c r="S93" i="12"/>
  <c r="S82" i="12"/>
  <c r="S71" i="12"/>
  <c r="H223" i="17"/>
  <c r="G202" i="17"/>
  <c r="H177" i="17"/>
  <c r="H164" i="17"/>
  <c r="H160" i="17"/>
  <c r="G156" i="17"/>
  <c r="G152" i="17"/>
  <c r="H139" i="17"/>
  <c r="G131" i="17"/>
  <c r="G127" i="17"/>
  <c r="H114" i="17"/>
  <c r="G106" i="17"/>
  <c r="H102" i="17"/>
  <c r="G81" i="17"/>
  <c r="H56" i="17"/>
  <c r="H43" i="17"/>
  <c r="H39" i="17"/>
  <c r="G35" i="17"/>
  <c r="G31" i="17"/>
  <c r="H18" i="17"/>
  <c r="G10" i="17"/>
  <c r="G6" i="17"/>
  <c r="S139" i="12"/>
  <c r="S125" i="12"/>
  <c r="S111" i="12"/>
  <c r="S98" i="12"/>
  <c r="S85" i="12"/>
  <c r="S72" i="12"/>
  <c r="S59" i="12"/>
  <c r="S47" i="12"/>
  <c r="S34" i="12"/>
  <c r="S22" i="12"/>
  <c r="S10" i="12"/>
  <c r="H210" i="17"/>
  <c r="H197" i="17"/>
  <c r="H193" i="17"/>
  <c r="G189" i="17"/>
  <c r="G185" i="17"/>
  <c r="H172" i="17"/>
  <c r="G164" i="17"/>
  <c r="G160" i="17"/>
  <c r="H147" i="17"/>
  <c r="G139" i="17"/>
  <c r="H135" i="17"/>
  <c r="G114" i="17"/>
  <c r="H89" i="17"/>
  <c r="H76" i="17"/>
  <c r="H72" i="17"/>
  <c r="G68" i="17"/>
  <c r="G64" i="17"/>
  <c r="H51" i="17"/>
  <c r="G43" i="17"/>
  <c r="G39" i="17"/>
  <c r="H26" i="17"/>
  <c r="G18" i="17"/>
  <c r="H14" i="17"/>
  <c r="C12" i="15"/>
  <c r="S138" i="12"/>
  <c r="S124" i="12"/>
  <c r="S110" i="12"/>
  <c r="S97" i="12"/>
  <c r="S84" i="12"/>
  <c r="S70" i="12"/>
  <c r="S58" i="12"/>
  <c r="B24" i="14" s="1"/>
  <c r="S45" i="12"/>
  <c r="S33" i="12"/>
  <c r="S21" i="12"/>
  <c r="S9" i="12"/>
  <c r="H226" i="17"/>
  <c r="G222" i="17"/>
  <c r="G218" i="17"/>
  <c r="H205" i="17"/>
  <c r="G197" i="17"/>
  <c r="G193" i="17"/>
  <c r="H180" i="17"/>
  <c r="G172" i="17"/>
  <c r="H168" i="17"/>
  <c r="G147" i="17"/>
  <c r="H122" i="17"/>
  <c r="H109" i="17"/>
  <c r="H105" i="17"/>
  <c r="G101" i="17"/>
  <c r="G97" i="17"/>
  <c r="H84" i="17"/>
  <c r="G76" i="17"/>
  <c r="G72" i="17"/>
  <c r="H59" i="17"/>
  <c r="G51" i="17"/>
  <c r="H47" i="17"/>
  <c r="G26" i="17"/>
  <c r="C11" i="15"/>
  <c r="S136" i="12"/>
  <c r="S122" i="12"/>
  <c r="S109" i="12"/>
  <c r="S96" i="12"/>
  <c r="S83" i="12"/>
  <c r="S69" i="12"/>
  <c r="S56" i="12"/>
  <c r="S44" i="12"/>
  <c r="S32" i="12"/>
  <c r="S20" i="12"/>
  <c r="S8" i="12"/>
  <c r="G226" i="17"/>
  <c r="H213" i="17"/>
  <c r="G205" i="17"/>
  <c r="H201" i="17"/>
  <c r="G180" i="17"/>
  <c r="H155" i="17"/>
  <c r="H142" i="17"/>
  <c r="H138" i="17"/>
  <c r="G134" i="17"/>
  <c r="G130" i="17"/>
  <c r="H117" i="17"/>
  <c r="G109" i="17"/>
  <c r="G105" i="17"/>
  <c r="H92" i="17"/>
  <c r="G84" i="17"/>
  <c r="H80" i="17"/>
  <c r="G59" i="17"/>
  <c r="H34" i="17"/>
  <c r="H21" i="17"/>
  <c r="H17" i="17"/>
  <c r="G13" i="17"/>
  <c r="G9" i="17"/>
  <c r="C9" i="15"/>
  <c r="S135" i="12"/>
  <c r="S121" i="12"/>
  <c r="S108" i="12"/>
  <c r="S95" i="12"/>
  <c r="S81" i="12"/>
  <c r="S67" i="12"/>
  <c r="S55" i="12"/>
  <c r="S43" i="12"/>
  <c r="S31" i="12"/>
  <c r="S19" i="12"/>
  <c r="S7" i="12"/>
  <c r="G213" i="17"/>
  <c r="H188" i="17"/>
  <c r="H175" i="17"/>
  <c r="H171" i="17"/>
  <c r="G167" i="17"/>
  <c r="G163" i="17"/>
  <c r="H150" i="17"/>
  <c r="G142" i="17"/>
  <c r="G138" i="17"/>
  <c r="H125" i="17"/>
  <c r="G117" i="17"/>
  <c r="H113" i="17"/>
  <c r="G92" i="17"/>
  <c r="H219" i="17"/>
  <c r="H215" i="17"/>
  <c r="G211" i="17"/>
  <c r="G207" i="17"/>
  <c r="H194" i="17"/>
  <c r="G186" i="17"/>
  <c r="G182" i="17"/>
  <c r="H169" i="17"/>
  <c r="G161" i="17"/>
  <c r="H157" i="17"/>
  <c r="G136" i="17"/>
  <c r="H111" i="17"/>
  <c r="H98" i="17"/>
  <c r="H94" i="17"/>
  <c r="G90" i="17"/>
  <c r="G86" i="17"/>
  <c r="H73" i="17"/>
  <c r="G65" i="17"/>
  <c r="G61" i="17"/>
  <c r="H48" i="17"/>
  <c r="G40" i="17"/>
  <c r="H36" i="17"/>
  <c r="G15" i="17"/>
  <c r="S141" i="12"/>
  <c r="S128" i="12"/>
  <c r="S114" i="12"/>
  <c r="S100" i="12"/>
  <c r="S87" i="12"/>
  <c r="S74" i="12"/>
  <c r="S61" i="12"/>
  <c r="S49" i="12"/>
  <c r="S37" i="12"/>
  <c r="S25" i="12"/>
  <c r="S12" i="12"/>
  <c r="G219" i="17"/>
  <c r="G215" i="17"/>
  <c r="H202" i="17"/>
  <c r="G194" i="17"/>
  <c r="H190" i="17"/>
  <c r="G169" i="17"/>
  <c r="H144" i="17"/>
  <c r="H131" i="17"/>
  <c r="H127" i="17"/>
  <c r="G123" i="17"/>
  <c r="G119" i="17"/>
  <c r="H106" i="17"/>
  <c r="G98" i="17"/>
  <c r="G94" i="17"/>
  <c r="H81" i="17"/>
  <c r="G73" i="17"/>
  <c r="H69" i="17"/>
  <c r="G48" i="17"/>
  <c r="H23" i="17"/>
  <c r="H10" i="17"/>
  <c r="H6" i="17"/>
  <c r="G2" i="17"/>
  <c r="B10" i="14"/>
  <c r="B29" i="14" s="1"/>
  <c r="B40" i="5" s="1"/>
  <c r="S140" i="12"/>
  <c r="S127" i="12"/>
  <c r="S113" i="12"/>
  <c r="S99" i="12"/>
  <c r="S86" i="12"/>
  <c r="S73" i="12"/>
  <c r="S60" i="12"/>
  <c r="S48" i="12"/>
  <c r="S36" i="12"/>
  <c r="S23" i="12"/>
  <c r="S11" i="12"/>
  <c r="H186" i="17"/>
  <c r="H166" i="17"/>
  <c r="H158" i="17"/>
  <c r="H103" i="17"/>
  <c r="G83" i="17"/>
  <c r="G57" i="17"/>
  <c r="H45" i="17"/>
  <c r="H32" i="17"/>
  <c r="H7" i="17"/>
  <c r="S118" i="12"/>
  <c r="S89" i="12"/>
  <c r="S62" i="12"/>
  <c r="S30" i="12"/>
  <c r="S5" i="12"/>
  <c r="H179" i="17"/>
  <c r="G158" i="17"/>
  <c r="G145" i="17"/>
  <c r="G103" i="17"/>
  <c r="G75" i="17"/>
  <c r="H62" i="17"/>
  <c r="H50" i="17"/>
  <c r="G32" i="17"/>
  <c r="G20" i="17"/>
  <c r="G7" i="17"/>
  <c r="C8" i="15"/>
  <c r="S117" i="12"/>
  <c r="S88" i="12"/>
  <c r="S54" i="12"/>
  <c r="S29" i="12"/>
  <c r="S4" i="12"/>
  <c r="H199" i="17"/>
  <c r="H124" i="17"/>
  <c r="H116" i="17"/>
  <c r="H95" i="17"/>
  <c r="G62" i="17"/>
  <c r="G50" i="17"/>
  <c r="H37" i="17"/>
  <c r="C3" i="15"/>
  <c r="S143" i="12"/>
  <c r="S116" i="12"/>
  <c r="S80" i="12"/>
  <c r="S53" i="12"/>
  <c r="S28" i="12"/>
  <c r="S3" i="12"/>
  <c r="S142" i="12"/>
  <c r="S107" i="12"/>
  <c r="S78" i="12"/>
  <c r="S52" i="12"/>
  <c r="S27" i="12"/>
  <c r="H212" i="17"/>
  <c r="H191" i="17"/>
  <c r="G178" i="17"/>
  <c r="G171" i="17"/>
  <c r="G150" i="17"/>
  <c r="H136" i="17"/>
  <c r="G116" i="17"/>
  <c r="G95" i="17"/>
  <c r="H87" i="17"/>
  <c r="H67" i="17"/>
  <c r="G37" i="17"/>
  <c r="H25" i="17"/>
  <c r="H12" i="17"/>
  <c r="C2" i="15"/>
  <c r="H204" i="17"/>
  <c r="G191" i="17"/>
  <c r="H183" i="17"/>
  <c r="G108" i="17"/>
  <c r="G87" i="17"/>
  <c r="H61" i="17"/>
  <c r="H54" i="17"/>
  <c r="G42" i="17"/>
  <c r="S133" i="12"/>
  <c r="S106" i="12"/>
  <c r="S77" i="12"/>
  <c r="S51" i="12"/>
  <c r="S26" i="12"/>
  <c r="H224" i="17"/>
  <c r="G204" i="17"/>
  <c r="G183" i="17"/>
  <c r="H149" i="17"/>
  <c r="H128" i="17"/>
  <c r="H100" i="17"/>
  <c r="G79" i="17"/>
  <c r="G54" i="17"/>
  <c r="H29" i="17"/>
  <c r="G24" i="17"/>
  <c r="G17" i="17"/>
  <c r="H4" i="17"/>
  <c r="S132" i="12"/>
  <c r="S105" i="12"/>
  <c r="S76" i="12"/>
  <c r="S50" i="12"/>
  <c r="S18" i="12"/>
  <c r="G224" i="17"/>
  <c r="G196" i="17"/>
  <c r="G149" i="17"/>
  <c r="G128" i="17"/>
  <c r="G29" i="17"/>
  <c r="G4" i="17"/>
  <c r="S131" i="12"/>
  <c r="S103" i="12"/>
  <c r="S75" i="12"/>
  <c r="S42" i="12"/>
  <c r="S17" i="12"/>
  <c r="H216" i="17"/>
  <c r="H182" i="17"/>
  <c r="G175" i="17"/>
  <c r="H161" i="17"/>
  <c r="G141" i="17"/>
  <c r="H120" i="17"/>
  <c r="H65" i="17"/>
  <c r="S130" i="12"/>
  <c r="S102" i="12"/>
  <c r="S66" i="12"/>
  <c r="S41" i="12"/>
  <c r="S16" i="12"/>
  <c r="G216" i="17"/>
  <c r="H208" i="17"/>
  <c r="H133" i="17"/>
  <c r="G120" i="17"/>
  <c r="G112" i="17"/>
  <c r="H78" i="17"/>
  <c r="G53" i="17"/>
  <c r="G46" i="17"/>
  <c r="H40" i="17"/>
  <c r="H28" i="17"/>
  <c r="S129" i="12"/>
  <c r="S94" i="12"/>
  <c r="S65" i="12"/>
  <c r="S40" i="12"/>
  <c r="S15" i="12"/>
  <c r="G208" i="17"/>
  <c r="H153" i="17"/>
  <c r="H91" i="17"/>
  <c r="H70" i="17"/>
  <c r="H58" i="17"/>
  <c r="G28" i="17"/>
  <c r="G21" i="17"/>
  <c r="H15" i="17"/>
  <c r="H3" i="17"/>
  <c r="S120" i="12"/>
  <c r="S92" i="12"/>
  <c r="S64" i="12"/>
  <c r="S39" i="12"/>
  <c r="S14" i="12"/>
  <c r="H221" i="17"/>
  <c r="G200" i="17"/>
  <c r="G174" i="17"/>
  <c r="G153" i="17"/>
  <c r="H146" i="17"/>
  <c r="G125" i="17"/>
  <c r="H83" i="17"/>
  <c r="G70" i="17"/>
  <c r="S119" i="12"/>
  <c r="S91" i="12"/>
  <c r="S63" i="12"/>
  <c r="S38" i="12"/>
  <c r="S6" i="12"/>
  <c r="B28" i="14"/>
  <c r="R11" i="5" s="1"/>
  <c r="AJ14" i="5"/>
  <c r="Y14" i="5"/>
  <c r="AI14" i="5"/>
  <c r="X14" i="5"/>
  <c r="AH14" i="5"/>
  <c r="AG14" i="5"/>
  <c r="W14" i="5"/>
  <c r="AB14" i="5"/>
  <c r="Z14" i="5"/>
  <c r="V14" i="5"/>
  <c r="AA14" i="5"/>
  <c r="AF14" i="5"/>
  <c r="AK14" i="5"/>
  <c r="U14" i="5"/>
  <c r="T14" i="5"/>
  <c r="S14" i="5"/>
  <c r="R14" i="5"/>
  <c r="AE14" i="5"/>
  <c r="AD14" i="5"/>
  <c r="AC14" i="5"/>
  <c r="AK16" i="5"/>
  <c r="Z16" i="5"/>
  <c r="AJ16" i="5"/>
  <c r="Y16" i="5"/>
  <c r="AI16" i="5"/>
  <c r="X16" i="5"/>
  <c r="W16" i="5"/>
  <c r="AC16" i="5"/>
  <c r="R16" i="5"/>
  <c r="AA16" i="5"/>
  <c r="V16" i="5"/>
  <c r="AB16" i="5"/>
  <c r="AG16" i="5"/>
  <c r="AH16" i="5"/>
  <c r="AF16" i="5"/>
  <c r="AE16" i="5"/>
  <c r="S16" i="5"/>
  <c r="U16" i="5"/>
  <c r="T16" i="5"/>
  <c r="AD16" i="5"/>
  <c r="AA18" i="5"/>
  <c r="AK18" i="5"/>
  <c r="Z18" i="5"/>
  <c r="AJ18" i="5"/>
  <c r="Y18" i="5"/>
  <c r="AD18" i="5"/>
  <c r="S18" i="5"/>
  <c r="AB18" i="5"/>
  <c r="X18" i="5"/>
  <c r="AC18" i="5"/>
  <c r="R18" i="5"/>
  <c r="AH18" i="5"/>
  <c r="AI18" i="5"/>
  <c r="W18" i="5"/>
  <c r="U18" i="5"/>
  <c r="T18" i="5"/>
  <c r="AF18" i="5"/>
  <c r="AG18" i="5"/>
  <c r="V18" i="5"/>
  <c r="AE18" i="5"/>
  <c r="AB20" i="5"/>
  <c r="AI20" i="5"/>
  <c r="AA20" i="5"/>
  <c r="AK20" i="5"/>
  <c r="Z20" i="5"/>
  <c r="Y20" i="5"/>
  <c r="AJ20" i="5"/>
  <c r="AH20" i="5"/>
  <c r="AE20" i="5"/>
  <c r="T20" i="5"/>
  <c r="AC20" i="5"/>
  <c r="X20" i="5"/>
  <c r="AD20" i="5"/>
  <c r="S20" i="5"/>
  <c r="R20" i="5"/>
  <c r="AG20" i="5"/>
  <c r="U20" i="5"/>
  <c r="AF20" i="5"/>
  <c r="W20" i="5"/>
  <c r="V20" i="5"/>
  <c r="X13" i="5"/>
  <c r="AM7" i="5"/>
  <c r="B8" i="5"/>
  <c r="B25" i="14" l="1"/>
  <c r="B33" i="14" s="1"/>
  <c r="B39" i="14"/>
  <c r="B27" i="14"/>
  <c r="R33" i="5" s="1"/>
  <c r="AC9" i="5"/>
  <c r="B26" i="14"/>
  <c r="R23" i="5" s="1"/>
  <c r="B11" i="14"/>
  <c r="B3" i="5" s="1"/>
  <c r="B36" i="14" l="1"/>
  <c r="B37" i="14"/>
  <c r="B32" i="14"/>
  <c r="R25" i="5" s="1"/>
  <c r="B35" i="14"/>
  <c r="D35" i="14" s="1"/>
  <c r="AJ28" i="5" s="1"/>
  <c r="B34" i="14"/>
  <c r="D34" i="14" s="1"/>
  <c r="AJ27" i="5" s="1"/>
  <c r="D33" i="14"/>
  <c r="AJ26" i="5" s="1"/>
  <c r="C33" i="14"/>
  <c r="AG26" i="5" s="1"/>
  <c r="R26" i="5"/>
  <c r="D37" i="14"/>
  <c r="AJ30" i="5" s="1"/>
  <c r="C37" i="14"/>
  <c r="AG30" i="5" s="1"/>
  <c r="R30" i="5"/>
  <c r="R28" i="5"/>
  <c r="C35" i="14"/>
  <c r="AG28" i="5" s="1"/>
  <c r="C39" i="14"/>
  <c r="AG32" i="5" s="1"/>
  <c r="E39" i="14"/>
  <c r="D39" i="14"/>
  <c r="AJ32" i="5" s="1"/>
  <c r="R32" i="5"/>
  <c r="B38" i="14"/>
  <c r="D32" i="14"/>
  <c r="AJ25" i="5" s="1"/>
  <c r="C32" i="14"/>
  <c r="AG25" i="5" s="1"/>
  <c r="D36" i="14"/>
  <c r="AJ29" i="5" s="1"/>
  <c r="C36" i="14"/>
  <c r="AG29" i="5" s="1"/>
  <c r="R29" i="5"/>
  <c r="R27" i="5" l="1"/>
  <c r="C34" i="14"/>
  <c r="AG27" i="5" s="1"/>
  <c r="E32" i="14"/>
  <c r="D38" i="14"/>
  <c r="AJ31" i="5" s="1"/>
  <c r="C38" i="14"/>
  <c r="AG31" i="5" s="1"/>
  <c r="R31" i="5"/>
  <c r="Y32" i="5"/>
  <c r="X32" i="5"/>
  <c r="W32" i="5"/>
  <c r="V32" i="5"/>
  <c r="AF32" i="5"/>
  <c r="AB32" i="5"/>
  <c r="Z32" i="5"/>
  <c r="AA32" i="5"/>
  <c r="U32" i="5"/>
  <c r="AE32" i="5"/>
  <c r="AD32" i="5"/>
  <c r="AC32" i="5"/>
  <c r="E36" i="14"/>
  <c r="E37" i="14"/>
  <c r="E35" i="14"/>
  <c r="E33" i="14"/>
  <c r="E34" i="14" l="1"/>
  <c r="AA26" i="5"/>
  <c r="Z26" i="5"/>
  <c r="Y26" i="5"/>
  <c r="AD26" i="5"/>
  <c r="AB26" i="5"/>
  <c r="AC26" i="5"/>
  <c r="X26" i="5"/>
  <c r="W26" i="5"/>
  <c r="V26" i="5"/>
  <c r="AE26" i="5"/>
  <c r="AF26" i="5"/>
  <c r="U26" i="5"/>
  <c r="Z29" i="5"/>
  <c r="Y29" i="5"/>
  <c r="X29" i="5"/>
  <c r="AC29" i="5"/>
  <c r="AA29" i="5"/>
  <c r="V29" i="5"/>
  <c r="AB29" i="5"/>
  <c r="AF29" i="5"/>
  <c r="U29" i="5"/>
  <c r="W29" i="5"/>
  <c r="AD29" i="5"/>
  <c r="AE29" i="5"/>
  <c r="W27" i="5"/>
  <c r="V27" i="5"/>
  <c r="AF27" i="5"/>
  <c r="U27" i="5"/>
  <c r="Z27" i="5"/>
  <c r="Y27" i="5"/>
  <c r="X27" i="5"/>
  <c r="AE27" i="5"/>
  <c r="AD27" i="5"/>
  <c r="AC27" i="5"/>
  <c r="AB27" i="5"/>
  <c r="AA27" i="5"/>
  <c r="AD28" i="5"/>
  <c r="Y28" i="5"/>
  <c r="AC28" i="5"/>
  <c r="AB28" i="5"/>
  <c r="V28" i="5"/>
  <c r="AF28" i="5"/>
  <c r="U28" i="5"/>
  <c r="Z28" i="5"/>
  <c r="AE28" i="5"/>
  <c r="AA28" i="5"/>
  <c r="X28" i="5"/>
  <c r="W28" i="5"/>
  <c r="V30" i="5"/>
  <c r="AF30" i="5"/>
  <c r="U30" i="5"/>
  <c r="AE30" i="5"/>
  <c r="Y30" i="5"/>
  <c r="W30" i="5"/>
  <c r="AD30" i="5"/>
  <c r="AC30" i="5"/>
  <c r="X30" i="5"/>
  <c r="AB30" i="5"/>
  <c r="AA30" i="5"/>
  <c r="Z30" i="5"/>
  <c r="E38" i="14"/>
  <c r="AE25" i="5"/>
  <c r="AD25" i="5"/>
  <c r="AC25" i="5"/>
  <c r="W25" i="5"/>
  <c r="AF25" i="5"/>
  <c r="AB25" i="5"/>
  <c r="V25" i="5"/>
  <c r="AA25" i="5"/>
  <c r="Z25" i="5"/>
  <c r="U25" i="5"/>
  <c r="Y25" i="5"/>
  <c r="X25" i="5"/>
  <c r="AC31" i="5" l="1"/>
  <c r="AB31" i="5"/>
  <c r="AA31" i="5"/>
  <c r="Z31" i="5"/>
  <c r="AF31" i="5"/>
  <c r="U31" i="5"/>
  <c r="AE31" i="5"/>
  <c r="X31" i="5"/>
  <c r="AD31" i="5"/>
  <c r="Y31" i="5"/>
  <c r="W31" i="5"/>
  <c r="V3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안동 이어드림</author>
  </authors>
  <commentList>
    <comment ref="B8" authorId="0" shapeId="0" xr:uid="{00000000-0006-0000-0100-000001000000}">
      <text>
        <r>
          <rPr>
            <sz val="11"/>
            <color theme="1"/>
            <rFont val="맑은 고딕"/>
            <family val="2"/>
            <scheme val="minor"/>
          </rPr>
          <t>외지인 방문 연인원(데이터랩 BDT_01_01_006), 2024년 1~8월 → 2026년 1~8월. 당일 방문(무박) 비중은 2019년과 2025년 비교</t>
        </r>
      </text>
    </comment>
    <comment ref="N8" authorId="0" shapeId="0" xr:uid="{00000000-0006-0000-0100-000002000000}">
      <text>
        <r>
          <rPr>
            <sz val="11"/>
            <color theme="1"/>
            <rFont val="맑은 고딕"/>
            <family val="2"/>
            <scheme val="minor"/>
          </rPr>
          <t>외지인 신용카드 소비(데이터랩 BDT_02_01_003) 중 문화서비스·관광유원시설·기타레저(골프·스키·여행업·레저용품 쇼핑 제외) ÷ 외지인 방문 연인원(BDT_01_01_006)</t>
        </r>
      </text>
    </comment>
    <comment ref="Z8" authorId="0" shapeId="0" xr:uid="{00000000-0006-0000-0100-000003000000}">
      <text>
        <r>
          <rPr>
            <sz val="11"/>
            <color theme="1"/>
            <rFont val="맑은 고딕"/>
            <family val="2"/>
            <scheme val="minor"/>
          </rPr>
          <t>같은 방식으로 계산한 146개 시·군의 변화율을 작은 순서로 세운 순위. 전국 중앙값 −2.0%</t>
        </r>
      </text>
    </comment>
    <comment ref="C25" authorId="0" shapeId="0" xr:uid="{00000000-0006-0000-0100-000004000000}">
      <text>
        <r>
          <rPr>
            <sz val="11"/>
            <color theme="1"/>
            <rFont val="맑은 고딕"/>
            <family val="2"/>
            <scheme val="minor"/>
          </rPr>
          <t>읍면동 외지인 방문 점유율: 데이터랩(2026년 1~8월). 혜택 업체: 안동시 디지털관광주민증 혜택업체 27곳 주소(정보공개청구). 관람 비중: 주민증 혜택업체별 이용 실적</t>
        </r>
      </text>
    </comment>
    <comment ref="O25" authorId="0" shapeId="0" xr:uid="{00000000-0006-0000-0100-000005000000}">
      <text>
        <r>
          <rPr>
            <sz val="11"/>
            <color theme="1"/>
            <rFont val="맑은 고딕"/>
            <family val="2"/>
            <scheme val="minor"/>
          </rPr>
          <t>안동시 버스정보시스템 46개 노선 시간표. 원도심과 월영교를 잇는 노선은 112번 하나</t>
        </r>
      </text>
    </comment>
    <comment ref="AA25" authorId="0" shapeId="0" xr:uid="{00000000-0006-0000-0100-000006000000}">
      <text>
        <r>
          <rPr>
            <sz val="11"/>
            <color theme="1"/>
            <rFont val="맑은 고딕"/>
            <family val="2"/>
            <scheme val="minor"/>
          </rPr>
          <t>음식점: 소상공인 상가(상권)정보 2026.6. 영업 종료 시각: 팀 확인(조사 16번, 조사일 기록 보완 중). 방문·소비 점유율: 한국철도공사 8대 도시 가명결합 분석(2022.4~6, 소비 = 건수)이라 데이터랩 숫자와 따로 본다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안동 이어드림</author>
  </authors>
  <commentList>
    <comment ref="Z8" authorId="0" shapeId="0" xr:uid="{00000000-0006-0000-0300-000001000000}">
      <text>
        <r>
          <rPr>
            <sz val="11"/>
            <color theme="1"/>
            <rFont val="맑은 고딕"/>
            <family val="2"/>
            <scheme val="minor"/>
          </rPr>
          <t>원도심(찜닭골목·문화의거리) 관광 식당 수. 참여 식당은 4묶음으로 나눠 추첨 순서대로 연다. 기준(2%)일 때 식당 → 체험 인증 월 5,452건</t>
        </r>
      </text>
    </comment>
    <comment ref="Z10" authorId="0" shapeId="0" xr:uid="{00000000-0006-0000-0300-000002000000}">
      <text>
        <r>
          <rPr>
            <sz val="11"/>
            <color theme="1"/>
            <rFont val="맑은 고딕"/>
            <family val="2"/>
            <scheme val="minor"/>
          </rPr>
          <t>주말 하루 원도심 → 월영교로 새로 가는 인원. 저녁 이동 배수 = 설문 이동 의향 × 실현율 0.33~0.40(선행연구). 모의실험 1만 번의 가운데 값</t>
        </r>
      </text>
    </comment>
    <comment ref="Z12" authorId="0" shapeId="0" xr:uid="{00000000-0006-0000-0300-000003000000}">
      <text>
        <r>
          <rPr>
            <sz val="11"/>
            <color theme="1"/>
            <rFont val="맑은 고딕"/>
            <family val="2"/>
            <scheme val="minor"/>
          </rPr>
          <t>지금 152.7원 × (1 + 방문당 체험·문화 소비 증가율). 체험 결제율 = 설문 의향 × 실현율 0.33~0.40, 체험 10% 할인액은 뺐다</t>
        </r>
      </text>
    </comment>
    <comment ref="G29" authorId="0" shapeId="0" xr:uid="{00000000-0006-0000-0300-000004000000}">
      <text>
        <r>
          <rPr>
            <sz val="11"/>
            <color theme="1"/>
            <rFont val="맑은 고딕"/>
            <family val="2"/>
            <scheme val="minor"/>
          </rPr>
          <t>연간 = 2026년 1~8월 월평균 × 12. 체험 할인액과, 참여하지 않았어도 썼을 돈은 뺐다. 모의실험 1만 번의 가운데 값</t>
        </r>
      </text>
    </comment>
    <comment ref="Y29" authorId="0" shapeId="0" xr:uid="{00000000-0006-0000-0300-000005000000}">
      <text>
        <r>
          <rPr>
            <sz val="11"/>
            <color theme="1"/>
            <rFont val="맑은 고딕"/>
            <family val="2"/>
            <scheme val="minor"/>
          </rPr>
          <t>참여 업소 순차 확대 설계의 검정력(순차도입_검정력). 효과 크기가 +50%일 때 5개월 안에 효과를 가려낼 확률 85%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안동 이어드림</author>
  </authors>
  <commentList>
    <comment ref="B8" authorId="0" shapeId="0" xr:uid="{00000000-0006-0000-0400-000001000000}">
      <text>
        <r>
          <rPr>
            <sz val="11"/>
            <color theme="1"/>
            <rFont val="맑은 고딕"/>
            <family val="2"/>
            <scheme val="minor"/>
          </rPr>
          <t>방문당 체험·문화 소비 변화율(외지인 카드 소비 ÷ 외지인 방문, 2024 → 2026년 1~8월). 순위는 146개 시·군 중 많이 줄어든 순서</t>
        </r>
      </text>
    </comment>
    <comment ref="K8" authorId="0" shapeId="0" xr:uid="{00000000-0006-0000-0400-000002000000}">
      <text>
        <r>
          <rPr>
            <sz val="11"/>
            <color theme="1"/>
            <rFont val="맑은 고딕"/>
            <family val="2"/>
            <scheme val="minor"/>
          </rPr>
          <t>외지인 방문 연인원(데이터랩 BDT_01_01_006) 변화율</t>
        </r>
      </text>
    </comment>
    <comment ref="T8" authorId="0" shapeId="0" xr:uid="{00000000-0006-0000-0400-000003000000}">
      <text>
        <r>
          <rPr>
            <sz val="11"/>
            <color theme="1"/>
            <rFont val="맑은 고딕"/>
            <family val="2"/>
            <scheme val="minor"/>
          </rPr>
          <t>네 지표의 문제 백분위를 같은 비중으로 평균. 가중치를 바꾸면 순위가 흔들리므로 점수보다 유형을 본다</t>
        </r>
      </text>
    </comment>
    <comment ref="AC8" authorId="0" shapeId="0" xr:uid="{00000000-0006-0000-0400-000004000000}">
      <text>
        <r>
          <rPr>
            <sz val="11"/>
            <color theme="1"/>
            <rFont val="맑은 고딕"/>
            <family val="2"/>
            <scheme val="minor"/>
          </rPr>
          <t>지표마다 144곳 중 하위 25%(문제 백분위 75 이상)에 들면 그 지표를 유형에 넣는다</t>
        </r>
      </text>
    </comment>
  </commentList>
</comments>
</file>

<file path=xl/sharedStrings.xml><?xml version="1.0" encoding="utf-8"?>
<sst xmlns="http://schemas.openxmlformats.org/spreadsheetml/2006/main" count="1887" uniqueCount="718">
  <si>
    <t>안동 이어드림 · 데이터 대시보드</t>
  </si>
  <si>
    <r>
      <rPr>
        <b/>
        <sz val="22"/>
        <color rgb="FF34383C"/>
        <rFont val="맑은 고딕"/>
        <family val="2"/>
        <charset val="129"/>
      </rPr>
      <t xml:space="preserve">원도심에서 도는 돈과 월영교에 모이는 사람을 </t>
    </r>
    <r>
      <rPr>
        <b/>
        <sz val="22"/>
        <color rgb="FF2D6BD9"/>
        <rFont val="맑은 고딕"/>
        <family val="2"/>
        <charset val="129"/>
      </rPr>
      <t>밤까지 잇는다</t>
    </r>
  </si>
  <si>
    <t>디지털 관광주민증 위 3단계 릴레이. 아래 칸을 누르면 그 화면으로 간다. 모든 효과는 시행 전 예측이다.</t>
  </si>
  <si>
    <t>01 문제</t>
  </si>
  <si>
    <t>03 기대효과</t>
  </si>
  <si>
    <t>04 우리 시·군 진단</t>
  </si>
  <si>
    <t>방문 1회당 체험·문화 소비</t>
  </si>
  <si>
    <t>100명 중 2명 참여 시 방문당 체험·문화 소비</t>
  </si>
  <si>
    <t>안동과 같은 문제 유형</t>
  </si>
  <si>
    <t>›</t>
  </si>
  <si>
    <t>146개 시·군 중 22번째로 많이 줄었다</t>
  </si>
  <si>
    <t>지금 152.7원에서 +3.5%</t>
  </si>
  <si>
    <t>체험·문화 소비 하락 + 짧은 숙박</t>
  </si>
  <si>
    <t>전국 중앙 −2.0%</t>
  </si>
  <si>
    <t>월영교 저녁 이동 주말 하루 110명</t>
  </si>
  <si>
    <t>영덕 · 양양 · 남해 · 울진 · 광명 · 강릉</t>
  </si>
  <si>
    <t>빈 곳 세 군데: 1 원도심 혜택 0곳 · 2 19시 이후 버스 0회 · 3 월영교 주점 0곳</t>
  </si>
  <si>
    <t>시행 전 예측. 참여율은 2명 · 4명 · 10명 중에서 고른다</t>
  </si>
  <si>
    <t>시·군을 고르면 그 지역 진단이 한 장으로. 주민증 운영 52개 지자체에 적용 가능</t>
  </si>
  <si>
    <t>열기 →</t>
  </si>
  <si>
    <r>
      <rPr>
        <b/>
        <sz val="11"/>
        <color rgb="FF34383C"/>
        <rFont val="맑은 고딕"/>
        <family val="2"/>
        <charset val="129"/>
      </rPr>
      <t xml:space="preserve">02 해법 · 릴레이 3단계  </t>
    </r>
    <r>
      <rPr>
        <sz val="10"/>
        <color rgb="FF6B7075"/>
        <rFont val="맑은 고딕"/>
        <family val="2"/>
        <charset val="129"/>
      </rPr>
      <t>번호는 문제 화면의 빈 곳 번호와 같다</t>
    </r>
  </si>
  <si>
    <t>운영값과 근거 → 2 해법</t>
  </si>
  <si>
    <r>
      <rPr>
        <b/>
        <sz val="10.5"/>
        <color rgb="FF34383C"/>
        <rFont val="맑은 고딕"/>
        <family val="2"/>
        <charset val="129"/>
      </rPr>
      <t xml:space="preserve">낮 · 원도심
</t>
    </r>
    <r>
      <rPr>
        <sz val="10"/>
        <color rgb="FF34383C"/>
        <rFont val="맑은 고딕"/>
        <family val="2"/>
        <charset val="129"/>
      </rPr>
      <t>식당 83곳에서 식사 → 체험 10% 할인</t>
    </r>
  </si>
  <si>
    <r>
      <rPr>
        <b/>
        <sz val="10.5"/>
        <color rgb="FF34383C"/>
        <rFont val="맑은 고딕"/>
        <family val="2"/>
        <charset val="129"/>
      </rPr>
      <t xml:space="preserve">저녁 18:30~21:00
</t>
    </r>
    <r>
      <rPr>
        <sz val="10"/>
        <color rgb="FF34383C"/>
        <rFont val="맑은 고딕"/>
        <family val="2"/>
        <charset val="129"/>
      </rPr>
      <t>원도심 → 월영교 택시, 늘면 셔틀</t>
    </r>
  </si>
  <si>
    <r>
      <rPr>
        <b/>
        <sz val="10.5"/>
        <color rgb="FF34383C"/>
        <rFont val="맑은 고딕"/>
        <family val="2"/>
        <charset val="129"/>
      </rPr>
      <t xml:space="preserve">밤 · 월영교
</t>
    </r>
    <r>
      <rPr>
        <sz val="10"/>
        <color rgb="FF34383C"/>
        <rFont val="맑은 고딕"/>
        <family val="2"/>
        <charset val="129"/>
      </rPr>
      <t>문보트 + 21시 이후 식사·주점 팝업</t>
    </r>
  </si>
  <si>
    <t>쓰는 법</t>
  </si>
  <si>
    <t>· 파란 칸(▼)을 누르면 목록에서 고를 수 있다. 3 기대효과는 참여율, 4 시·군 진단은 시·군을 고른다.</t>
  </si>
  <si>
    <t>· 숫자 오른쪽 위 빨간 삼각형에 마우스를 올리면 출처와 계산 방법이 보인다.</t>
  </si>
  <si>
    <t>· 처음 열었을 때의 숫자(참여 2%, 안동시)가 서식4에 쓴 숫자와 같다. 화면 아래 시트 탭으로도 이동할 수 있다.</t>
  </si>
  <si>
    <t>출처: 한국관광 데이터랩, 한국철도공사, 코레일, 소상공인 상가정보, 안동시 버스정보시스템·주민증 자료, 팀 온라인 설문 103명. 자세한 목록은 「출처」 시트.</t>
  </si>
  <si>
    <r>
      <rPr>
        <b/>
        <sz val="22"/>
        <color rgb="FF34383C"/>
        <rFont val="맑은 고딕"/>
        <family val="2"/>
        <charset val="129"/>
      </rPr>
      <t xml:space="preserve">방문은 늘었는데 </t>
    </r>
    <r>
      <rPr>
        <b/>
        <sz val="22"/>
        <color rgb="FF2D6BD9"/>
        <rFont val="맑은 고딕"/>
        <family val="2"/>
        <charset val="129"/>
      </rPr>
      <t>체험·문화 소비는 줄었다</t>
    </r>
  </si>
  <si>
    <t>외지인 기준, 2024년 1~8월과 2026년 같은 기간 비교. 안동 숫자 옆에는 늘 전국 중앙값을 같이 둔다.</t>
  </si>
  <si>
    <r>
      <rPr>
        <sz val="9"/>
        <color rgb="FFD64541"/>
        <rFont val="맑은 고딕"/>
        <family val="2"/>
        <charset val="129"/>
      </rPr>
      <t xml:space="preserve">◥ </t>
    </r>
    <r>
      <rPr>
        <sz val="9.5"/>
        <color rgb="FF6B7075"/>
        <rFont val="맑은 고딕"/>
        <family val="2"/>
        <charset val="129"/>
      </rPr>
      <t>빨간 삼각형 숫자에 마우스를 올리면 출처</t>
    </r>
  </si>
  <si>
    <t>외지인 방문</t>
  </si>
  <si>
    <t>146개 시·군 중 감소폭</t>
  </si>
  <si>
    <t>당일 방문 비중은 86.3 → 86.4%로 그대로 (2019 → 2025년)</t>
  </si>
  <si>
    <t>183.5원 → 152.7원 · 전국 중앙 −2.0%</t>
  </si>
  <si>
    <t>1위 = 가장 많이 줄어든 곳</t>
  </si>
  <si>
    <t>변화율, 안동과 전국 중앙</t>
  </si>
  <si>
    <t>146개 시·군을 감소폭 순서로 세우면</t>
  </si>
  <si>
    <t>← 1위 가장 많이 줄어듦</t>
  </si>
  <si>
    <t>146위 →</t>
  </si>
  <si>
    <r>
      <rPr>
        <b/>
        <sz val="10.5"/>
        <color rgb="FF34383C"/>
        <rFont val="맑은 고딕"/>
        <family val="2"/>
        <charset val="129"/>
      </rPr>
      <t xml:space="preserve">데이터가 가리키는 빈 곳 세 군데  </t>
    </r>
    <r>
      <rPr>
        <sz val="10"/>
        <color rgb="FF6B7075"/>
        <rFont val="맑은 고딕"/>
        <family val="2"/>
        <charset val="129"/>
      </rPr>
      <t>번호는 해법·기대효과 화면의 번호와 같다</t>
    </r>
  </si>
  <si>
    <t>원도심 (중구동)</t>
  </si>
  <si>
    <t>원도심 → 월영교 3.2km</t>
  </si>
  <si>
    <t>월영교 반경 1km</t>
  </si>
  <si>
    <t>혜택 업체 0곳</t>
  </si>
  <si>
    <t>19시 이후 버스 0회</t>
  </si>
  <si>
    <t>주점 0곳</t>
  </si>
  <si>
    <t>외지인 방문의 12.5%로 읍면동 1위. 주민증 혜택 이용의 95%는 관람지에서 생긴다</t>
  </si>
  <si>
    <t>잇는 시내버스는 112번 한 노선, 원도심 출발 막차 18:45(평일)</t>
  </si>
  <si>
    <t>영업 음식점 16곳 중 21시까지 식사 3곳. 방문 점유율 15.24% 대비 소비 건수 6.05%</t>
  </si>
  <si>
    <t>[철도공사 2022.4~6]</t>
  </si>
  <si>
    <t>감소분의 약 3분의 2는 문화서비스 업종의 계단식 하락이다. 원인은 단정하지 않는다.</t>
  </si>
  <si>
    <t>세 곳을 어떻게 잇나 → 2 해법</t>
  </si>
  <si>
    <t>출처: 한국관광 데이터랩 외지인 신용카드 소비(업종 중분류) ÷ 외지인 방문 연인원, 2024·2026년 1~8월</t>
  </si>
  <si>
    <t>02 해법</t>
  </si>
  <si>
    <r>
      <rPr>
        <b/>
        <sz val="22"/>
        <color rgb="FF34383C"/>
        <rFont val="맑은 고딕"/>
        <family val="2"/>
        <charset val="129"/>
      </rPr>
      <t xml:space="preserve">원도심의 돈과 월영교의 사람을 </t>
    </r>
    <r>
      <rPr>
        <b/>
        <sz val="22"/>
        <color rgb="FF2D6BD9"/>
        <rFont val="맑은 고딕"/>
        <family val="2"/>
        <charset val="129"/>
      </rPr>
      <t>밤까지 잇는 3단계</t>
    </r>
  </si>
  <si>
    <t>디지털 관광주민증 위 릴레이. 곳 수·시간·혜택은 데이터로 정했고, 아직 정하지 못한 값은 따로 적었다.</t>
  </si>
  <si>
    <r>
      <rPr>
        <b/>
        <sz val="14"/>
        <color rgb="FF34383C"/>
        <rFont val="맑은 고딕"/>
        <family val="2"/>
        <charset val="129"/>
      </rPr>
      <t xml:space="preserve">원도심  </t>
    </r>
    <r>
      <rPr>
        <sz val="11"/>
        <color rgb="FF6B7075"/>
        <rFont val="맑은 고딕"/>
        <family val="2"/>
        <charset val="129"/>
      </rPr>
      <t>돈이 도는 곳</t>
    </r>
  </si>
  <si>
    <r>
      <rPr>
        <b/>
        <sz val="14"/>
        <color rgb="FF34383C"/>
        <rFont val="맑은 고딕"/>
        <family val="2"/>
        <charset val="129"/>
      </rPr>
      <t xml:space="preserve">월영교  </t>
    </r>
    <r>
      <rPr>
        <sz val="11"/>
        <color rgb="FF6B7075"/>
        <rFont val="맑은 고딕"/>
        <family val="2"/>
        <charset val="129"/>
      </rPr>
      <t>사람이 모이는 곳</t>
    </r>
  </si>
  <si>
    <t>12.5%</t>
  </si>
  <si>
    <r>
      <rPr>
        <sz val="10"/>
        <color rgb="FF34383C"/>
        <rFont val="맑은 고딕"/>
        <family val="2"/>
        <charset val="129"/>
      </rPr>
      <t xml:space="preserve">외지인 방문 읍면동 1위(중구동)  </t>
    </r>
    <r>
      <rPr>
        <sz val="8.5"/>
        <color rgb="FF6B7075"/>
        <rFont val="맑은 고딕"/>
        <family val="2"/>
        <charset val="129"/>
      </rPr>
      <t>[데이터랩 2026.1~8]</t>
    </r>
  </si>
  <si>
    <t>3.2km</t>
  </si>
  <si>
    <t>54.8%</t>
  </si>
  <si>
    <r>
      <rPr>
        <sz val="10"/>
        <color rgb="FF34383C"/>
        <rFont val="맑은 고딕"/>
        <family val="2"/>
        <charset val="129"/>
      </rPr>
      <t xml:space="preserve">만휴정 방문객 중 월영교에도 간 비율(도산서원 54.2%)  </t>
    </r>
    <r>
      <rPr>
        <sz val="8.5"/>
        <color rgb="FF6B7075"/>
        <rFont val="맑은 고딕"/>
        <family val="2"/>
        <charset val="129"/>
      </rPr>
      <t>[철도공사 2022.4~6]</t>
    </r>
  </si>
  <si>
    <t>764곳</t>
  </si>
  <si>
    <r>
      <rPr>
        <sz val="10"/>
        <color rgb="FF34383C"/>
        <rFont val="맑은 고딕"/>
        <family val="2"/>
        <charset val="129"/>
      </rPr>
      <t xml:space="preserve">반경 1km 음식점, 이 중 주점 86곳  </t>
    </r>
    <r>
      <rPr>
        <sz val="8.5"/>
        <color rgb="FF6B7075"/>
        <rFont val="맑은 고딕"/>
        <family val="2"/>
        <charset val="129"/>
      </rPr>
      <t>[상가정보 2026.6]</t>
    </r>
  </si>
  <si>
    <t>잇는 시내버스 112번 한 노선
19시 이후 0회</t>
  </si>
  <si>
    <t>0.40</t>
  </si>
  <si>
    <r>
      <rPr>
        <sz val="10"/>
        <color rgb="FF34383C"/>
        <rFont val="맑은 고딕"/>
        <family val="2"/>
        <charset val="129"/>
      </rPr>
      <t xml:space="preserve">소비 전환 배율(방문 15.24% 대비 소비 건수 6.05%)  </t>
    </r>
    <r>
      <rPr>
        <sz val="8.5"/>
        <color rgb="FF6B7075"/>
        <rFont val="맑은 고딕"/>
        <family val="2"/>
        <charset val="129"/>
      </rPr>
      <t>[철도공사 2022.4~6]</t>
    </r>
  </si>
  <si>
    <t>1.73</t>
  </si>
  <si>
    <r>
      <rPr>
        <sz val="10"/>
        <color rgb="FF34383C"/>
        <rFont val="맑은 고딕"/>
        <family val="2"/>
        <charset val="129"/>
      </rPr>
      <t xml:space="preserve">소비 전환 배율(소비 건수 점유율 ÷ 방문 점유율, 안동문화의거리)  </t>
    </r>
    <r>
      <rPr>
        <sz val="8.5"/>
        <color rgb="FF6B7075"/>
        <rFont val="맑은 고딕"/>
        <family val="2"/>
        <charset val="129"/>
      </rPr>
      <t>[철도공사 2022.4~6]</t>
    </r>
  </si>
  <si>
    <t>0곳</t>
  </si>
  <si>
    <r>
      <rPr>
        <sz val="10"/>
        <color rgb="FF34383C"/>
        <rFont val="맑은 고딕"/>
        <family val="2"/>
        <charset val="129"/>
      </rPr>
      <t xml:space="preserve">반경 1km 주점(영업 음식점 16곳 중 21시 식사 3곳)  </t>
    </r>
    <r>
      <rPr>
        <sz val="8.5"/>
        <color rgb="FF6B7075"/>
        <rFont val="맑은 고딕"/>
        <family val="2"/>
        <charset val="129"/>
      </rPr>
      <t>[상가정보 + 팀 확인]</t>
    </r>
  </si>
  <si>
    <r>
      <rPr>
        <b/>
        <sz val="10.5"/>
        <color rgb="FF34383C"/>
        <rFont val="맑은 고딕"/>
        <family val="2"/>
        <charset val="129"/>
      </rPr>
      <t xml:space="preserve">하루 시간표 위의 3단계  </t>
    </r>
    <r>
      <rPr>
        <sz val="10"/>
        <color rgb="FF6B7075"/>
        <rFont val="맑은 고딕"/>
        <family val="2"/>
        <charset val="129"/>
      </rPr>
      <t>위 = 끊기는 것, 아래 = 사람이 움직이는 때</t>
    </r>
  </si>
  <si>
    <r>
      <rPr>
        <b/>
        <sz val="10"/>
        <color rgb="FF34383C"/>
        <rFont val="맑은 고딕"/>
        <family val="2"/>
        <charset val="129"/>
      </rPr>
      <t xml:space="preserve">■ </t>
    </r>
    <r>
      <rPr>
        <sz val="9.5"/>
        <color rgb="FF6B7075"/>
        <rFont val="맑은 고딕"/>
        <family val="2"/>
        <charset val="129"/>
      </rPr>
      <t xml:space="preserve">끊기는 것   </t>
    </r>
    <r>
      <rPr>
        <b/>
        <sz val="10"/>
        <color rgb="FF2D6BD9"/>
        <rFont val="맑은 고딕"/>
        <family val="2"/>
        <charset val="129"/>
      </rPr>
      <t xml:space="preserve">■ </t>
    </r>
    <r>
      <rPr>
        <sz val="9.5"/>
        <color rgb="FF6B7075"/>
        <rFont val="맑은 고딕"/>
        <family val="2"/>
        <charset val="129"/>
      </rPr>
      <t>수요</t>
    </r>
  </si>
  <si>
    <r>
      <rPr>
        <b/>
        <sz val="9.5"/>
        <color rgb="FF34383C"/>
        <rFont val="맑은 고딕"/>
        <family val="2"/>
        <charset val="129"/>
      </rPr>
      <t xml:space="preserve">18:45 </t>
    </r>
    <r>
      <rPr>
        <sz val="9.5"/>
        <color rgb="FF34383C"/>
        <rFont val="맑은 고딕"/>
        <family val="2"/>
        <charset val="129"/>
      </rPr>
      <t>112번 원도심 출발 막차(평일)</t>
    </r>
  </si>
  <si>
    <r>
      <rPr>
        <b/>
        <sz val="9.5"/>
        <color rgb="FF34383C"/>
        <rFont val="맑은 고딕"/>
        <family val="2"/>
        <charset val="129"/>
      </rPr>
      <t xml:space="preserve">21:00 </t>
    </r>
    <r>
      <rPr>
        <sz val="9.5"/>
        <color rgb="FF34383C"/>
        <rFont val="맑은 고딕"/>
        <family val="2"/>
        <charset val="129"/>
      </rPr>
      <t>월영교 1km 식사 가능 3곳, 주점 0곳</t>
    </r>
  </si>
  <si>
    <r>
      <rPr>
        <b/>
        <sz val="9.5"/>
        <color rgb="FF34383C"/>
        <rFont val="맑은 고딕"/>
        <family val="2"/>
        <charset val="129"/>
      </rPr>
      <t xml:space="preserve">20:00~20:30 </t>
    </r>
    <r>
      <rPr>
        <sz val="9.5"/>
        <color rgb="FF34383C"/>
        <rFont val="맑은 고딕"/>
        <family val="2"/>
        <charset val="129"/>
      </rPr>
      <t>월영교 1km 음식점 16곳 중 7곳 영업 종료</t>
    </r>
  </si>
  <si>
    <t>1  낮 · 원도심 식당에서 식사 → 체험</t>
  </si>
  <si>
    <t>2  18:30~21:00 월영교로 이동</t>
  </si>
  <si>
    <t>3  밤 · 월영교</t>
  </si>
  <si>
    <t>12시</t>
  </si>
  <si>
    <t>13시</t>
  </si>
  <si>
    <t>14시</t>
  </si>
  <si>
    <t>15시</t>
  </si>
  <si>
    <t>16시</t>
  </si>
  <si>
    <t>17시</t>
  </si>
  <si>
    <t>18시</t>
  </si>
  <si>
    <t>19시</t>
  </si>
  <si>
    <t>20시</t>
  </si>
  <si>
    <t>21시</t>
  </si>
  <si>
    <t>22시</t>
  </si>
  <si>
    <r>
      <rPr>
        <b/>
        <sz val="9.5"/>
        <color rgb="FF2D6BD9"/>
        <rFont val="맑은 고딕"/>
        <family val="2"/>
        <charset val="129"/>
      </rPr>
      <t xml:space="preserve">20~22시 </t>
    </r>
    <r>
      <rPr>
        <sz val="9.5"/>
        <color rgb="FF34383C"/>
        <rFont val="맑은 고딕"/>
        <family val="2"/>
        <charset val="129"/>
      </rPr>
      <t>당일 귀가자 58%가 귀가(설문)</t>
    </r>
  </si>
  <si>
    <r>
      <rPr>
        <b/>
        <sz val="9.5"/>
        <color rgb="FF2D6BD9"/>
        <rFont val="맑은 고딕"/>
        <family val="2"/>
        <charset val="129"/>
      </rPr>
      <t xml:space="preserve">18~19시 </t>
    </r>
    <r>
      <rPr>
        <sz val="9.5"/>
        <color rgb="FF34383C"/>
        <rFont val="맑은 고딕"/>
        <family val="2"/>
        <charset val="129"/>
      </rPr>
      <t>주말 안동역 승차 13,454명, 저녁 중 최다(코레일)</t>
    </r>
  </si>
  <si>
    <r>
      <rPr>
        <b/>
        <sz val="9.5"/>
        <color rgb="FF2D6BD9"/>
        <rFont val="맑은 고딕"/>
        <family val="2"/>
        <charset val="129"/>
      </rPr>
      <t xml:space="preserve">21~22시 </t>
    </r>
    <r>
      <rPr>
        <sz val="9.5"/>
        <color rgb="FF34383C"/>
        <rFont val="맑은 고딕"/>
        <family val="2"/>
        <charset val="129"/>
      </rPr>
      <t>안동역 막차</t>
    </r>
  </si>
  <si>
    <t>운영값과 그 값을 정한 데이터</t>
  </si>
  <si>
    <t>낮 · 원도심 식당 → 체험</t>
  </si>
  <si>
    <t>저녁 · 원도심 → 월영교</t>
  </si>
  <si>
    <t>밤 · 월영교</t>
  </si>
  <si>
    <t>식당에서 식사 후 영수증 QR 인증 → 체험 10% 할인과 체험 정보</t>
  </si>
  <si>
    <t>관광택시 저녁 배치로 월영교까지 이동, 이용이 늘면 셔틀</t>
  </si>
  <si>
    <t>저녁 문보트 10% 할인 + 21시 이후 식사·주점 팝업(월영야행 부지 활용)</t>
  </si>
  <si>
    <t>식당 83곳 (찜닭골목·문화의거리)</t>
  </si>
  <si>
    <t>18:30 ~ 21:00</t>
  </si>
  <si>
    <t>21시 이후 팝업</t>
  </si>
  <si>
    <t>방문 1위 원도심에 주민증 혜택 업체 0곳</t>
  </si>
  <si>
    <t>주말 안동역 승차는 저녁 중 18~19시가 가장 많고(13,454명) 막차는 21~22시. 당일 귀가자 58%가 20~22시 귀가</t>
  </si>
  <si>
    <t>월영교 1km 21시 식사 가능 3곳, 주점 0곳. 방문객 53%가 20시 이후 식당·편의시설 부족</t>
  </si>
  <si>
    <t>데이터랩 읍면동 방문 + 안동시 혜택 업체 27곳 주소</t>
  </si>
  <si>
    <t>코레일 안동역 승하차 + 팀 설문</t>
  </si>
  <si>
    <t>상가정보 + 팀 확인 + 팀 설문(방문 72명)</t>
  </si>
  <si>
    <t>할인 + 정보·예약 안내</t>
  </si>
  <si>
    <t>택시 먼저, 늘면 셔틀</t>
  </si>
  <si>
    <t>저녁 체험 = 문보트</t>
  </si>
  <si>
    <t>유료 체험을 망설인 이유의 83%가 가격이 아닌 정보·예약·이동</t>
  </si>
  <si>
    <t>19시 이후 버스 0회. 시내버스 이용 방문자 73%가 불편</t>
  </si>
  <si>
    <t>저녁까지 운영이 확인된 체험은 문보트·황포돛배뿐</t>
  </si>
  <si>
    <t>팀 설문(응답 96명)</t>
  </si>
  <si>
    <t>버스정보시스템 46개 노선 + 팀 설문</t>
  </si>
  <si>
    <t>체험 12곳 운영 시간 확인</t>
  </si>
  <si>
    <r>
      <rPr>
        <b/>
        <sz val="10.5"/>
        <color rgb="FF34383C"/>
        <rFont val="맑은 고딕"/>
        <family val="2"/>
        <charset val="129"/>
      </rPr>
      <t xml:space="preserve">아직 정하지 않은 값
</t>
    </r>
    <r>
      <rPr>
        <sz val="10"/>
        <color rgb="FF34383C"/>
        <rFont val="맑은 고딕"/>
        <family val="2"/>
        <charset val="129"/>
      </rPr>
      <t>팝업 부스 수 · 차량 대수 · 배차 간격. 이용량·회차 시간·견적을 확인한 뒤 정한다. 인증은 영수증 QR(누구나)과 주민증 조건형 혜택을 병행(조건형 가능 여부 확인 중).</t>
    </r>
  </si>
  <si>
    <r>
      <rPr>
        <b/>
        <sz val="10.5"/>
        <color rgb="FF34383C"/>
        <rFont val="맑은 고딕"/>
        <family val="2"/>
        <charset val="129"/>
      </rPr>
      <t xml:space="preserve">넓히는 방법
</t>
    </r>
    <r>
      <rPr>
        <sz val="10"/>
        <color rgb="FF34383C"/>
        <rFont val="맑은 고딕"/>
        <family val="2"/>
        <charset val="129"/>
      </rPr>
      <t>식당을 4묶음으로 나눠 추첨 순서대로 참여시킨다. 먼저 연 묶음과 아직 안 연 묶음을 비교하면 운영하면서 효과를 바로 확인할 수 있다.</t>
    </r>
  </si>
  <si>
    <t>철도공사 숫자(2022.4~6, 소비 = 건수)는 데이터랩과 다른 체계라 [ ]로 구분했다. 영업 종료 시각은 팀 확인(조사일 기록 보완 중).</t>
  </si>
  <si>
    <t>이렇게 운영하면 → 3 기대효과</t>
  </si>
  <si>
    <t>출처: 한국관광 데이터랩, 한국철도공사 8대 도시 가명결합 분석, 코레일 안동역 승하차, 안동시 버스정보시스템, 소상공인 상가정보, 팀 온라인 설문 103명</t>
  </si>
  <si>
    <t>참여율 ▼ 눌러서 고르기</t>
  </si>
  <si>
    <t>기준(100명 중 2명)</t>
  </si>
  <si>
    <t>원도심 식당 83곳 운영. 시행 전 예측, 1만 번 계산의 가운데 값(2026년 1~8월 자료를 연간으로 환산)</t>
  </si>
  <si>
    <r>
      <rPr>
        <sz val="9"/>
        <color rgb="FFD64541"/>
        <rFont val="맑은 고딕"/>
        <family val="2"/>
        <charset val="129"/>
      </rPr>
      <t xml:space="preserve">◥ </t>
    </r>
    <r>
      <rPr>
        <sz val="9.5"/>
        <color rgb="FF6B7075"/>
        <rFont val="맑은 고딕"/>
        <family val="2"/>
        <charset val="129"/>
      </rPr>
      <t>삼각형 숫자에 마우스를 올리면 계산 방법</t>
    </r>
  </si>
  <si>
    <t>원도심 방문객 100명</t>
  </si>
  <si>
    <t>지금 → 시행 후</t>
  </si>
  <si>
    <r>
      <rPr>
        <b/>
        <sz val="10"/>
        <color rgb="FF34383C"/>
        <rFont val="맑은 고딕"/>
        <family val="2"/>
        <charset val="129"/>
      </rPr>
      <t xml:space="preserve">■ </t>
    </r>
    <r>
      <rPr>
        <sz val="9.5"/>
        <color rgb="FF6B7075"/>
        <rFont val="맑은 고딕"/>
        <family val="2"/>
        <charset val="129"/>
      </rPr>
      <t xml:space="preserve">실측 2026년 1~8월   </t>
    </r>
    <r>
      <rPr>
        <b/>
        <sz val="11"/>
        <color rgb="FF2D6BD9"/>
        <rFont val="맑은 고딕"/>
        <family val="2"/>
        <charset val="129"/>
      </rPr>
      <t xml:space="preserve">□ </t>
    </r>
    <r>
      <rPr>
        <sz val="9.5"/>
        <color rgb="FF6B7075"/>
        <rFont val="맑은 고딕"/>
        <family val="2"/>
        <charset val="129"/>
      </rPr>
      <t>예측 시행 전</t>
    </r>
  </si>
  <si>
    <t>원도심 혜택 업체</t>
  </si>
  <si>
    <t>→</t>
  </si>
  <si>
    <t>찜닭골목·문화의거리 식당</t>
  </si>
  <si>
    <t>월영교 저녁 이동</t>
  </si>
  <si>
    <t>주말 하루 새로 가는 인원</t>
  </si>
  <si>
    <t>방문당 체험·문화 소비</t>
  </si>
  <si>
    <t>152.7원</t>
  </si>
  <si>
    <r>
      <rPr>
        <b/>
        <sz val="10"/>
        <color rgb="FF34383C"/>
        <rFont val="맑은 고딕"/>
        <family val="2"/>
        <charset val="129"/>
      </rPr>
      <t xml:space="preserve">3번을 자와 함께 보면  </t>
    </r>
    <r>
      <rPr>
        <sz val="9.5"/>
        <color rgb="FF6B7075"/>
        <rFont val="맑은 고딕"/>
        <family val="2"/>
        <charset val="129"/>
      </rPr>
      <t>점선 = 전국 중앙만큼만 줄었을 때(179.7원)</t>
    </r>
  </si>
  <si>
    <t>참여 = 원도심 식당에서 먹고 체험 할인을 받은 사람. 설문의 "하겠다"는 선행연구대로 33~40%만 실제로 한다고 보정했다.</t>
  </si>
  <si>
    <t>거꾸로 보면, 몇 명이 참여해야 하나</t>
  </si>
  <si>
    <t>격차 27.0원 = 지금 152.7원과 전국 중앙 수준 179.7원의 차이. 100명 중 몇 명이 필요한지</t>
  </si>
  <si>
    <t>격차의 4분의 1</t>
  </si>
  <si>
    <t>격차의 절반</t>
  </si>
  <si>
    <t>격차 전부</t>
  </si>
  <si>
    <t>파랑 = 지금 고른 참여율로 넘는 선</t>
  </si>
  <si>
    <t>안동에서 늘어나는
소비(연간)</t>
  </si>
  <si>
    <t>할인액·원래 썼을 돈 제외</t>
  </si>
  <si>
    <t>시행 후 확인</t>
  </si>
  <si>
    <r>
      <rPr>
        <sz val="10.5"/>
        <color rgb="FF34383C"/>
        <rFont val="맑은 고딕"/>
        <family val="2"/>
        <charset val="129"/>
      </rPr>
      <t xml:space="preserve">식당 83곳을 4묶음으로 나눠 추첨 순서로 열면
</t>
    </r>
    <r>
      <rPr>
        <b/>
        <sz val="10.5"/>
        <color rgb="FF34383C"/>
        <rFont val="맑은 고딕"/>
        <family val="2"/>
        <charset val="129"/>
      </rPr>
      <t>5개월 만에 85% 확률</t>
    </r>
    <r>
      <rPr>
        <sz val="10.5"/>
        <color rgb="FF34383C"/>
        <rFont val="맑은 고딕"/>
        <family val="2"/>
        <charset val="129"/>
      </rPr>
      <t>로 효과를 판정</t>
    </r>
  </si>
  <si>
    <t>모의실험 범위는 가정한 분포에서 나온 범위이며 신뢰구간이 아니다. 시행 첫 달 실제 기록으로 다시 계산한다.</t>
  </si>
  <si>
    <t>안동만의 문제인가 → 4 시·군 진단</t>
  </si>
  <si>
    <t>출처: 이어드림 기대효과 모의실험(주민증 이용 기록, 축제 방문객 소비, 체험 가격 27개, 팀 설문)</t>
  </si>
  <si>
    <t>시·군 ▼ 눌러서 고르기</t>
  </si>
  <si>
    <t>안동시</t>
  </si>
  <si>
    <t>144개 시·군을 같은 네 지표로 진단. 지표마다 하위 25%(문제 백분위 75 이상)면 문제로 본다.</t>
  </si>
  <si>
    <t>방문당 체험·문화 소비 변화</t>
  </si>
  <si>
    <t>외지인 방문 변화</t>
  </si>
  <si>
    <t>진단 점수</t>
  </si>
  <si>
    <t>문제 유형</t>
  </si>
  <si>
    <t>2024 → 2026년 1~8월</t>
  </si>
  <si>
    <r>
      <rPr>
        <b/>
        <sz val="10.5"/>
        <color rgb="FF34383C"/>
        <rFont val="맑은 고딕"/>
        <family val="2"/>
        <charset val="129"/>
      </rPr>
      <t xml:space="preserve">전국 지도  </t>
    </r>
    <r>
      <rPr>
        <sz val="9.5"/>
        <color rgb="FF6B7075"/>
        <rFont val="맑은 고딕"/>
        <family val="2"/>
        <charset val="129"/>
      </rPr>
      <t>점 = 시·군 중심, 선 = 시·군 경계(2018)</t>
    </r>
  </si>
  <si>
    <t>오른쪽일수록 문제</t>
  </si>
  <si>
    <t>전국 가운데</t>
  </si>
  <si>
    <t>문제 구간</t>
  </si>
  <si>
    <t>체험·문화 소비 변화</t>
  </si>
  <si>
    <t>평균 숙박일수</t>
  </si>
  <si>
    <t>저녁 전환율</t>
  </si>
  <si>
    <t>야간 방문 비중</t>
  </si>
  <si>
    <t>0 좋음</t>
  </si>
  <si>
    <t>50</t>
  </si>
  <si>
    <t>100 나쁨</t>
  </si>
  <si>
    <t>시·군</t>
  </si>
  <si>
    <t>방문당 체험·문화 소비 변화 (−60% ~ +60%, 점선 = 0)</t>
  </si>
  <si>
    <t>변화율</t>
  </si>
  <si>
    <t>숙박일수</t>
  </si>
  <si>
    <r>
      <rPr>
        <b/>
        <sz val="9"/>
        <color rgb="FF6B7075"/>
        <rFont val="맑은 고딕"/>
        <family val="2"/>
        <charset val="129"/>
      </rPr>
      <t xml:space="preserve">지도 점 색  </t>
    </r>
    <r>
      <rPr>
        <b/>
        <sz val="10"/>
        <color rgb="FF1A4FA8"/>
        <rFont val="맑은 고딕"/>
        <family val="2"/>
        <charset val="129"/>
      </rPr>
      <t xml:space="preserve">● </t>
    </r>
    <r>
      <rPr>
        <sz val="9"/>
        <color rgb="FF6B7075"/>
        <rFont val="맑은 고딕"/>
        <family val="2"/>
        <charset val="129"/>
      </rPr>
      <t xml:space="preserve">고른 시·군   </t>
    </r>
    <r>
      <rPr>
        <b/>
        <sz val="10"/>
        <color rgb="FF2D6BD9"/>
        <rFont val="맑은 고딕"/>
        <family val="2"/>
        <charset val="129"/>
      </rPr>
      <t xml:space="preserve">● </t>
    </r>
    <r>
      <rPr>
        <sz val="9"/>
        <color rgb="FF6B7075"/>
        <rFont val="맑은 고딕"/>
        <family val="2"/>
        <charset val="129"/>
      </rPr>
      <t xml:space="preserve">같은 유형   </t>
    </r>
    <r>
      <rPr>
        <b/>
        <sz val="10"/>
        <color rgb="FFB9BFC5"/>
        <rFont val="맑은 고딕"/>
        <family val="2"/>
        <charset val="129"/>
      </rPr>
      <t xml:space="preserve">● </t>
    </r>
    <r>
      <rPr>
        <sz val="9"/>
        <color rgb="FF6B7075"/>
        <rFont val="맑은 고딕"/>
        <family val="2"/>
        <charset val="129"/>
      </rPr>
      <t xml:space="preserve">다른 진단 대상   </t>
    </r>
    <r>
      <rPr>
        <b/>
        <sz val="10"/>
        <color rgb="FFE3E6E9"/>
        <rFont val="맑은 고딕"/>
        <family val="2"/>
        <charset val="129"/>
      </rPr>
      <t xml:space="preserve">● </t>
    </r>
    <r>
      <rPr>
        <sz val="9"/>
        <color rgb="FF6B7075"/>
        <rFont val="맑은 고딕"/>
        <family val="2"/>
        <charset val="129"/>
      </rPr>
      <t>진단 제외(광역시 자치구 등)</t>
    </r>
  </si>
  <si>
    <t>144곳의 문제 유형</t>
  </si>
  <si>
    <t>안동과 같은 유형 6곳(영덕·양양·남해·울진·광명·강릉)이 이어드림을 옮겨 쓸 1차 후보다. 디지털 관광주민증을 운영하는 52개 지자체에도 같은 틀을 적용할 수 있다.</t>
  </si>
  <si>
    <t>문제 화면은 146곳, 진단은 네 지표가 모두 있고 방문 100만 명 이상인 144곳이다. 진단 점수는 네 지표를 같은 비중으로 평균했다.</t>
  </si>
  <si>
    <t>처음으로 → 한눈에</t>
  </si>
  <si>
    <t>출처: 한국관광 데이터랩(카드 소비·방문, 평균 숙박일수 LN_02_01_013, 시간대별 방문), 팀 전국 진단표. 체험·문화 2024→2026년 1~8월, 숙박일수 2025년, 저녁·야간 2026년 1~8월</t>
  </si>
  <si>
    <t>데이터 출처</t>
  </si>
  <si>
    <t>대시보드 숫자는 아래 자료로 계산했다. 계산 스크립트는 공개 저장소 scripts/ 폴더에 있다.</t>
  </si>
  <si>
    <t>자료</t>
  </si>
  <si>
    <t>기관</t>
  </si>
  <si>
    <t>기간</t>
  </si>
  <si>
    <t>쓴 화면</t>
  </si>
  <si>
    <t>외지인 방문 연인원 (BDT_01_01_006)</t>
  </si>
  <si>
    <t>한국관광 데이터랩</t>
  </si>
  <si>
    <t>2024·2026년 1~8월</t>
  </si>
  <si>
    <t>문제, 시·군 진단</t>
  </si>
  <si>
    <t>외지인 신용카드 소비, 업종 중분류 (BDT_02_01_003)</t>
  </si>
  <si>
    <t>읍면동별 외지인 방문</t>
  </si>
  <si>
    <t>2026년 1~8월</t>
  </si>
  <si>
    <t>문제, 해법</t>
  </si>
  <si>
    <t>평균 숙박일수 (LN_02_01_013)</t>
  </si>
  <si>
    <t>2025년</t>
  </si>
  <si>
    <t>시·군 진단</t>
  </si>
  <si>
    <t>시간대별 방문(저녁 전환율, 야간 방문 비중)</t>
  </si>
  <si>
    <t>당일 방문(무박) 비중</t>
  </si>
  <si>
    <t>2019·2025년</t>
  </si>
  <si>
    <t>문제</t>
  </si>
  <si>
    <t>8대 도시 가명결합 분석(안동 관광지 방문·소비)</t>
  </si>
  <si>
    <t>한국철도공사</t>
  </si>
  <si>
    <t>2022.4~6</t>
  </si>
  <si>
    <t>안동역 시간대별 승하차</t>
  </si>
  <si>
    <t>코레일</t>
  </si>
  <si>
    <t>2024.1~2026.8</t>
  </si>
  <si>
    <t>해법</t>
  </si>
  <si>
    <t>시내버스 시간표 46개 노선</t>
  </si>
  <si>
    <t>안동시 버스정보시스템</t>
  </si>
  <si>
    <t>2026년</t>
  </si>
  <si>
    <t>상가(상권)정보 음식점</t>
  </si>
  <si>
    <t>소상공인시장진흥공단</t>
  </si>
  <si>
    <t>2026.6</t>
  </si>
  <si>
    <t>디지털관광주민증 혜택업체·이용 실적</t>
  </si>
  <si>
    <t>안동시(정보공개청구)</t>
  </si>
  <si>
    <t>2024.6~2026.8</t>
  </si>
  <si>
    <t>월영교 1km 음식점 영업 종료 시각</t>
  </si>
  <si>
    <t>팀 확인(조사 16번)</t>
  </si>
  <si>
    <t>조사일 기록 보완 중</t>
  </si>
  <si>
    <t>온라인 설문 103명(방문 경험 72명)</t>
  </si>
  <si>
    <t>팀</t>
  </si>
  <si>
    <t>2026.9.23~24</t>
  </si>
  <si>
    <t>해법, 기대효과</t>
  </si>
  <si>
    <t>기대효과 모의실험 1만 번</t>
  </si>
  <si>
    <t>팀 분석(이어드림_시뮬레이션.py)</t>
  </si>
  <si>
    <t>2026년 1~8월 기준</t>
  </si>
  <si>
    <t>기대효과</t>
  </si>
  <si>
    <t>순차 확대 검정력</t>
  </si>
  <si>
    <t>팀 분석(이어드림_순차도입_검정력.py)</t>
  </si>
  <si>
    <t>-</t>
  </si>
  <si>
    <t>전국 진단표 144곳</t>
  </si>
  <si>
    <t>팀 분석(전국진단표.py)</t>
  </si>
  <si>
    <t>위 데이터랩 기간</t>
  </si>
  <si>
    <t>시·군 경계</t>
  </si>
  <si>
    <t>southkorea-maps(2018 행정구역)</t>
  </si>
  <si>
    <t>2018</t>
  </si>
  <si>
    <t>시·군 진단 지도</t>
  </si>
  <si>
    <t>만든 스크립트: scripts/요약대시보드.py (숫자는 앞단 JSON·CSV에서 읽는다. 이 파일을 손으로 고치지 않는다)</t>
  </si>
  <si>
    <t>시군</t>
  </si>
  <si>
    <t>방문_변화율</t>
  </si>
  <si>
    <t>체험문화_2024</t>
  </si>
  <si>
    <t>체험문화_2026</t>
  </si>
  <si>
    <t>체험문화_변화율</t>
  </si>
  <si>
    <t>감소순위</t>
  </si>
  <si>
    <t>울진군</t>
  </si>
  <si>
    <t>남해군</t>
  </si>
  <si>
    <t>진안군</t>
  </si>
  <si>
    <t>성주군</t>
  </si>
  <si>
    <t>인제군</t>
  </si>
  <si>
    <t>완주군</t>
  </si>
  <si>
    <t>영주시</t>
  </si>
  <si>
    <t>음성군</t>
  </si>
  <si>
    <t>예산군</t>
  </si>
  <si>
    <t>의성군</t>
  </si>
  <si>
    <t>양양군</t>
  </si>
  <si>
    <t>평택시</t>
  </si>
  <si>
    <t>거창군</t>
  </si>
  <si>
    <t>청도군</t>
  </si>
  <si>
    <t>진천군</t>
  </si>
  <si>
    <t>영덕군</t>
  </si>
  <si>
    <t>구미시</t>
  </si>
  <si>
    <t>광명시</t>
  </si>
  <si>
    <t>경산시</t>
  </si>
  <si>
    <t>나주시</t>
  </si>
  <si>
    <t>기장군</t>
  </si>
  <si>
    <t>밀양시</t>
  </si>
  <si>
    <t>아산시</t>
  </si>
  <si>
    <t>횡성군</t>
  </si>
  <si>
    <t>강릉시</t>
  </si>
  <si>
    <t>고령군</t>
  </si>
  <si>
    <t>문경시</t>
  </si>
  <si>
    <t>순천시</t>
  </si>
  <si>
    <t>연천군</t>
  </si>
  <si>
    <t>화순군</t>
  </si>
  <si>
    <t>하남시</t>
  </si>
  <si>
    <t>익산시</t>
  </si>
  <si>
    <t>부여군</t>
  </si>
  <si>
    <t>의령군</t>
  </si>
  <si>
    <t>정읍시</t>
  </si>
  <si>
    <t>금산군</t>
  </si>
  <si>
    <t>순창군</t>
  </si>
  <si>
    <t>서산시</t>
  </si>
  <si>
    <t>남원시</t>
  </si>
  <si>
    <t>창녕군</t>
  </si>
  <si>
    <t>단양군</t>
  </si>
  <si>
    <t>태안군</t>
  </si>
  <si>
    <t>이천시</t>
  </si>
  <si>
    <t>합천군</t>
  </si>
  <si>
    <t>부안군</t>
  </si>
  <si>
    <t>서천군</t>
  </si>
  <si>
    <t>김해시</t>
  </si>
  <si>
    <t>김포시</t>
  </si>
  <si>
    <t>괴산군</t>
  </si>
  <si>
    <t>양산시</t>
  </si>
  <si>
    <t>홍성군</t>
  </si>
  <si>
    <t>정선군</t>
  </si>
  <si>
    <t>함평군</t>
  </si>
  <si>
    <t>영월군</t>
  </si>
  <si>
    <t>시흥시</t>
  </si>
  <si>
    <t>충주시</t>
  </si>
  <si>
    <t>옹진군</t>
  </si>
  <si>
    <t>김천시</t>
  </si>
  <si>
    <t>태백시</t>
  </si>
  <si>
    <t>제천시</t>
  </si>
  <si>
    <t>영천시</t>
  </si>
  <si>
    <t>속초시</t>
  </si>
  <si>
    <t>세종특별자치시</t>
  </si>
  <si>
    <t>화천군</t>
  </si>
  <si>
    <t>울릉군</t>
  </si>
  <si>
    <t>논산시</t>
  </si>
  <si>
    <t>광양시</t>
  </si>
  <si>
    <t>남양주시</t>
  </si>
  <si>
    <t>양주시</t>
  </si>
  <si>
    <t>파주시</t>
  </si>
  <si>
    <t>경주시</t>
  </si>
  <si>
    <t>하동군</t>
  </si>
  <si>
    <t>삼척시</t>
  </si>
  <si>
    <t>구리시</t>
  </si>
  <si>
    <t>무안군</t>
  </si>
  <si>
    <t>옥천군</t>
  </si>
  <si>
    <t>칠곡군</t>
  </si>
  <si>
    <t>여수시</t>
  </si>
  <si>
    <t>달성군</t>
  </si>
  <si>
    <t>의정부시</t>
  </si>
  <si>
    <t>강화군</t>
  </si>
  <si>
    <t>신안군</t>
  </si>
  <si>
    <t>함양군</t>
  </si>
  <si>
    <t>동해시</t>
  </si>
  <si>
    <t>철원군</t>
  </si>
  <si>
    <t>목포시</t>
  </si>
  <si>
    <t>거제시</t>
  </si>
  <si>
    <t>상주시</t>
  </si>
  <si>
    <t>증평군</t>
  </si>
  <si>
    <t>광주시</t>
  </si>
  <si>
    <t>강진군</t>
  </si>
  <si>
    <t>오산시</t>
  </si>
  <si>
    <t>군포시</t>
  </si>
  <si>
    <t>여주시</t>
  </si>
  <si>
    <t>공주시</t>
  </si>
  <si>
    <t>보성군</t>
  </si>
  <si>
    <t>통영시</t>
  </si>
  <si>
    <t>당진시</t>
  </si>
  <si>
    <t>서귀포시</t>
  </si>
  <si>
    <t>원주시</t>
  </si>
  <si>
    <t>제주시</t>
  </si>
  <si>
    <t>함안군</t>
  </si>
  <si>
    <t>영동군</t>
  </si>
  <si>
    <t>영광군</t>
  </si>
  <si>
    <t>포천시</t>
  </si>
  <si>
    <t>청양군</t>
  </si>
  <si>
    <t>울주군</t>
  </si>
  <si>
    <t>군산시</t>
  </si>
  <si>
    <t>담양군</t>
  </si>
  <si>
    <t>김제시</t>
  </si>
  <si>
    <t>청송군</t>
  </si>
  <si>
    <t>고흥군</t>
  </si>
  <si>
    <t>양구군</t>
  </si>
  <si>
    <t>고창군</t>
  </si>
  <si>
    <t>임실군</t>
  </si>
  <si>
    <t>의왕시</t>
  </si>
  <si>
    <t>안성시</t>
  </si>
  <si>
    <t>동두천시</t>
  </si>
  <si>
    <t>사천시</t>
  </si>
  <si>
    <t>춘천시</t>
  </si>
  <si>
    <t>양평군</t>
  </si>
  <si>
    <t>군위군</t>
  </si>
  <si>
    <t>홍천군</t>
  </si>
  <si>
    <t>가평군</t>
  </si>
  <si>
    <t>해남군</t>
  </si>
  <si>
    <t>평창군</t>
  </si>
  <si>
    <t>계룡시</t>
  </si>
  <si>
    <t>진도군</t>
  </si>
  <si>
    <t>진주시</t>
  </si>
  <si>
    <t>예천군</t>
  </si>
  <si>
    <t>보령시</t>
  </si>
  <si>
    <t>장수군</t>
  </si>
  <si>
    <t>장흥군</t>
  </si>
  <si>
    <t>장성군</t>
  </si>
  <si>
    <t>무주군</t>
  </si>
  <si>
    <t>산청군</t>
  </si>
  <si>
    <t>보은군</t>
  </si>
  <si>
    <t>영양군</t>
  </si>
  <si>
    <t>봉화군</t>
  </si>
  <si>
    <t>영암군</t>
  </si>
  <si>
    <t>완도군</t>
  </si>
  <si>
    <t>곡성군</t>
  </si>
  <si>
    <t>구례군</t>
  </si>
  <si>
    <t>화성시</t>
  </si>
  <si>
    <t>과천시</t>
  </si>
  <si>
    <t>구분</t>
  </si>
  <si>
    <t>전국 중앙</t>
  </si>
  <si>
    <t>목록</t>
  </si>
  <si>
    <t>참여율</t>
  </si>
  <si>
    <t>100명중</t>
  </si>
  <si>
    <t>새이동_하루</t>
  </si>
  <si>
    <t>체험소비_후</t>
  </si>
  <si>
    <t>변화율_후</t>
  </si>
  <si>
    <t>순위_후</t>
  </si>
  <si>
    <t>추가소비_억</t>
  </si>
  <si>
    <t>인증_월</t>
  </si>
  <si>
    <t>흥행(100명 중 4명)</t>
  </si>
  <si>
    <t>목표(100명 중 10명)</t>
  </si>
  <si>
    <t>고른 순서</t>
  </si>
  <si>
    <t>순위 이름표</t>
  </si>
  <si>
    <t>자 이름표</t>
  </si>
  <si>
    <t>순위</t>
  </si>
  <si>
    <t>나머지</t>
  </si>
  <si>
    <t>더많이줄어듦</t>
  </si>
  <si>
    <t>안동_지금</t>
  </si>
  <si>
    <t>가운데</t>
  </si>
  <si>
    <t>안동_시행후</t>
  </si>
  <si>
    <t>전체</t>
  </si>
  <si>
    <t>문제_이름표</t>
  </si>
  <si>
    <t>효과_이름표</t>
  </si>
  <si>
    <t>문제_높이</t>
  </si>
  <si>
    <t>효과_높이</t>
  </si>
  <si>
    <t>안동 22위</t>
  </si>
  <si>
    <t>가운데 73위</t>
  </si>
  <si>
    <t>계열</t>
  </si>
  <si>
    <t>x</t>
  </si>
  <si>
    <t>y</t>
  </si>
  <si>
    <t>이름표</t>
  </si>
  <si>
    <t>트랙</t>
  </si>
  <si>
    <t>전국 중앙 수준</t>
  </si>
  <si>
    <t>전국 중앙 수준 179.7원</t>
  </si>
  <si>
    <t>2024년</t>
  </si>
  <si>
    <t>2024년 183.5원</t>
  </si>
  <si>
    <t>연결</t>
  </si>
  <si>
    <t>지금</t>
  </si>
  <si>
    <t>지금 152.7원</t>
  </si>
  <si>
    <t>시행 후</t>
  </si>
  <si>
    <t>짧은이름</t>
  </si>
  <si>
    <t>와과</t>
  </si>
  <si>
    <t>은는</t>
  </si>
  <si>
    <t>체험변화</t>
  </si>
  <si>
    <t>저녁전환</t>
  </si>
  <si>
    <t>야간비중</t>
  </si>
  <si>
    <t>p1</t>
  </si>
  <si>
    <t>p2</t>
  </si>
  <si>
    <t>p3</t>
  </si>
  <si>
    <t>p4</t>
  </si>
  <si>
    <t>점수</t>
  </si>
  <si>
    <t>유형</t>
  </si>
  <si>
    <t>유형표시</t>
  </si>
  <si>
    <t>146순위</t>
  </si>
  <si>
    <t>방문변화</t>
  </si>
  <si>
    <t>정렬키</t>
  </si>
  <si>
    <t>기장</t>
  </si>
  <si>
    <t>과</t>
  </si>
  <si>
    <t>은</t>
  </si>
  <si>
    <t>체험·문화 · 숙박일수 · 저녁 전환 · 야간 방문</t>
  </si>
  <si>
    <t>진안</t>
  </si>
  <si>
    <t>체험·문화 · 저녁 전환 · 야간 방문</t>
  </si>
  <si>
    <t>청도</t>
  </si>
  <si>
    <t>와</t>
  </si>
  <si>
    <t>는</t>
  </si>
  <si>
    <t>합천</t>
  </si>
  <si>
    <t>저녁 전환 · 야간 방문</t>
  </si>
  <si>
    <t>화순</t>
  </si>
  <si>
    <t>완주</t>
  </si>
  <si>
    <t>인제</t>
  </si>
  <si>
    <t>순창</t>
  </si>
  <si>
    <t>담양</t>
  </si>
  <si>
    <t>금산</t>
  </si>
  <si>
    <t>횡성</t>
  </si>
  <si>
    <t>체험·문화</t>
  </si>
  <si>
    <t>단양</t>
  </si>
  <si>
    <t>울주</t>
  </si>
  <si>
    <t>숙박일수 · 저녁 전환 · 야간 방문</t>
  </si>
  <si>
    <t>임실</t>
  </si>
  <si>
    <t>고령</t>
  </si>
  <si>
    <t>의령</t>
  </si>
  <si>
    <t>예산</t>
  </si>
  <si>
    <t>구례</t>
  </si>
  <si>
    <t>보성</t>
  </si>
  <si>
    <t>의성</t>
  </si>
  <si>
    <t>영덕</t>
  </si>
  <si>
    <t>체험·문화 · 숙박일수</t>
  </si>
  <si>
    <t>여주</t>
  </si>
  <si>
    <t>숙박일수 · 야간 방문</t>
  </si>
  <si>
    <t>서천</t>
  </si>
  <si>
    <t>저녁 전환</t>
  </si>
  <si>
    <t>남원</t>
  </si>
  <si>
    <t>문제 지표 없음</t>
  </si>
  <si>
    <t>함평</t>
  </si>
  <si>
    <t>창녕</t>
  </si>
  <si>
    <t>야간 방문</t>
  </si>
  <si>
    <t>부여</t>
  </si>
  <si>
    <t>강진</t>
  </si>
  <si>
    <t>양양</t>
  </si>
  <si>
    <t>성주</t>
  </si>
  <si>
    <t>광양</t>
  </si>
  <si>
    <t>하동</t>
  </si>
  <si>
    <t>군위</t>
  </si>
  <si>
    <t>나주</t>
  </si>
  <si>
    <t>공주</t>
  </si>
  <si>
    <t>영천</t>
  </si>
  <si>
    <t>곡성</t>
  </si>
  <si>
    <t>진천</t>
  </si>
  <si>
    <t>밀양</t>
  </si>
  <si>
    <t>서산</t>
  </si>
  <si>
    <t>강화</t>
  </si>
  <si>
    <t>장수</t>
  </si>
  <si>
    <t>부안</t>
  </si>
  <si>
    <t>연천</t>
  </si>
  <si>
    <t>양평</t>
  </si>
  <si>
    <t>영월</t>
  </si>
  <si>
    <t>남해</t>
  </si>
  <si>
    <t>산청</t>
  </si>
  <si>
    <t>신안</t>
  </si>
  <si>
    <t>김포</t>
  </si>
  <si>
    <t>순천</t>
  </si>
  <si>
    <t>옹진</t>
  </si>
  <si>
    <t>울진</t>
  </si>
  <si>
    <t>양주</t>
  </si>
  <si>
    <t>함안</t>
  </si>
  <si>
    <t>괴산</t>
  </si>
  <si>
    <t>안동</t>
  </si>
  <si>
    <t>보은</t>
  </si>
  <si>
    <t>장성</t>
  </si>
  <si>
    <t>옥천</t>
  </si>
  <si>
    <t>정읍</t>
  </si>
  <si>
    <t>음성</t>
  </si>
  <si>
    <t>문경</t>
  </si>
  <si>
    <t>광명</t>
  </si>
  <si>
    <t>포천</t>
  </si>
  <si>
    <t>김제</t>
  </si>
  <si>
    <t>홍성</t>
  </si>
  <si>
    <t>삼척</t>
  </si>
  <si>
    <t>경주</t>
  </si>
  <si>
    <t>평택</t>
  </si>
  <si>
    <t>당진</t>
  </si>
  <si>
    <t>해남</t>
  </si>
  <si>
    <t>양산</t>
  </si>
  <si>
    <t>함양</t>
  </si>
  <si>
    <t>달성</t>
  </si>
  <si>
    <t>청송</t>
  </si>
  <si>
    <t>과천</t>
  </si>
  <si>
    <t>김해</t>
  </si>
  <si>
    <t>칠곡</t>
  </si>
  <si>
    <t>영암</t>
  </si>
  <si>
    <t>태안</t>
  </si>
  <si>
    <t>논산</t>
  </si>
  <si>
    <t>강릉</t>
  </si>
  <si>
    <t>파주</t>
  </si>
  <si>
    <t>이천</t>
  </si>
  <si>
    <t>거창</t>
  </si>
  <si>
    <t>증평</t>
  </si>
  <si>
    <t>화성</t>
  </si>
  <si>
    <t>광주</t>
  </si>
  <si>
    <t>시흥</t>
  </si>
  <si>
    <t>영광</t>
  </si>
  <si>
    <t>영주</t>
  </si>
  <si>
    <t>가평</t>
  </si>
  <si>
    <t>아산</t>
  </si>
  <si>
    <t>하남</t>
  </si>
  <si>
    <t>고창</t>
  </si>
  <si>
    <t>동해</t>
  </si>
  <si>
    <t>남양주</t>
  </si>
  <si>
    <t>충주</t>
  </si>
  <si>
    <t>사천</t>
  </si>
  <si>
    <t>구리</t>
  </si>
  <si>
    <t>봉화</t>
  </si>
  <si>
    <t>화천</t>
  </si>
  <si>
    <t>무안</t>
  </si>
  <si>
    <t>안성</t>
  </si>
  <si>
    <t>정선</t>
  </si>
  <si>
    <t>속초</t>
  </si>
  <si>
    <t>무주</t>
  </si>
  <si>
    <t>여수</t>
  </si>
  <si>
    <t>장흥</t>
  </si>
  <si>
    <t>평창</t>
  </si>
  <si>
    <t>익산</t>
  </si>
  <si>
    <t>영동</t>
  </si>
  <si>
    <t>홍천</t>
  </si>
  <si>
    <t>의왕</t>
  </si>
  <si>
    <t>청양</t>
  </si>
  <si>
    <t>계룡</t>
  </si>
  <si>
    <t>통영</t>
  </si>
  <si>
    <t>제천</t>
  </si>
  <si>
    <t>춘천</t>
  </si>
  <si>
    <t>경산</t>
  </si>
  <si>
    <t>구미</t>
  </si>
  <si>
    <t>목포</t>
  </si>
  <si>
    <t>김천</t>
  </si>
  <si>
    <t>의정부</t>
  </si>
  <si>
    <t>태백</t>
  </si>
  <si>
    <t>상주</t>
  </si>
  <si>
    <t>예천</t>
  </si>
  <si>
    <t>군산</t>
  </si>
  <si>
    <t>거제</t>
  </si>
  <si>
    <t>서귀포</t>
  </si>
  <si>
    <t>군포</t>
  </si>
  <si>
    <t>보령</t>
  </si>
  <si>
    <t>철원</t>
  </si>
  <si>
    <t>원주</t>
  </si>
  <si>
    <t>제주</t>
  </si>
  <si>
    <t>오산</t>
  </si>
  <si>
    <t>고흥</t>
  </si>
  <si>
    <t>진도</t>
  </si>
  <si>
    <t>진주</t>
  </si>
  <si>
    <t>동두천</t>
  </si>
  <si>
    <t>양구</t>
  </si>
  <si>
    <t>완도</t>
  </si>
  <si>
    <t>영양</t>
  </si>
  <si>
    <t>항목</t>
  </si>
  <si>
    <t>값</t>
  </si>
  <si>
    <t>고른 시군</t>
  </si>
  <si>
    <t>행</t>
  </si>
  <si>
    <t>유형없음표시</t>
  </si>
  <si>
    <t>같은유형수</t>
  </si>
  <si>
    <t>제목</t>
  </si>
  <si>
    <t>숙박</t>
  </si>
  <si>
    <t>저녁</t>
  </si>
  <si>
    <t>야간</t>
  </si>
  <si>
    <t>내 정렬키</t>
  </si>
  <si>
    <t>유형 안 순서</t>
  </si>
  <si>
    <t>목록 제목</t>
  </si>
  <si>
    <t>더 있음</t>
  </si>
  <si>
    <t>네 지표 제목</t>
  </si>
  <si>
    <t>유형 설명</t>
  </si>
  <si>
    <t>순서</t>
  </si>
  <si>
    <t>점위치</t>
  </si>
  <si>
    <t>곳</t>
  </si>
  <si>
    <t>고른 유형</t>
  </si>
  <si>
    <t>진단대상</t>
  </si>
  <si>
    <t>진단제외</t>
  </si>
  <si>
    <t>다른진단대상</t>
  </si>
  <si>
    <t>같은유형</t>
  </si>
  <si>
    <t>고른곳</t>
  </si>
  <si>
    <t>강남구</t>
  </si>
  <si>
    <t>강동구</t>
  </si>
  <si>
    <t>강북구</t>
  </si>
  <si>
    <t>강서구</t>
  </si>
  <si>
    <t>계양구</t>
  </si>
  <si>
    <t>고성군</t>
  </si>
  <si>
    <t>고양시덕양구</t>
  </si>
  <si>
    <t>고양시일산동구</t>
  </si>
  <si>
    <t>고양시일산서구</t>
  </si>
  <si>
    <t>관악구</t>
  </si>
  <si>
    <t>광산구</t>
  </si>
  <si>
    <t>광진구</t>
  </si>
  <si>
    <t>구로구</t>
  </si>
  <si>
    <t>금정구</t>
  </si>
  <si>
    <t>금천구</t>
  </si>
  <si>
    <t>남구</t>
  </si>
  <si>
    <t>남동구</t>
  </si>
  <si>
    <t>노원구</t>
  </si>
  <si>
    <t>달서구</t>
  </si>
  <si>
    <t>대덕구</t>
  </si>
  <si>
    <t>도봉구</t>
  </si>
  <si>
    <t>동구</t>
  </si>
  <si>
    <t>동대문구</t>
  </si>
  <si>
    <t>동래구</t>
  </si>
  <si>
    <t>동작구</t>
  </si>
  <si>
    <t>마포구</t>
  </si>
  <si>
    <t>부산진구</t>
  </si>
  <si>
    <t>부천시</t>
  </si>
  <si>
    <t>부평구</t>
  </si>
  <si>
    <t>북구</t>
  </si>
  <si>
    <t>사상구</t>
  </si>
  <si>
    <t>사하구</t>
  </si>
  <si>
    <t>서구</t>
  </si>
  <si>
    <t>서대문구</t>
  </si>
  <si>
    <t>서초구</t>
  </si>
  <si>
    <t>성남시분당구</t>
  </si>
  <si>
    <t>성남시수정구</t>
  </si>
  <si>
    <t>성남시중원구</t>
  </si>
  <si>
    <t>성동구</t>
  </si>
  <si>
    <t>성북구</t>
  </si>
  <si>
    <t>세종시</t>
  </si>
  <si>
    <t>송파구</t>
  </si>
  <si>
    <t>수성구</t>
  </si>
  <si>
    <t>수영구</t>
  </si>
  <si>
    <t>수원시권선구</t>
  </si>
  <si>
    <t>수원시영통구</t>
  </si>
  <si>
    <t>수원시장안구</t>
  </si>
  <si>
    <t>수원시팔달구</t>
  </si>
  <si>
    <t>안산시단원구</t>
  </si>
  <si>
    <t>안산시상록구</t>
  </si>
  <si>
    <t>안양시동안구</t>
  </si>
  <si>
    <t>안양시만안구</t>
  </si>
  <si>
    <t>양천구</t>
  </si>
  <si>
    <t>연수구</t>
  </si>
  <si>
    <t>연제구</t>
  </si>
  <si>
    <t>영도구</t>
  </si>
  <si>
    <t>영등포구</t>
  </si>
  <si>
    <t>용산구</t>
  </si>
  <si>
    <t>용인시기흥구</t>
  </si>
  <si>
    <t>용인시수지구</t>
  </si>
  <si>
    <t>용인시처인구</t>
  </si>
  <si>
    <t>유성구</t>
  </si>
  <si>
    <t>은평구</t>
  </si>
  <si>
    <t>전주시덕진구</t>
  </si>
  <si>
    <t>전주시완산구</t>
  </si>
  <si>
    <t>종로구</t>
  </si>
  <si>
    <t>중구</t>
  </si>
  <si>
    <t>중랑구</t>
  </si>
  <si>
    <t>창원시마산합포구</t>
  </si>
  <si>
    <t>창원시마산회원구</t>
  </si>
  <si>
    <t>창원시성산구</t>
  </si>
  <si>
    <t>창원시의창구</t>
  </si>
  <si>
    <t>창원시진해구</t>
  </si>
  <si>
    <t>천안시동남구</t>
  </si>
  <si>
    <t>천안시서북구</t>
  </si>
  <si>
    <t>청주시상당구</t>
  </si>
  <si>
    <t>청주시서원구</t>
  </si>
  <si>
    <t>청주시청원구</t>
  </si>
  <si>
    <t>청주시흥덕구</t>
  </si>
  <si>
    <t>포항시남구</t>
  </si>
  <si>
    <t>포항시북구</t>
  </si>
  <si>
    <t>해운대구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</si>
</sst>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\+0.0%;\−0.0%"/>
    <numFmt numFmtId="177" formatCode="0&quot;곳&quot;"/>
    <numFmt numFmtId="178" formatCode="0.0&quot;원&quot;"/>
    <numFmt numFmtId="179" formatCode="0&quot;위&quot;"/>
    <numFmt numFmtId="180" formatCode="0&quot;명&quot;"/>
    <numFmt numFmtId="181" formatCode="0.0&quot;명&quot;"/>
    <numFmt numFmtId="182" formatCode="0.00&quot;억 원&quot;"/>
    <numFmt numFmtId="183" formatCode="0.0"/>
    <numFmt numFmtId="184" formatCode="0.00&quot;일&quot;"/>
  </numFmts>
  <fonts count="45">
    <font>
      <sz val="11"/>
      <color theme="1"/>
      <name val="맑은 고딕"/>
      <family val="2"/>
      <scheme val="minor"/>
    </font>
    <font>
      <b/>
      <sz val="10"/>
      <color rgb="FF1A4FA8"/>
      <name val="맑은 고딕"/>
      <family val="2"/>
      <charset val="129"/>
    </font>
    <font>
      <b/>
      <sz val="22"/>
      <color rgb="FF34383C"/>
      <name val="맑은 고딕"/>
      <family val="2"/>
      <charset val="129"/>
    </font>
    <font>
      <sz val="10.5"/>
      <color rgb="FF6B7075"/>
      <name val="맑은 고딕"/>
      <family val="2"/>
      <charset val="129"/>
    </font>
    <font>
      <sz val="10"/>
      <color rgb="FF6B7075"/>
      <name val="맑은 고딕"/>
      <family val="2"/>
      <charset val="129"/>
    </font>
    <font>
      <b/>
      <sz val="30"/>
      <color rgb="FF2D6BD9"/>
      <name val="맑은 고딕"/>
      <family val="2"/>
      <charset val="129"/>
    </font>
    <font>
      <sz val="10.5"/>
      <color rgb="FF34383C"/>
      <name val="맑은 고딕"/>
      <family val="2"/>
      <charset val="129"/>
    </font>
    <font>
      <sz val="9.5"/>
      <color rgb="FF6B7075"/>
      <name val="맑은 고딕"/>
      <family val="2"/>
      <charset val="129"/>
    </font>
    <font>
      <b/>
      <sz val="28"/>
      <color rgb="FFA8C4F0"/>
      <name val="맑은 고딕"/>
      <family val="2"/>
      <charset val="129"/>
    </font>
    <font>
      <b/>
      <sz val="10.5"/>
      <color rgb="FF1A4FA8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b/>
      <sz val="10.5"/>
      <color rgb="FF34383C"/>
      <name val="맑은 고딕"/>
      <family val="2"/>
      <charset val="129"/>
    </font>
    <font>
      <sz val="10"/>
      <color rgb="FF34383C"/>
      <name val="맑은 고딕"/>
      <family val="2"/>
      <charset val="129"/>
    </font>
    <font>
      <sz val="9"/>
      <color rgb="FF6B7075"/>
      <name val="맑은 고딕"/>
      <family val="2"/>
      <charset val="129"/>
    </font>
    <font>
      <b/>
      <sz val="26"/>
      <color rgb="FF34383C"/>
      <name val="맑은 고딕"/>
      <family val="2"/>
      <charset val="129"/>
    </font>
    <font>
      <b/>
      <sz val="26"/>
      <color rgb="FF2D6BD9"/>
      <name val="맑은 고딕"/>
      <family val="2"/>
      <charset val="129"/>
    </font>
    <font>
      <b/>
      <sz val="18"/>
      <color rgb="FF34383C"/>
      <name val="맑은 고딕"/>
      <family val="2"/>
      <charset val="129"/>
    </font>
    <font>
      <b/>
      <sz val="18"/>
      <color rgb="FF2D6BD9"/>
      <name val="맑은 고딕"/>
      <family val="2"/>
      <charset val="129"/>
    </font>
    <font>
      <b/>
      <sz val="10.5"/>
      <color rgb="FFFFFFFF"/>
      <name val="맑은 고딕"/>
      <family val="2"/>
      <charset val="129"/>
    </font>
    <font>
      <sz val="8.5"/>
      <color rgb="FF6B7075"/>
      <name val="맑은 고딕"/>
      <family val="2"/>
      <charset val="129"/>
    </font>
    <font>
      <b/>
      <sz val="12"/>
      <color rgb="FF34383C"/>
      <name val="맑은 고딕"/>
      <family val="2"/>
      <charset val="129"/>
    </font>
    <font>
      <b/>
      <sz val="12"/>
      <color rgb="FF1A4FA8"/>
      <name val="맑은 고딕"/>
      <family val="2"/>
      <charset val="129"/>
    </font>
    <font>
      <sz val="8"/>
      <color rgb="FFFFFFFF"/>
      <name val="맑은 고딕"/>
      <family val="2"/>
      <charset val="129"/>
    </font>
    <font>
      <b/>
      <sz val="10"/>
      <color rgb="FF34383C"/>
      <name val="맑은 고딕"/>
      <family val="2"/>
      <charset val="129"/>
    </font>
    <font>
      <b/>
      <sz val="15"/>
      <color rgb="FF34383C"/>
      <name val="맑은 고딕"/>
      <family val="2"/>
      <charset val="129"/>
    </font>
    <font>
      <sz val="13"/>
      <color rgb="FF6B7075"/>
      <name val="맑은 고딕"/>
      <family val="2"/>
      <charset val="129"/>
    </font>
    <font>
      <b/>
      <sz val="22"/>
      <color rgb="FF2D6BD9"/>
      <name val="맑은 고딕"/>
      <family val="2"/>
      <charset val="129"/>
    </font>
    <font>
      <b/>
      <sz val="11"/>
      <color rgb="FF34383C"/>
      <name val="맑은 고딕"/>
      <family val="2"/>
      <charset val="129"/>
    </font>
    <font>
      <b/>
      <sz val="13"/>
      <color rgb="FF34383C"/>
      <name val="맑은 고딕"/>
      <family val="2"/>
      <charset val="129"/>
    </font>
    <font>
      <b/>
      <sz val="24"/>
      <color rgb="FF2D6BD9"/>
      <name val="맑은 고딕"/>
      <family val="2"/>
      <charset val="129"/>
    </font>
    <font>
      <b/>
      <sz val="13"/>
      <color rgb="FF1A4FA8"/>
      <name val="맑은 고딕"/>
      <family val="2"/>
      <charset val="129"/>
    </font>
    <font>
      <b/>
      <sz val="15"/>
      <color rgb="FF2D6BD9"/>
      <name val="맑은 고딕"/>
      <family val="2"/>
      <charset val="129"/>
    </font>
    <font>
      <b/>
      <sz val="9"/>
      <color rgb="FF1A4FA8"/>
      <name val="맑은 고딕"/>
      <family val="2"/>
      <charset val="129"/>
    </font>
    <font>
      <sz val="9"/>
      <color rgb="FFD64541"/>
      <name val="맑은 고딕"/>
      <family val="2"/>
      <charset val="129"/>
    </font>
    <font>
      <b/>
      <sz val="14"/>
      <color rgb="FF34383C"/>
      <name val="맑은 고딕"/>
      <family val="2"/>
      <charset val="129"/>
    </font>
    <font>
      <sz val="11"/>
      <color rgb="FF6B7075"/>
      <name val="맑은 고딕"/>
      <family val="2"/>
      <charset val="129"/>
    </font>
    <font>
      <b/>
      <sz val="10"/>
      <color rgb="FF2D6BD9"/>
      <name val="맑은 고딕"/>
      <family val="2"/>
      <charset val="129"/>
    </font>
    <font>
      <b/>
      <sz val="9.5"/>
      <color rgb="FF34383C"/>
      <name val="맑은 고딕"/>
      <family val="2"/>
      <charset val="129"/>
    </font>
    <font>
      <sz val="9.5"/>
      <color rgb="FF34383C"/>
      <name val="맑은 고딕"/>
      <family val="2"/>
      <charset val="129"/>
    </font>
    <font>
      <b/>
      <sz val="9.5"/>
      <color rgb="FF2D6BD9"/>
      <name val="맑은 고딕"/>
      <family val="2"/>
      <charset val="129"/>
    </font>
    <font>
      <b/>
      <sz val="11"/>
      <color rgb="FF2D6BD9"/>
      <name val="맑은 고딕"/>
      <family val="2"/>
      <charset val="129"/>
    </font>
    <font>
      <b/>
      <sz val="9"/>
      <color rgb="FF6B7075"/>
      <name val="맑은 고딕"/>
      <family val="2"/>
      <charset val="129"/>
    </font>
    <font>
      <b/>
      <sz val="10"/>
      <color rgb="FFB9BFC5"/>
      <name val="맑은 고딕"/>
      <family val="2"/>
      <charset val="129"/>
    </font>
    <font>
      <b/>
      <sz val="10"/>
      <color rgb="FFE3E6E9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D6BD9"/>
      </patternFill>
    </fill>
    <fill>
      <patternFill patternType="solid">
        <fgColor rgb="FFF6F7F8"/>
      </patternFill>
    </fill>
    <fill>
      <patternFill patternType="solid">
        <fgColor rgb="FFEAF1FC"/>
      </patternFill>
    </fill>
    <fill>
      <patternFill patternType="solid">
        <fgColor rgb="FF34383C"/>
      </patternFill>
    </fill>
    <fill>
      <patternFill patternType="solid">
        <fgColor rgb="FF1A4FA8"/>
      </patternFill>
    </fill>
    <fill>
      <patternFill patternType="solid">
        <fgColor rgb="FFECEEF0"/>
      </patternFill>
    </fill>
  </fills>
  <borders count="19">
    <border>
      <left/>
      <right/>
      <top/>
      <bottom/>
      <diagonal/>
    </border>
    <border>
      <left/>
      <right/>
      <top/>
      <bottom style="thin">
        <color rgb="FFD5D9DC"/>
      </bottom>
      <diagonal/>
    </border>
    <border>
      <left style="thin">
        <color rgb="FFD5D9DC"/>
      </left>
      <right/>
      <top/>
      <bottom/>
      <diagonal/>
    </border>
    <border>
      <left/>
      <right/>
      <top style="medium">
        <color rgb="FF34383C"/>
      </top>
      <bottom/>
      <diagonal/>
    </border>
    <border>
      <left/>
      <right/>
      <top style="medium">
        <color rgb="FF34383C"/>
      </top>
      <bottom/>
      <diagonal/>
    </border>
    <border>
      <left/>
      <right/>
      <top/>
      <bottom style="medium">
        <color rgb="FF2D6BD9"/>
      </bottom>
      <diagonal/>
    </border>
    <border>
      <left style="thin">
        <color rgb="FF34383C"/>
      </left>
      <right/>
      <top/>
      <bottom/>
      <diagonal/>
    </border>
    <border>
      <left style="thin">
        <color rgb="FF2D6BD9"/>
      </left>
      <right/>
      <top/>
      <bottom/>
      <diagonal/>
    </border>
    <border>
      <left/>
      <right/>
      <top/>
      <bottom style="medium">
        <color rgb="FF34383C"/>
      </bottom>
      <diagonal/>
    </border>
    <border>
      <left/>
      <right/>
      <top style="thin">
        <color rgb="FFECEEF0"/>
      </top>
      <bottom/>
      <diagonal/>
    </border>
    <border>
      <left/>
      <right/>
      <top style="thin">
        <color rgb="FFECEEF0"/>
      </top>
      <bottom/>
      <diagonal/>
    </border>
    <border>
      <left style="medium">
        <color rgb="FF2D6BD9"/>
      </left>
      <right style="medium">
        <color rgb="FF2D6BD9"/>
      </right>
      <top style="medium">
        <color rgb="FF2D6BD9"/>
      </top>
      <bottom style="medium">
        <color rgb="FF2D6BD9"/>
      </bottom>
      <diagonal/>
    </border>
    <border>
      <left/>
      <right/>
      <top style="medium">
        <color rgb="FF2D6BD9"/>
      </top>
      <bottom style="medium">
        <color rgb="FF2D6BD9"/>
      </bottom>
      <diagonal/>
    </border>
    <border>
      <left/>
      <right style="medium">
        <color rgb="FF2D6BD9"/>
      </right>
      <top style="medium">
        <color rgb="FF2D6BD9"/>
      </top>
      <bottom style="medium">
        <color rgb="FF2D6BD9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/>
      <top/>
      <bottom style="thin">
        <color rgb="FFECEEF0"/>
      </bottom>
      <diagonal/>
    </border>
    <border>
      <left/>
      <right/>
      <top/>
      <bottom style="thin">
        <color rgb="FFECEEF0"/>
      </bottom>
      <diagonal/>
    </border>
    <border>
      <left style="dashed">
        <color rgb="FF6B7075"/>
      </left>
      <right/>
      <top/>
      <bottom style="thin">
        <color rgb="FFECEEF0"/>
      </bottom>
      <diagonal/>
    </border>
    <border>
      <left/>
      <right/>
      <top/>
      <bottom style="medium">
        <color rgb="FF34383C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2" borderId="0" xfId="0" applyFill="1"/>
    <xf numFmtId="0" fontId="8" fillId="0" borderId="0" xfId="0" applyFont="1" applyAlignment="1">
      <alignment horizontal="center" vertical="center"/>
    </xf>
    <xf numFmtId="0" fontId="0" fillId="3" borderId="1" xfId="0" applyFill="1" applyBorder="1"/>
    <xf numFmtId="0" fontId="0" fillId="3" borderId="0" xfId="0" applyFill="1"/>
    <xf numFmtId="0" fontId="10" fillId="2" borderId="0" xfId="0" applyFont="1" applyFill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 vertical="center"/>
    </xf>
    <xf numFmtId="0" fontId="0" fillId="0" borderId="6" xfId="0" applyBorder="1"/>
    <xf numFmtId="0" fontId="0" fillId="5" borderId="6" xfId="0" applyFill="1" applyBorder="1"/>
    <xf numFmtId="0" fontId="0" fillId="5" borderId="0" xfId="0" applyFill="1"/>
    <xf numFmtId="0" fontId="19" fillId="0" borderId="0" xfId="0" applyFont="1" applyAlignment="1">
      <alignment horizontal="left" vertical="center"/>
    </xf>
    <xf numFmtId="0" fontId="0" fillId="0" borderId="7" xfId="0" applyBorder="1"/>
    <xf numFmtId="0" fontId="0" fillId="2" borderId="7" xfId="0" applyFill="1" applyBorder="1"/>
    <xf numFmtId="0" fontId="0" fillId="0" borderId="8" xfId="0" applyBorder="1"/>
    <xf numFmtId="0" fontId="22" fillId="0" borderId="0" xfId="0" applyFont="1"/>
    <xf numFmtId="0" fontId="0" fillId="7" borderId="14" xfId="0" applyFill="1" applyBorder="1"/>
    <xf numFmtId="0" fontId="0" fillId="0" borderId="15" xfId="0" applyBorder="1"/>
    <xf numFmtId="0" fontId="20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4" borderId="16" xfId="0" applyFont="1" applyFill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176" fontId="0" fillId="0" borderId="0" xfId="0" applyNumberFormat="1"/>
    <xf numFmtId="177" fontId="0" fillId="0" borderId="0" xfId="0" applyNumberFormat="1"/>
    <xf numFmtId="0" fontId="1" fillId="3" borderId="0" xfId="0" applyFont="1" applyFill="1" applyAlignment="1">
      <alignment horizontal="left" indent="1"/>
    </xf>
    <xf numFmtId="0" fontId="0" fillId="0" borderId="0" xfId="0"/>
    <xf numFmtId="0" fontId="9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0" fontId="6" fillId="3" borderId="0" xfId="0" applyFont="1" applyFill="1" applyAlignment="1">
      <alignment horizontal="left" vertical="center" indent="1"/>
    </xf>
    <xf numFmtId="0" fontId="11" fillId="0" borderId="0" xfId="0" applyFont="1" applyAlignment="1">
      <alignment horizontal="left" vertical="center" wrapText="1"/>
    </xf>
    <xf numFmtId="0" fontId="6" fillId="4" borderId="0" xfId="0" applyFont="1" applyFill="1" applyAlignment="1">
      <alignment horizontal="left" vertical="center" wrapText="1" indent="1"/>
    </xf>
    <xf numFmtId="0" fontId="4" fillId="3" borderId="0" xfId="0" applyFont="1" applyFill="1" applyAlignment="1">
      <alignment horizontal="left" vertical="center" indent="1"/>
    </xf>
    <xf numFmtId="0" fontId="1" fillId="3" borderId="0" xfId="0" applyFont="1" applyFill="1" applyAlignment="1">
      <alignment horizontal="left" vertical="center" indent="1"/>
    </xf>
    <xf numFmtId="0" fontId="1" fillId="0" borderId="0" xfId="0" applyFont="1" applyAlignment="1">
      <alignment horizontal="left"/>
    </xf>
    <xf numFmtId="0" fontId="7" fillId="3" borderId="0" xfId="0" applyFont="1" applyFill="1" applyAlignment="1">
      <alignment horizontal="left" vertical="center" wrapText="1" indent="1"/>
    </xf>
    <xf numFmtId="177" fontId="5" fillId="3" borderId="0" xfId="0" applyNumberFormat="1" applyFont="1" applyFill="1" applyAlignment="1">
      <alignment horizontal="left" vertical="center" indent="1"/>
    </xf>
    <xf numFmtId="176" fontId="5" fillId="3" borderId="0" xfId="0" applyNumberFormat="1" applyFont="1" applyFill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178" fontId="5" fillId="3" borderId="0" xfId="0" applyNumberFormat="1" applyFont="1" applyFill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0" fontId="13" fillId="0" borderId="0" xfId="0" applyFont="1" applyAlignment="1">
      <alignment horizontal="left" vertical="center" indent="1"/>
    </xf>
    <xf numFmtId="179" fontId="15" fillId="0" borderId="2" xfId="0" applyNumberFormat="1" applyFont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0" fontId="13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176" fontId="14" fillId="0" borderId="0" xfId="0" applyNumberFormat="1" applyFont="1" applyAlignment="1">
      <alignment horizontal="left" vertical="center"/>
    </xf>
    <xf numFmtId="176" fontId="15" fillId="0" borderId="2" xfId="0" applyNumberFormat="1" applyFont="1" applyBorder="1" applyAlignment="1">
      <alignment horizontal="left" vertical="center" indent="1"/>
    </xf>
    <xf numFmtId="0" fontId="12" fillId="0" borderId="0" xfId="0" applyFont="1" applyAlignment="1">
      <alignment horizontal="left" vertical="top" wrapText="1" indent="1"/>
    </xf>
    <xf numFmtId="0" fontId="16" fillId="0" borderId="0" xfId="0" applyFont="1" applyAlignment="1">
      <alignment horizontal="left" vertical="center" indent="1"/>
    </xf>
    <xf numFmtId="0" fontId="7" fillId="0" borderId="2" xfId="0" applyFont="1" applyBorder="1" applyAlignment="1">
      <alignment horizontal="left" vertical="top" wrapText="1" indent="1"/>
    </xf>
    <xf numFmtId="0" fontId="7" fillId="0" borderId="0" xfId="0" applyFont="1" applyAlignment="1">
      <alignment horizontal="left" vertical="top" wrapText="1"/>
    </xf>
    <xf numFmtId="0" fontId="21" fillId="0" borderId="9" xfId="0" applyFont="1" applyBorder="1" applyAlignment="1">
      <alignment horizontal="left"/>
    </xf>
    <xf numFmtId="0" fontId="0" fillId="0" borderId="10" xfId="0" applyBorder="1"/>
    <xf numFmtId="0" fontId="6" fillId="3" borderId="0" xfId="0" applyFont="1" applyFill="1" applyAlignment="1">
      <alignment horizontal="left" vertical="center" wrapText="1" indent="1"/>
    </xf>
    <xf numFmtId="0" fontId="12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top"/>
    </xf>
    <xf numFmtId="0" fontId="18" fillId="2" borderId="0" xfId="0" applyFont="1" applyFill="1" applyAlignment="1">
      <alignment horizontal="left" vertical="center" indent="1"/>
    </xf>
    <xf numFmtId="0" fontId="20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horizontal="left" vertical="center"/>
    </xf>
    <xf numFmtId="0" fontId="0" fillId="0" borderId="4" xfId="0" applyBorder="1"/>
    <xf numFmtId="0" fontId="11" fillId="4" borderId="0" xfId="0" applyFont="1" applyFill="1" applyAlignment="1">
      <alignment horizontal="left" vertical="center" indent="1"/>
    </xf>
    <xf numFmtId="0" fontId="17" fillId="0" borderId="5" xfId="0" applyFont="1" applyBorder="1" applyAlignment="1">
      <alignment horizontal="center"/>
    </xf>
    <xf numFmtId="0" fontId="0" fillId="0" borderId="5" xfId="0" applyBorder="1"/>
    <xf numFmtId="0" fontId="18" fillId="6" borderId="0" xfId="0" applyFont="1" applyFill="1" applyAlignment="1">
      <alignment horizontal="left" vertical="center" indent="1"/>
    </xf>
    <xf numFmtId="0" fontId="24" fillId="0" borderId="0" xfId="0" applyFont="1" applyAlignment="1">
      <alignment horizontal="left" vertical="center" wrapText="1"/>
    </xf>
    <xf numFmtId="0" fontId="0" fillId="0" borderId="15" xfId="0" applyBorder="1"/>
    <xf numFmtId="177" fontId="2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 wrapText="1" indent="1"/>
    </xf>
    <xf numFmtId="0" fontId="7" fillId="0" borderId="0" xfId="0" applyFont="1" applyAlignment="1">
      <alignment horizontal="left" vertical="center" wrapText="1"/>
    </xf>
    <xf numFmtId="0" fontId="25" fillId="0" borderId="0" xfId="0" applyFont="1" applyAlignment="1">
      <alignment horizontal="center" vertical="center"/>
    </xf>
    <xf numFmtId="180" fontId="26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181" fontId="28" fillId="0" borderId="0" xfId="0" applyNumberFormat="1" applyFont="1" applyAlignment="1">
      <alignment horizontal="right" vertical="center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left"/>
    </xf>
    <xf numFmtId="182" fontId="29" fillId="0" borderId="0" xfId="0" applyNumberFormat="1" applyFont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0" fillId="0" borderId="8" xfId="0" applyBorder="1"/>
    <xf numFmtId="0" fontId="3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1" fillId="0" borderId="3" xfId="0" applyFont="1" applyBorder="1" applyAlignment="1">
      <alignment horizontal="left" vertical="center"/>
    </xf>
    <xf numFmtId="0" fontId="0" fillId="0" borderId="3" xfId="0" applyBorder="1"/>
    <xf numFmtId="0" fontId="6" fillId="0" borderId="8" xfId="0" applyFont="1" applyBorder="1" applyAlignment="1">
      <alignment horizontal="right" vertical="center"/>
    </xf>
    <xf numFmtId="0" fontId="27" fillId="0" borderId="0" xfId="0" applyFont="1" applyAlignment="1">
      <alignment horizontal="left" vertical="center" wrapText="1"/>
    </xf>
    <xf numFmtId="178" fontId="26" fillId="0" borderId="0" xfId="0" applyNumberFormat="1" applyFont="1" applyAlignment="1">
      <alignment horizontal="left" vertical="center"/>
    </xf>
    <xf numFmtId="0" fontId="21" fillId="4" borderId="11" xfId="0" applyFont="1" applyFill="1" applyBorder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3" xfId="0" applyBorder="1"/>
    <xf numFmtId="0" fontId="19" fillId="0" borderId="8" xfId="0" applyFont="1" applyBorder="1" applyAlignment="1">
      <alignment horizontal="left" vertical="center"/>
    </xf>
    <xf numFmtId="0" fontId="12" fillId="0" borderId="0" xfId="0" applyFont="1" applyAlignment="1">
      <alignment horizontal="left" vertical="center" indent="1"/>
    </xf>
    <xf numFmtId="0" fontId="11" fillId="0" borderId="0" xfId="0" applyFont="1" applyAlignment="1">
      <alignment horizontal="left" vertical="center"/>
    </xf>
    <xf numFmtId="176" fontId="23" fillId="0" borderId="0" xfId="0" applyNumberFormat="1" applyFont="1" applyAlignment="1">
      <alignment horizontal="right" vertical="center"/>
    </xf>
    <xf numFmtId="0" fontId="31" fillId="0" borderId="2" xfId="0" applyFont="1" applyBorder="1" applyAlignment="1">
      <alignment horizontal="left" vertical="center" indent="1"/>
    </xf>
    <xf numFmtId="184" fontId="12" fillId="0" borderId="0" xfId="0" applyNumberFormat="1" applyFont="1" applyAlignment="1">
      <alignment horizontal="right" vertical="center"/>
    </xf>
    <xf numFmtId="0" fontId="19" fillId="0" borderId="0" xfId="0" applyFont="1" applyAlignment="1">
      <alignment horizontal="left" vertical="center"/>
    </xf>
    <xf numFmtId="176" fontId="14" fillId="0" borderId="2" xfId="0" applyNumberFormat="1" applyFont="1" applyBorder="1" applyAlignment="1">
      <alignment horizontal="left" vertical="center" indent="1"/>
    </xf>
    <xf numFmtId="0" fontId="19" fillId="0" borderId="0" xfId="0" applyFont="1" applyAlignment="1">
      <alignment horizontal="right" vertical="center"/>
    </xf>
    <xf numFmtId="183" fontId="14" fillId="0" borderId="2" xfId="0" applyNumberFormat="1" applyFont="1" applyBorder="1" applyAlignment="1">
      <alignment horizontal="left" vertical="center" indent="1"/>
    </xf>
    <xf numFmtId="0" fontId="19" fillId="0" borderId="8" xfId="0" applyFont="1" applyBorder="1" applyAlignment="1">
      <alignment horizontal="right" vertical="center"/>
    </xf>
    <xf numFmtId="0" fontId="12" fillId="0" borderId="0" xfId="0" applyFont="1" applyAlignment="1">
      <alignment horizontal="left" vertical="top" wrapText="1"/>
    </xf>
    <xf numFmtId="0" fontId="32" fillId="0" borderId="0" xfId="0" applyFont="1" applyAlignment="1">
      <alignment horizontal="center" vertical="center"/>
    </xf>
    <xf numFmtId="0" fontId="30" fillId="4" borderId="11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표준" xfId="0" builtinId="0"/>
  </cellStyles>
  <dxfs count="10">
    <dxf>
      <font>
        <b/>
        <color rgb="FF1A4FA8"/>
        <name val="맑은 고딕"/>
      </font>
      <fill>
        <patternFill patternType="solid">
          <fgColor rgb="FFEAF1FC"/>
          <bgColor rgb="FFEAF1FC"/>
        </patternFill>
      </fill>
    </dxf>
    <dxf>
      <font>
        <b/>
        <color rgb="FF2D6BD9"/>
        <name val="맑은 고딕"/>
      </font>
    </dxf>
    <dxf>
      <font>
        <b/>
        <color rgb="FF2D6BD9"/>
        <name val="맑은 고딕"/>
      </font>
    </dxf>
    <dxf>
      <font>
        <b/>
        <color rgb="FF2D6BD9"/>
        <name val="맑은 고딕"/>
      </font>
    </dxf>
    <dxf>
      <font>
        <b/>
        <color rgb="FF2D6BD9"/>
        <name val="맑은 고딕"/>
      </font>
    </dxf>
    <dxf>
      <font>
        <b/>
        <color rgb="FF2D6BD9"/>
        <name val="맑은 고딕"/>
      </font>
    </dxf>
    <dxf>
      <font>
        <b/>
        <color rgb="FF2D6BD9"/>
        <name val="맑은 고딕"/>
      </font>
    </dxf>
    <dxf>
      <font>
        <b/>
        <color rgb="FF2D6BD9"/>
        <name val="맑은 고딕"/>
      </font>
    </dxf>
    <dxf>
      <font>
        <b/>
        <color rgb="FF2D6BD9"/>
        <name val="맑은 고딕"/>
      </font>
    </dxf>
    <dxf>
      <fill>
        <patternFill patternType="solid">
          <fgColor rgb="FF2D6BD9"/>
          <bgColor rgb="FF2D6B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변화율</c:v>
          </c:tx>
          <c:spPr>
            <a:ln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2D6BD9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1F4-4347-B6A0-AA884F57FC52}"/>
              </c:ext>
            </c:extLst>
          </c:dPt>
          <c:dPt>
            <c:idx val="1"/>
            <c:invertIfNegative val="0"/>
            <c:bubble3D val="0"/>
            <c:spPr>
              <a:solidFill>
                <a:srgbClr val="34383C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1F4-4347-B6A0-AA884F57FC5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1">
                    <a:solidFill>
                      <a:srgbClr val="34383C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d_문제!$A$2:$A$3</c:f>
              <c:strCache>
                <c:ptCount val="2"/>
                <c:pt idx="0">
                  <c:v>안동시</c:v>
                </c:pt>
                <c:pt idx="1">
                  <c:v>전국 중앙</c:v>
                </c:pt>
              </c:strCache>
            </c:strRef>
          </c:cat>
          <c:val>
            <c:numRef>
              <c:f>d_문제!$B$2:$B$3</c:f>
              <c:numCache>
                <c:formatCode>\+0.0%;\−0.0%</c:formatCode>
                <c:ptCount val="2"/>
                <c:pt idx="0">
                  <c:v>-0.16790570949358971</c:v>
                </c:pt>
                <c:pt idx="1">
                  <c:v>-2.048755803249705E-2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F4-4347-B6A0-AA884F57F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 w="9525">
            <a:solidFill>
              <a:srgbClr val="D5D9DC"/>
            </a:solidFill>
            <a:prstDash val="solid"/>
          </a:ln>
        </c:spPr>
        <c:txPr>
          <a:bodyPr/>
          <a:lstStyle/>
          <a:p>
            <a:pPr>
              <a:defRPr sz="1000" b="0">
                <a:solidFill>
                  <a:srgbClr val="6B7075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"/>
          <c:min val="-0.2"/>
        </c:scaling>
        <c:delete val="0"/>
        <c:axPos val="t"/>
        <c:numFmt formatCode="0%;\−0%" sourceLinked="0"/>
        <c:majorTickMark val="none"/>
        <c:minorTickMark val="none"/>
        <c:tickLblPos val="nextTo"/>
        <c:spPr>
          <a:ln w="9525">
            <a:solidFill>
              <a:srgbClr val="D5D9DC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6B7075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  <c:majorUnit val="0.05"/>
      </c:valAx>
      <c:spPr>
        <a:noFill/>
        <a:ln>
          <a:noFill/>
          <a:prstDash val="solid"/>
        </a:ln>
      </c:spPr>
    </c:plotArea>
    <c:plotVisOnly val="1"/>
    <c:dispBlanksAs val="gap"/>
    <c:showDLblsOverMax val="1"/>
  </c:chart>
  <c:spPr>
    <a:noFill/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나머지</c:v>
          </c:tx>
          <c:spPr>
            <a:solidFill>
              <a:srgbClr val="D5D9DC"/>
            </a:solidFill>
            <a:ln>
              <a:noFill/>
              <a:prstDash val="solid"/>
            </a:ln>
          </c:spPr>
          <c:invertIfNegative val="1"/>
          <c:cat>
            <c:strRef>
              <c:f>d_순위!$H$2:$H$147</c:f>
              <c:strCache>
                <c:ptCount val="73"/>
                <c:pt idx="21">
                  <c:v>안동 22위</c:v>
                </c:pt>
                <c:pt idx="72">
                  <c:v>가운데 73위</c:v>
                </c:pt>
              </c:strCache>
            </c:strRef>
          </c:cat>
          <c:val>
            <c:numRef>
              <c:f>d_순위!$B$2:$B$147</c:f>
              <c:numCache>
                <c:formatCode>General</c:formatCode>
                <c:ptCount val="1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#N/A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27D-C744-9313-4CCBE733EA9F}"/>
            </c:ext>
          </c:extLst>
        </c:ser>
        <c:ser>
          <c:idx val="1"/>
          <c:order val="1"/>
          <c:tx>
            <c:v>더 많이 줄어든 곳</c:v>
          </c:tx>
          <c:spPr>
            <a:solidFill>
              <a:srgbClr val="A8C4F0"/>
            </a:solidFill>
            <a:ln>
              <a:noFill/>
              <a:prstDash val="solid"/>
            </a:ln>
          </c:spPr>
          <c:invertIfNegative val="1"/>
          <c:cat>
            <c:strRef>
              <c:f>d_순위!$H$2:$H$147</c:f>
              <c:strCache>
                <c:ptCount val="73"/>
                <c:pt idx="21">
                  <c:v>안동 22위</c:v>
                </c:pt>
                <c:pt idx="72">
                  <c:v>가운데 73위</c:v>
                </c:pt>
              </c:strCache>
            </c:strRef>
          </c:cat>
          <c:val>
            <c:numRef>
              <c:f>d_순위!$C$2:$C$147</c:f>
              <c:numCache>
                <c:formatCode>General</c:formatCode>
                <c:ptCount val="14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27D-C744-9313-4CCBE733EA9F}"/>
            </c:ext>
          </c:extLst>
        </c:ser>
        <c:ser>
          <c:idx val="2"/>
          <c:order val="2"/>
          <c:tx>
            <c:v>가운데 73위</c:v>
          </c:tx>
          <c:spPr>
            <a:solidFill>
              <a:srgbClr val="34383C"/>
            </a:solidFill>
            <a:ln>
              <a:noFill/>
              <a:prstDash val="solid"/>
            </a:ln>
          </c:spPr>
          <c:invertIfNegative val="1"/>
          <c:cat>
            <c:strRef>
              <c:f>d_순위!$H$2:$H$147</c:f>
              <c:strCache>
                <c:ptCount val="73"/>
                <c:pt idx="21">
                  <c:v>안동 22위</c:v>
                </c:pt>
                <c:pt idx="72">
                  <c:v>가운데 73위</c:v>
                </c:pt>
              </c:strCache>
            </c:strRef>
          </c:cat>
          <c:val>
            <c:numRef>
              <c:f>d_순위!$E$2:$E$147</c:f>
              <c:numCache>
                <c:formatCode>General</c:formatCode>
                <c:ptCount val="1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1.6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27D-C744-9313-4CCBE733EA9F}"/>
            </c:ext>
          </c:extLst>
        </c:ser>
        <c:ser>
          <c:idx val="3"/>
          <c:order val="3"/>
          <c:tx>
            <c:v>안동 22위</c:v>
          </c:tx>
          <c:spPr>
            <a:solidFill>
              <a:srgbClr val="2D6BD9"/>
            </a:solidFill>
            <a:ln>
              <a:noFill/>
              <a:prstDash val="solid"/>
            </a:ln>
          </c:spPr>
          <c:invertIfNegative val="1"/>
          <c:cat>
            <c:strRef>
              <c:f>d_순위!$H$2:$H$147</c:f>
              <c:strCache>
                <c:ptCount val="73"/>
                <c:pt idx="21">
                  <c:v>안동 22위</c:v>
                </c:pt>
                <c:pt idx="72">
                  <c:v>가운데 73위</c:v>
                </c:pt>
              </c:strCache>
            </c:strRef>
          </c:cat>
          <c:val>
            <c:numRef>
              <c:f>d_순위!$D$2:$D$147</c:f>
              <c:numCache>
                <c:formatCode>General</c:formatCode>
                <c:ptCount val="1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2.2000000000000002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027D-C744-9313-4CCBE733EA9F}"/>
            </c:ext>
          </c:extLst>
        </c:ser>
        <c:ser>
          <c:idx val="4"/>
          <c:order val="4"/>
          <c:tx>
            <c:v>이름표</c:v>
          </c:tx>
          <c:spPr>
            <a:noFill/>
            <a:ln>
              <a:noFill/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50" b="1">
                    <a:solidFill>
                      <a:srgbClr val="34383C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d_순위!$H$2:$H$147</c:f>
              <c:strCache>
                <c:ptCount val="73"/>
                <c:pt idx="21">
                  <c:v>안동 22위</c:v>
                </c:pt>
                <c:pt idx="72">
                  <c:v>가운데 73위</c:v>
                </c:pt>
              </c:strCache>
            </c:strRef>
          </c:cat>
          <c:val>
            <c:numRef>
              <c:f>d_순위!$J$2:$J$147</c:f>
              <c:numCache>
                <c:formatCode>General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2.2000000000000002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1.6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D-C744-9313-4CCBE733E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.9"/>
          <c:min val="0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  <a:prstDash val="solid"/>
        </a:ln>
      </c:spPr>
    </c:plotArea>
    <c:plotVisOnly val="1"/>
    <c:dispBlanksAs val="gap"/>
    <c:showDLblsOverMax val="1"/>
  </c:chart>
  <c:spPr>
    <a:noFill/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트랙</c:v>
          </c:tx>
          <c:spPr>
            <a:ln w="25400">
              <a:solidFill>
                <a:srgbClr val="ECEEF0"/>
              </a:solidFill>
              <a:prstDash val="solid"/>
            </a:ln>
          </c:spPr>
          <c:marker>
            <c:symbol val="none"/>
          </c:marker>
          <c:xVal>
            <c:numRef>
              <c:f>d_자!$B$2:$B$3</c:f>
              <c:numCache>
                <c:formatCode>General</c:formatCode>
                <c:ptCount val="2"/>
                <c:pt idx="0">
                  <c:v>140</c:v>
                </c:pt>
                <c:pt idx="1">
                  <c:v>190</c:v>
                </c:pt>
              </c:numCache>
            </c:numRef>
          </c:xVal>
          <c:yVal>
            <c:numRef>
              <c:f>d_자!$C$2:$C$3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3F-A04B-87E1-D28B28EF9B06}"/>
            </c:ext>
          </c:extLst>
        </c:ser>
        <c:ser>
          <c:idx val="1"/>
          <c:order val="1"/>
          <c:tx>
            <c:v>전국 중앙 수준 179.7원</c:v>
          </c:tx>
          <c:spPr>
            <a:ln w="12700">
              <a:solidFill>
                <a:srgbClr val="34383C"/>
              </a:solidFill>
              <a:prstDash val="dash"/>
            </a:ln>
          </c:spPr>
          <c:marker>
            <c:symbol val="none"/>
          </c:marker>
          <c:dLbls>
            <c:dLbl>
              <c:idx val="1"/>
              <c:spPr/>
              <c:txPr>
                <a:bodyPr/>
                <a:lstStyle/>
                <a:p>
                  <a:pPr>
                    <a:defRPr sz="850" b="0">
                      <a:solidFill>
                        <a:srgbClr val="34383C"/>
                      </a:solidFill>
                      <a:latin typeface="맑은 고딕"/>
                      <a:ea typeface="맑은 고딕"/>
                    </a:defRPr>
                  </a:pPr>
                  <a:endParaRPr lang="ko-KR"/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D3F-A04B-87E1-D28B28EF9B0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d_자!$B$4:$B$5</c:f>
              <c:numCache>
                <c:formatCode>General</c:formatCode>
                <c:ptCount val="2"/>
                <c:pt idx="0">
                  <c:v>179.7</c:v>
                </c:pt>
                <c:pt idx="1">
                  <c:v>179.7</c:v>
                </c:pt>
              </c:numCache>
            </c:numRef>
          </c:xVal>
          <c:yVal>
            <c:numRef>
              <c:f>d_자!$C$4:$C$5</c:f>
              <c:numCache>
                <c:formatCode>General</c:formatCode>
                <c:ptCount val="2"/>
                <c:pt idx="0">
                  <c:v>0.45</c:v>
                </c:pt>
                <c:pt idx="1">
                  <c:v>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3F-A04B-87E1-D28B28EF9B06}"/>
            </c:ext>
          </c:extLst>
        </c:ser>
        <c:ser>
          <c:idx val="2"/>
          <c:order val="2"/>
          <c:tx>
            <c:v>2024년 183.5원</c:v>
          </c:tx>
          <c:spPr>
            <a:ln>
              <a:noFill/>
              <a:prstDash val="solid"/>
            </a:ln>
          </c:spPr>
          <c:marker>
            <c:symbol val="diamond"/>
            <c:size val="7"/>
            <c:spPr>
              <a:solidFill>
                <a:srgbClr val="6B7075"/>
              </a:solidFill>
              <a:ln w="25400">
                <a:solidFill>
                  <a:srgbClr val="6B7075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50" b="0">
                    <a:solidFill>
                      <a:srgbClr val="6B7075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d_자!$B$6</c:f>
              <c:numCache>
                <c:formatCode>General</c:formatCode>
                <c:ptCount val="1"/>
                <c:pt idx="0">
                  <c:v>183.5</c:v>
                </c:pt>
              </c:numCache>
            </c:numRef>
          </c:xVal>
          <c:yVal>
            <c:numRef>
              <c:f>d_자!$C$6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D3F-A04B-87E1-D28B28EF9B06}"/>
            </c:ext>
          </c:extLst>
        </c:ser>
        <c:ser>
          <c:idx val="3"/>
          <c:order val="3"/>
          <c:tx>
            <c:v>연결</c:v>
          </c:tx>
          <c:spPr>
            <a:ln w="28575">
              <a:solidFill>
                <a:srgbClr val="2D6BD9"/>
              </a:solidFill>
              <a:prstDash val="solid"/>
            </a:ln>
          </c:spPr>
          <c:marker>
            <c:symbol val="none"/>
          </c:marker>
          <c:xVal>
            <c:numRef>
              <c:f>d_자!$B$7:$B$8</c:f>
              <c:numCache>
                <c:formatCode>General</c:formatCode>
                <c:ptCount val="2"/>
                <c:pt idx="0">
                  <c:v>152.69999999999999</c:v>
                </c:pt>
                <c:pt idx="1">
                  <c:v>157.9524557357708</c:v>
                </c:pt>
              </c:numCache>
            </c:numRef>
          </c:xVal>
          <c:yVal>
            <c:numRef>
              <c:f>d_자!$C$7:$C$8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D3F-A04B-87E1-D28B28EF9B06}"/>
            </c:ext>
          </c:extLst>
        </c:ser>
        <c:ser>
          <c:idx val="4"/>
          <c:order val="4"/>
          <c:tx>
            <c:v>지금 152.7원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solidFill>
                <a:srgbClr val="34383C"/>
              </a:solidFill>
              <a:ln w="25400">
                <a:solidFill>
                  <a:srgbClr val="34383C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34383C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d_자!$B$9</c:f>
              <c:numCache>
                <c:formatCode>General</c:formatCode>
                <c:ptCount val="1"/>
                <c:pt idx="0">
                  <c:v>152.69999999999999</c:v>
                </c:pt>
              </c:numCache>
            </c:numRef>
          </c:xVal>
          <c:yVal>
            <c:numRef>
              <c:f>d_자!$C$9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D3F-A04B-87E1-D28B28EF9B06}"/>
            </c:ext>
          </c:extLst>
        </c:ser>
        <c:ser>
          <c:idx val="5"/>
          <c:order val="5"/>
          <c:tx>
            <c:strRef>
              <c:f>d_시나리오!$B$14</c:f>
              <c:strCache>
                <c:ptCount val="1"/>
                <c:pt idx="0">
                  <c:v>시행 후 158.0원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noFill/>
              <a:ln w="25400">
                <a:solidFill>
                  <a:srgbClr val="2D6BD9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50" b="1">
                    <a:solidFill>
                      <a:srgbClr val="1A4FA8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d_자!$B$10</c:f>
              <c:numCache>
                <c:formatCode>General</c:formatCode>
                <c:ptCount val="1"/>
                <c:pt idx="0">
                  <c:v>157.9524557357708</c:v>
                </c:pt>
              </c:numCache>
            </c:numRef>
          </c:xVal>
          <c:yVal>
            <c:numRef>
              <c:f>d_자!$C$10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3F-A04B-87E1-D28B28EF9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40"/>
        </c:scaling>
        <c:delete val="0"/>
        <c:axPos val="b"/>
        <c:numFmt formatCode="0&quot;원&quot;" sourceLinked="0"/>
        <c:majorTickMark val="none"/>
        <c:minorTickMark val="none"/>
        <c:tickLblPos val="nextTo"/>
        <c:spPr>
          <a:ln w="9525">
            <a:solidFill>
              <a:srgbClr val="D5D9DC"/>
            </a:solidFill>
            <a:prstDash val="solid"/>
          </a:ln>
        </c:spPr>
        <c:txPr>
          <a:bodyPr/>
          <a:lstStyle/>
          <a:p>
            <a:pPr>
              <a:defRPr sz="850" b="0">
                <a:solidFill>
                  <a:srgbClr val="6B7075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autoZero"/>
        <c:crossBetween val="midCat"/>
        <c:majorUnit val="10"/>
      </c:valAx>
      <c:valAx>
        <c:axId val="20"/>
        <c:scaling>
          <c:orientation val="minMax"/>
          <c:max val="2"/>
          <c:min val="0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  <c:spPr>
        <a:noFill/>
        <a:ln>
          <a:noFill/>
          <a:prstDash val="solid"/>
        </a:ln>
      </c:spPr>
    </c:plotArea>
    <c:plotVisOnly val="1"/>
    <c:dispBlanksAs val="gap"/>
    <c:showDLblsOverMax val="1"/>
  </c:chart>
  <c:spPr>
    <a:noFill/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전체</c:v>
          </c:tx>
          <c:spPr>
            <a:solidFill>
              <a:srgbClr val="D5D9DC"/>
            </a:solidFill>
            <a:ln>
              <a:noFill/>
              <a:prstDash val="solid"/>
            </a:ln>
          </c:spPr>
          <c:invertIfNegative val="1"/>
          <c:cat>
            <c:strRef>
              <c:f>d_순위!$I$2:$I$147</c:f>
              <c:strCache>
                <c:ptCount val="73"/>
                <c:pt idx="21">
                  <c:v>지금 22위</c:v>
                </c:pt>
                <c:pt idx="26">
                  <c:v>시행 후 27위</c:v>
                </c:pt>
                <c:pt idx="72">
                  <c:v>가운데 73위</c:v>
                </c:pt>
              </c:strCache>
            </c:strRef>
          </c:cat>
          <c:val>
            <c:numRef>
              <c:f>d_순위!$G$2:$G$147</c:f>
              <c:numCache>
                <c:formatCode>General</c:formatCode>
                <c:ptCount val="14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6D-B545-AEE9-926FCB8E4BD6}"/>
            </c:ext>
          </c:extLst>
        </c:ser>
        <c:ser>
          <c:idx val="1"/>
          <c:order val="1"/>
          <c:tx>
            <c:v>가운데 73위</c:v>
          </c:tx>
          <c:spPr>
            <a:solidFill>
              <a:srgbClr val="34383C"/>
            </a:solidFill>
            <a:ln>
              <a:noFill/>
              <a:prstDash val="solid"/>
            </a:ln>
          </c:spPr>
          <c:invertIfNegative val="1"/>
          <c:cat>
            <c:strRef>
              <c:f>d_순위!$I$2:$I$147</c:f>
              <c:strCache>
                <c:ptCount val="73"/>
                <c:pt idx="21">
                  <c:v>지금 22위</c:v>
                </c:pt>
                <c:pt idx="26">
                  <c:v>시행 후 27위</c:v>
                </c:pt>
                <c:pt idx="72">
                  <c:v>가운데 73위</c:v>
                </c:pt>
              </c:strCache>
            </c:strRef>
          </c:cat>
          <c:val>
            <c:numRef>
              <c:f>d_순위!$E$2:$E$147</c:f>
              <c:numCache>
                <c:formatCode>General</c:formatCode>
                <c:ptCount val="1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1.6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6D-B545-AEE9-926FCB8E4BD6}"/>
            </c:ext>
          </c:extLst>
        </c:ser>
        <c:ser>
          <c:idx val="2"/>
          <c:order val="2"/>
          <c:tx>
            <c:v>지금 22위</c:v>
          </c:tx>
          <c:spPr>
            <a:solidFill>
              <a:srgbClr val="34383C"/>
            </a:solidFill>
            <a:ln>
              <a:noFill/>
              <a:prstDash val="solid"/>
            </a:ln>
          </c:spPr>
          <c:invertIfNegative val="1"/>
          <c:cat>
            <c:strRef>
              <c:f>d_순위!$I$2:$I$147</c:f>
              <c:strCache>
                <c:ptCount val="73"/>
                <c:pt idx="21">
                  <c:v>지금 22위</c:v>
                </c:pt>
                <c:pt idx="26">
                  <c:v>시행 후 27위</c:v>
                </c:pt>
                <c:pt idx="72">
                  <c:v>가운데 73위</c:v>
                </c:pt>
              </c:strCache>
            </c:strRef>
          </c:cat>
          <c:val>
            <c:numRef>
              <c:f>d_순위!$D$2:$D$147</c:f>
              <c:numCache>
                <c:formatCode>General</c:formatCode>
                <c:ptCount val="1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2.2000000000000002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6D-B545-AEE9-926FCB8E4BD6}"/>
            </c:ext>
          </c:extLst>
        </c:ser>
        <c:ser>
          <c:idx val="3"/>
          <c:order val="3"/>
          <c:tx>
            <c:v>시행 후</c:v>
          </c:tx>
          <c:spPr>
            <a:solidFill>
              <a:srgbClr val="2D6BD9"/>
            </a:solidFill>
            <a:ln>
              <a:noFill/>
              <a:prstDash val="solid"/>
            </a:ln>
          </c:spPr>
          <c:invertIfNegative val="1"/>
          <c:cat>
            <c:strRef>
              <c:f>d_순위!$I$2:$I$147</c:f>
              <c:strCache>
                <c:ptCount val="73"/>
                <c:pt idx="21">
                  <c:v>지금 22위</c:v>
                </c:pt>
                <c:pt idx="26">
                  <c:v>시행 후 27위</c:v>
                </c:pt>
                <c:pt idx="72">
                  <c:v>가운데 73위</c:v>
                </c:pt>
              </c:strCache>
            </c:strRef>
          </c:cat>
          <c:val>
            <c:numRef>
              <c:f>d_순위!$F$2:$F$147</c:f>
              <c:numCache>
                <c:formatCode>General</c:formatCode>
                <c:ptCount val="1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2.4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6D-B545-AEE9-926FCB8E4BD6}"/>
            </c:ext>
          </c:extLst>
        </c:ser>
        <c:ser>
          <c:idx val="4"/>
          <c:order val="4"/>
          <c:tx>
            <c:v>이름표</c:v>
          </c:tx>
          <c:spPr>
            <a:noFill/>
            <a:ln>
              <a:noFill/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50" b="1">
                    <a:solidFill>
                      <a:srgbClr val="1A4FA8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d_순위!$I$2:$I$147</c:f>
              <c:strCache>
                <c:ptCount val="73"/>
                <c:pt idx="21">
                  <c:v>지금 22위</c:v>
                </c:pt>
                <c:pt idx="26">
                  <c:v>시행 후 27위</c:v>
                </c:pt>
                <c:pt idx="72">
                  <c:v>가운데 73위</c:v>
                </c:pt>
              </c:strCache>
            </c:strRef>
          </c:cat>
          <c:val>
            <c:numRef>
              <c:f>d_순위!$K$2:$K$147</c:f>
              <c:numCache>
                <c:formatCode>General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2.2000000000000002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3.1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1.6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6D-B545-AEE9-926FCB8E4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.9"/>
          <c:min val="0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  <a:prstDash val="solid"/>
        </a:ln>
      </c:spPr>
    </c:plotArea>
    <c:plotVisOnly val="1"/>
    <c:dispBlanksAs val="gap"/>
    <c:showDLblsOverMax val="1"/>
  </c:chart>
  <c:spPr>
    <a:noFill/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곳</c:v>
          </c:tx>
          <c:spPr>
            <a:solidFill>
              <a:srgbClr val="D5D9DC"/>
            </a:solidFill>
            <a:ln>
              <a:noFill/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>
                    <a:solidFill>
                      <a:srgbClr val="34383C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d_유형!$A$2:$A$12</c:f>
              <c:strCache>
                <c:ptCount val="11"/>
                <c:pt idx="0">
                  <c:v>체험·문화 · 숙박일수 · 저녁 전환 · 야간 방문</c:v>
                </c:pt>
                <c:pt idx="1">
                  <c:v>숙박일수 · 야간 방문</c:v>
                </c:pt>
                <c:pt idx="2">
                  <c:v>숙박일수 · 저녁 전환 · 야간 방문</c:v>
                </c:pt>
                <c:pt idx="3">
                  <c:v>야간 방문</c:v>
                </c:pt>
                <c:pt idx="4">
                  <c:v>저녁 전환</c:v>
                </c:pt>
                <c:pt idx="5">
                  <c:v>체험·문화 · 숙박일수</c:v>
                </c:pt>
                <c:pt idx="6">
                  <c:v>체험·문화 · 저녁 전환 · 야간 방문</c:v>
                </c:pt>
                <c:pt idx="7">
                  <c:v>저녁 전환 · 야간 방문</c:v>
                </c:pt>
                <c:pt idx="8">
                  <c:v>체험·문화</c:v>
                </c:pt>
                <c:pt idx="9">
                  <c:v>숙박일수</c:v>
                </c:pt>
                <c:pt idx="10">
                  <c:v>문제 지표 없음</c:v>
                </c:pt>
              </c:strCache>
            </c:strRef>
          </c:cat>
          <c:val>
            <c:numRef>
              <c:f>d_유형!$B$2:$B$12</c:f>
              <c:numCache>
                <c:formatCode>0"곳"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9</c:v>
                </c:pt>
                <c:pt idx="7">
                  <c:v>18</c:v>
                </c:pt>
                <c:pt idx="8">
                  <c:v>19</c:v>
                </c:pt>
                <c:pt idx="9">
                  <c:v>25</c:v>
                </c:pt>
                <c:pt idx="10">
                  <c:v>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DEB-EA41-9EA3-DF0626717AB6}"/>
            </c:ext>
          </c:extLst>
        </c:ser>
        <c:ser>
          <c:idx val="1"/>
          <c:order val="1"/>
          <c:tx>
            <c:v>고른 유형</c:v>
          </c:tx>
          <c:spPr>
            <a:solidFill>
              <a:srgbClr val="2D6BD9"/>
            </a:solidFill>
            <a:ln>
              <a:noFill/>
              <a:prstDash val="solid"/>
            </a:ln>
          </c:spPr>
          <c:invertIfNegative val="1"/>
          <c:cat>
            <c:strRef>
              <c:f>d_유형!$A$2:$A$12</c:f>
              <c:strCache>
                <c:ptCount val="11"/>
                <c:pt idx="0">
                  <c:v>체험·문화 · 숙박일수 · 저녁 전환 · 야간 방문</c:v>
                </c:pt>
                <c:pt idx="1">
                  <c:v>숙박일수 · 야간 방문</c:v>
                </c:pt>
                <c:pt idx="2">
                  <c:v>숙박일수 · 저녁 전환 · 야간 방문</c:v>
                </c:pt>
                <c:pt idx="3">
                  <c:v>야간 방문</c:v>
                </c:pt>
                <c:pt idx="4">
                  <c:v>저녁 전환</c:v>
                </c:pt>
                <c:pt idx="5">
                  <c:v>체험·문화 · 숙박일수</c:v>
                </c:pt>
                <c:pt idx="6">
                  <c:v>체험·문화 · 저녁 전환 · 야간 방문</c:v>
                </c:pt>
                <c:pt idx="7">
                  <c:v>저녁 전환 · 야간 방문</c:v>
                </c:pt>
                <c:pt idx="8">
                  <c:v>체험·문화</c:v>
                </c:pt>
                <c:pt idx="9">
                  <c:v>숙박일수</c:v>
                </c:pt>
                <c:pt idx="10">
                  <c:v>문제 지표 없음</c:v>
                </c:pt>
              </c:strCache>
            </c:strRef>
          </c:cat>
          <c:val>
            <c:numRef>
              <c:f>d_유형!$C$2:$C$12</c:f>
              <c:numCache>
                <c:formatCode>General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7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DEB-EA41-9EA3-DF0626717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525">
            <a:solidFill>
              <a:srgbClr val="D5D9DC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6B7075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b"/>
        <c:numFmt formatCode="0&quot;곳&quot;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  <a:prstDash val="solid"/>
        </a:ln>
      </c:spPr>
    </c:plotArea>
    <c:plotVisOnly val="1"/>
    <c:dispBlanksAs val="gap"/>
    <c:showDLblsOverMax val="1"/>
  </c:chart>
  <c:spPr>
    <a:noFill/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경계</c:v>
          </c:tx>
          <c:spPr>
            <a:ln w="6350">
              <a:solidFill>
                <a:srgbClr val="C9CED3"/>
              </a:solidFill>
              <a:prstDash val="solid"/>
            </a:ln>
          </c:spPr>
          <c:marker>
            <c:symbol val="none"/>
          </c:marker>
          <c:xVal>
            <c:numRef>
              <c:f>d_경계!$A$2:$A$7484</c:f>
              <c:numCache>
                <c:formatCode>General</c:formatCode>
                <c:ptCount val="7483"/>
                <c:pt idx="0">
                  <c:v>207.8</c:v>
                </c:pt>
                <c:pt idx="1">
                  <c:v>208.8</c:v>
                </c:pt>
                <c:pt idx="2">
                  <c:v>208</c:v>
                </c:pt>
                <c:pt idx="3">
                  <c:v>212</c:v>
                </c:pt>
                <c:pt idx="4">
                  <c:v>207.1</c:v>
                </c:pt>
                <c:pt idx="5">
                  <c:v>205.9</c:v>
                </c:pt>
                <c:pt idx="6">
                  <c:v>205.5</c:v>
                </c:pt>
                <c:pt idx="7">
                  <c:v>207.8</c:v>
                </c:pt>
                <c:pt idx="9">
                  <c:v>212</c:v>
                </c:pt>
                <c:pt idx="10">
                  <c:v>210.8</c:v>
                </c:pt>
                <c:pt idx="11">
                  <c:v>206.7</c:v>
                </c:pt>
                <c:pt idx="12">
                  <c:v>207.3</c:v>
                </c:pt>
                <c:pt idx="13">
                  <c:v>212</c:v>
                </c:pt>
                <c:pt idx="15">
                  <c:v>207.4</c:v>
                </c:pt>
                <c:pt idx="16">
                  <c:v>211.5</c:v>
                </c:pt>
                <c:pt idx="17">
                  <c:v>208.7</c:v>
                </c:pt>
                <c:pt idx="18">
                  <c:v>205.6</c:v>
                </c:pt>
                <c:pt idx="19">
                  <c:v>205.2</c:v>
                </c:pt>
                <c:pt idx="20">
                  <c:v>207.4</c:v>
                </c:pt>
                <c:pt idx="22">
                  <c:v>213.8</c:v>
                </c:pt>
                <c:pt idx="23">
                  <c:v>216.5</c:v>
                </c:pt>
                <c:pt idx="24">
                  <c:v>214.9</c:v>
                </c:pt>
                <c:pt idx="25">
                  <c:v>210.8</c:v>
                </c:pt>
                <c:pt idx="26">
                  <c:v>212</c:v>
                </c:pt>
                <c:pt idx="27">
                  <c:v>213.8</c:v>
                </c:pt>
                <c:pt idx="29">
                  <c:v>219.1</c:v>
                </c:pt>
                <c:pt idx="30">
                  <c:v>219.5</c:v>
                </c:pt>
                <c:pt idx="31">
                  <c:v>217</c:v>
                </c:pt>
                <c:pt idx="32">
                  <c:v>214.9</c:v>
                </c:pt>
                <c:pt idx="33">
                  <c:v>216.8</c:v>
                </c:pt>
                <c:pt idx="34">
                  <c:v>219.1</c:v>
                </c:pt>
                <c:pt idx="36">
                  <c:v>216.3</c:v>
                </c:pt>
                <c:pt idx="37">
                  <c:v>216.3</c:v>
                </c:pt>
                <c:pt idx="38">
                  <c:v>212</c:v>
                </c:pt>
                <c:pt idx="39">
                  <c:v>213.8</c:v>
                </c:pt>
                <c:pt idx="40">
                  <c:v>216</c:v>
                </c:pt>
                <c:pt idx="41">
                  <c:v>216.3</c:v>
                </c:pt>
                <c:pt idx="43">
                  <c:v>220.1</c:v>
                </c:pt>
                <c:pt idx="44">
                  <c:v>219.5</c:v>
                </c:pt>
                <c:pt idx="45">
                  <c:v>216.8</c:v>
                </c:pt>
                <c:pt idx="46">
                  <c:v>216.1</c:v>
                </c:pt>
                <c:pt idx="47">
                  <c:v>220.1</c:v>
                </c:pt>
                <c:pt idx="49">
                  <c:v>209.6</c:v>
                </c:pt>
                <c:pt idx="50">
                  <c:v>211.9</c:v>
                </c:pt>
                <c:pt idx="51">
                  <c:v>214.4</c:v>
                </c:pt>
                <c:pt idx="52">
                  <c:v>216.2</c:v>
                </c:pt>
                <c:pt idx="53">
                  <c:v>210.8</c:v>
                </c:pt>
                <c:pt idx="54">
                  <c:v>208</c:v>
                </c:pt>
                <c:pt idx="55">
                  <c:v>208.8</c:v>
                </c:pt>
                <c:pt idx="56">
                  <c:v>207.8</c:v>
                </c:pt>
                <c:pt idx="57">
                  <c:v>209.6</c:v>
                </c:pt>
                <c:pt idx="59">
                  <c:v>211.6</c:v>
                </c:pt>
                <c:pt idx="60">
                  <c:v>211.1</c:v>
                </c:pt>
                <c:pt idx="61">
                  <c:v>214.4</c:v>
                </c:pt>
                <c:pt idx="62">
                  <c:v>212.7</c:v>
                </c:pt>
                <c:pt idx="63">
                  <c:v>208.6</c:v>
                </c:pt>
                <c:pt idx="64">
                  <c:v>208.2</c:v>
                </c:pt>
                <c:pt idx="65">
                  <c:v>209.7</c:v>
                </c:pt>
                <c:pt idx="66">
                  <c:v>211.6</c:v>
                </c:pt>
                <c:pt idx="68">
                  <c:v>211.9</c:v>
                </c:pt>
                <c:pt idx="69">
                  <c:v>214.6</c:v>
                </c:pt>
                <c:pt idx="70">
                  <c:v>214.9</c:v>
                </c:pt>
                <c:pt idx="71">
                  <c:v>213.7</c:v>
                </c:pt>
                <c:pt idx="72">
                  <c:v>211.1</c:v>
                </c:pt>
                <c:pt idx="73">
                  <c:v>210.7</c:v>
                </c:pt>
                <c:pt idx="74">
                  <c:v>211.9</c:v>
                </c:pt>
                <c:pt idx="76">
                  <c:v>217.3</c:v>
                </c:pt>
                <c:pt idx="77">
                  <c:v>218.4</c:v>
                </c:pt>
                <c:pt idx="78">
                  <c:v>218.1</c:v>
                </c:pt>
                <c:pt idx="79">
                  <c:v>219.8</c:v>
                </c:pt>
                <c:pt idx="80">
                  <c:v>219.2</c:v>
                </c:pt>
                <c:pt idx="81">
                  <c:v>215.5</c:v>
                </c:pt>
                <c:pt idx="82">
                  <c:v>213.6</c:v>
                </c:pt>
                <c:pt idx="83">
                  <c:v>214.9</c:v>
                </c:pt>
                <c:pt idx="84">
                  <c:v>214.5</c:v>
                </c:pt>
                <c:pt idx="85">
                  <c:v>217.3</c:v>
                </c:pt>
                <c:pt idx="87">
                  <c:v>205.8</c:v>
                </c:pt>
                <c:pt idx="88">
                  <c:v>206.8</c:v>
                </c:pt>
                <c:pt idx="89">
                  <c:v>205.7</c:v>
                </c:pt>
                <c:pt idx="90">
                  <c:v>201.4</c:v>
                </c:pt>
                <c:pt idx="91">
                  <c:v>199.7</c:v>
                </c:pt>
                <c:pt idx="92">
                  <c:v>201.2</c:v>
                </c:pt>
                <c:pt idx="93">
                  <c:v>201.7</c:v>
                </c:pt>
                <c:pt idx="94">
                  <c:v>205.8</c:v>
                </c:pt>
                <c:pt idx="96">
                  <c:v>206.3</c:v>
                </c:pt>
                <c:pt idx="97">
                  <c:v>206.5</c:v>
                </c:pt>
                <c:pt idx="98">
                  <c:v>204.5</c:v>
                </c:pt>
                <c:pt idx="99">
                  <c:v>201.4</c:v>
                </c:pt>
                <c:pt idx="100">
                  <c:v>205.7</c:v>
                </c:pt>
                <c:pt idx="101">
                  <c:v>206.3</c:v>
                </c:pt>
                <c:pt idx="103">
                  <c:v>201.1</c:v>
                </c:pt>
                <c:pt idx="104">
                  <c:v>204.5</c:v>
                </c:pt>
                <c:pt idx="105">
                  <c:v>206.6</c:v>
                </c:pt>
                <c:pt idx="106">
                  <c:v>206.1</c:v>
                </c:pt>
                <c:pt idx="107">
                  <c:v>201.7</c:v>
                </c:pt>
                <c:pt idx="108">
                  <c:v>197.5</c:v>
                </c:pt>
                <c:pt idx="109">
                  <c:v>199.7</c:v>
                </c:pt>
                <c:pt idx="110">
                  <c:v>201.1</c:v>
                </c:pt>
                <c:pt idx="112">
                  <c:v>199</c:v>
                </c:pt>
                <c:pt idx="113">
                  <c:v>194.6</c:v>
                </c:pt>
                <c:pt idx="114">
                  <c:v>194.9</c:v>
                </c:pt>
                <c:pt idx="115">
                  <c:v>196</c:v>
                </c:pt>
                <c:pt idx="116">
                  <c:v>198.1</c:v>
                </c:pt>
                <c:pt idx="117">
                  <c:v>198.1</c:v>
                </c:pt>
                <c:pt idx="118">
                  <c:v>199.6</c:v>
                </c:pt>
                <c:pt idx="119">
                  <c:v>200.4</c:v>
                </c:pt>
                <c:pt idx="120">
                  <c:v>199</c:v>
                </c:pt>
                <c:pt idx="122">
                  <c:v>194.7</c:v>
                </c:pt>
                <c:pt idx="123">
                  <c:v>199.5</c:v>
                </c:pt>
                <c:pt idx="124">
                  <c:v>198.1</c:v>
                </c:pt>
                <c:pt idx="125">
                  <c:v>198.1</c:v>
                </c:pt>
                <c:pt idx="126">
                  <c:v>196</c:v>
                </c:pt>
                <c:pt idx="127">
                  <c:v>195.1</c:v>
                </c:pt>
                <c:pt idx="128">
                  <c:v>192</c:v>
                </c:pt>
                <c:pt idx="129">
                  <c:v>189.4</c:v>
                </c:pt>
                <c:pt idx="130">
                  <c:v>192.7</c:v>
                </c:pt>
                <c:pt idx="131">
                  <c:v>194.7</c:v>
                </c:pt>
                <c:pt idx="133">
                  <c:v>199</c:v>
                </c:pt>
                <c:pt idx="134">
                  <c:v>200.6</c:v>
                </c:pt>
                <c:pt idx="135">
                  <c:v>201.2</c:v>
                </c:pt>
                <c:pt idx="136">
                  <c:v>198.4</c:v>
                </c:pt>
                <c:pt idx="137">
                  <c:v>196.4</c:v>
                </c:pt>
                <c:pt idx="138">
                  <c:v>193.8</c:v>
                </c:pt>
                <c:pt idx="139">
                  <c:v>194.4</c:v>
                </c:pt>
                <c:pt idx="140">
                  <c:v>199</c:v>
                </c:pt>
                <c:pt idx="142">
                  <c:v>199.6</c:v>
                </c:pt>
                <c:pt idx="143">
                  <c:v>202.1</c:v>
                </c:pt>
                <c:pt idx="144">
                  <c:v>203.7</c:v>
                </c:pt>
                <c:pt idx="145">
                  <c:v>202.1</c:v>
                </c:pt>
                <c:pt idx="146">
                  <c:v>199.6</c:v>
                </c:pt>
                <c:pt idx="148">
                  <c:v>203.6</c:v>
                </c:pt>
                <c:pt idx="149">
                  <c:v>205.6</c:v>
                </c:pt>
                <c:pt idx="150">
                  <c:v>203.6</c:v>
                </c:pt>
                <c:pt idx="151">
                  <c:v>201.5</c:v>
                </c:pt>
                <c:pt idx="152">
                  <c:v>199.3</c:v>
                </c:pt>
                <c:pt idx="153">
                  <c:v>200.4</c:v>
                </c:pt>
                <c:pt idx="154">
                  <c:v>199.3</c:v>
                </c:pt>
                <c:pt idx="155">
                  <c:v>203.6</c:v>
                </c:pt>
                <c:pt idx="157">
                  <c:v>208.5</c:v>
                </c:pt>
                <c:pt idx="158">
                  <c:v>208.4</c:v>
                </c:pt>
                <c:pt idx="159">
                  <c:v>206.5</c:v>
                </c:pt>
                <c:pt idx="160">
                  <c:v>201.5</c:v>
                </c:pt>
                <c:pt idx="161">
                  <c:v>203.6</c:v>
                </c:pt>
                <c:pt idx="162">
                  <c:v>206.2</c:v>
                </c:pt>
                <c:pt idx="163">
                  <c:v>208.5</c:v>
                </c:pt>
                <c:pt idx="165">
                  <c:v>204.3</c:v>
                </c:pt>
                <c:pt idx="166">
                  <c:v>206.5</c:v>
                </c:pt>
                <c:pt idx="167">
                  <c:v>208.9</c:v>
                </c:pt>
                <c:pt idx="168">
                  <c:v>206.8</c:v>
                </c:pt>
                <c:pt idx="169">
                  <c:v>204.6</c:v>
                </c:pt>
                <c:pt idx="170">
                  <c:v>201.2</c:v>
                </c:pt>
                <c:pt idx="171">
                  <c:v>204.3</c:v>
                </c:pt>
                <c:pt idx="173">
                  <c:v>211.1</c:v>
                </c:pt>
                <c:pt idx="174">
                  <c:v>214.5</c:v>
                </c:pt>
                <c:pt idx="175">
                  <c:v>217.4</c:v>
                </c:pt>
                <c:pt idx="176">
                  <c:v>218.4</c:v>
                </c:pt>
                <c:pt idx="177">
                  <c:v>216.1</c:v>
                </c:pt>
                <c:pt idx="178">
                  <c:v>213.1</c:v>
                </c:pt>
                <c:pt idx="179">
                  <c:v>212.8</c:v>
                </c:pt>
                <c:pt idx="180">
                  <c:v>208.9</c:v>
                </c:pt>
                <c:pt idx="181">
                  <c:v>208.3</c:v>
                </c:pt>
                <c:pt idx="182">
                  <c:v>211.1</c:v>
                </c:pt>
                <c:pt idx="184">
                  <c:v>215.7</c:v>
                </c:pt>
                <c:pt idx="185">
                  <c:v>216.1</c:v>
                </c:pt>
                <c:pt idx="186">
                  <c:v>219.4</c:v>
                </c:pt>
                <c:pt idx="187">
                  <c:v>220.2</c:v>
                </c:pt>
                <c:pt idx="188">
                  <c:v>218.3</c:v>
                </c:pt>
                <c:pt idx="189">
                  <c:v>217.4</c:v>
                </c:pt>
                <c:pt idx="190">
                  <c:v>214.5</c:v>
                </c:pt>
                <c:pt idx="191">
                  <c:v>213</c:v>
                </c:pt>
                <c:pt idx="192">
                  <c:v>210.8</c:v>
                </c:pt>
                <c:pt idx="193">
                  <c:v>213.5</c:v>
                </c:pt>
                <c:pt idx="194">
                  <c:v>215.7</c:v>
                </c:pt>
                <c:pt idx="196">
                  <c:v>220.8</c:v>
                </c:pt>
                <c:pt idx="197">
                  <c:v>222.3</c:v>
                </c:pt>
                <c:pt idx="198">
                  <c:v>224.1</c:v>
                </c:pt>
                <c:pt idx="199">
                  <c:v>220.9</c:v>
                </c:pt>
                <c:pt idx="200">
                  <c:v>219</c:v>
                </c:pt>
                <c:pt idx="201">
                  <c:v>216.1</c:v>
                </c:pt>
                <c:pt idx="202">
                  <c:v>215.9</c:v>
                </c:pt>
                <c:pt idx="203">
                  <c:v>220.8</c:v>
                </c:pt>
                <c:pt idx="205">
                  <c:v>225.5</c:v>
                </c:pt>
                <c:pt idx="206">
                  <c:v>226.1</c:v>
                </c:pt>
                <c:pt idx="207">
                  <c:v>224.3</c:v>
                </c:pt>
                <c:pt idx="208">
                  <c:v>222.7</c:v>
                </c:pt>
                <c:pt idx="209">
                  <c:v>220.4</c:v>
                </c:pt>
                <c:pt idx="210">
                  <c:v>220.3</c:v>
                </c:pt>
                <c:pt idx="211">
                  <c:v>225.5</c:v>
                </c:pt>
                <c:pt idx="213">
                  <c:v>387.9</c:v>
                </c:pt>
                <c:pt idx="214">
                  <c:v>389.1</c:v>
                </c:pt>
                <c:pt idx="215">
                  <c:v>387.3</c:v>
                </c:pt>
                <c:pt idx="216">
                  <c:v>387.9</c:v>
                </c:pt>
                <c:pt idx="218">
                  <c:v>385.3</c:v>
                </c:pt>
                <c:pt idx="219">
                  <c:v>387.2</c:v>
                </c:pt>
                <c:pt idx="220">
                  <c:v>387.5</c:v>
                </c:pt>
                <c:pt idx="221">
                  <c:v>385.9</c:v>
                </c:pt>
                <c:pt idx="222">
                  <c:v>385.3</c:v>
                </c:pt>
                <c:pt idx="224">
                  <c:v>389.4</c:v>
                </c:pt>
                <c:pt idx="225">
                  <c:v>390.8</c:v>
                </c:pt>
                <c:pt idx="226">
                  <c:v>388.9</c:v>
                </c:pt>
                <c:pt idx="227">
                  <c:v>387.2</c:v>
                </c:pt>
                <c:pt idx="228">
                  <c:v>387.2</c:v>
                </c:pt>
                <c:pt idx="229">
                  <c:v>389.4</c:v>
                </c:pt>
                <c:pt idx="231">
                  <c:v>390.4</c:v>
                </c:pt>
                <c:pt idx="232">
                  <c:v>392.3</c:v>
                </c:pt>
                <c:pt idx="233">
                  <c:v>393.4</c:v>
                </c:pt>
                <c:pt idx="234">
                  <c:v>392</c:v>
                </c:pt>
                <c:pt idx="235">
                  <c:v>393.4</c:v>
                </c:pt>
                <c:pt idx="236">
                  <c:v>392.7</c:v>
                </c:pt>
                <c:pt idx="237">
                  <c:v>388</c:v>
                </c:pt>
                <c:pt idx="238">
                  <c:v>387.8</c:v>
                </c:pt>
                <c:pt idx="239">
                  <c:v>390.4</c:v>
                </c:pt>
                <c:pt idx="241">
                  <c:v>388.9</c:v>
                </c:pt>
                <c:pt idx="242">
                  <c:v>392.2</c:v>
                </c:pt>
                <c:pt idx="243">
                  <c:v>392.2</c:v>
                </c:pt>
                <c:pt idx="244">
                  <c:v>390.6</c:v>
                </c:pt>
                <c:pt idx="245">
                  <c:v>386.4</c:v>
                </c:pt>
                <c:pt idx="246">
                  <c:v>385.9</c:v>
                </c:pt>
                <c:pt idx="247">
                  <c:v>388.9</c:v>
                </c:pt>
                <c:pt idx="249">
                  <c:v>391.8</c:v>
                </c:pt>
                <c:pt idx="250">
                  <c:v>394.6</c:v>
                </c:pt>
                <c:pt idx="251">
                  <c:v>395.1</c:v>
                </c:pt>
                <c:pt idx="252">
                  <c:v>392</c:v>
                </c:pt>
                <c:pt idx="253">
                  <c:v>389.2</c:v>
                </c:pt>
                <c:pt idx="254">
                  <c:v>390.2</c:v>
                </c:pt>
                <c:pt idx="255">
                  <c:v>391.8</c:v>
                </c:pt>
                <c:pt idx="257">
                  <c:v>393.3</c:v>
                </c:pt>
                <c:pt idx="258">
                  <c:v>396.3</c:v>
                </c:pt>
                <c:pt idx="259">
                  <c:v>394.6</c:v>
                </c:pt>
                <c:pt idx="260">
                  <c:v>393.1</c:v>
                </c:pt>
                <c:pt idx="261">
                  <c:v>390.7</c:v>
                </c:pt>
                <c:pt idx="262">
                  <c:v>390.5</c:v>
                </c:pt>
                <c:pt idx="263">
                  <c:v>393.3</c:v>
                </c:pt>
                <c:pt idx="265">
                  <c:v>388</c:v>
                </c:pt>
                <c:pt idx="266">
                  <c:v>389.2</c:v>
                </c:pt>
                <c:pt idx="267">
                  <c:v>388.9</c:v>
                </c:pt>
                <c:pt idx="268">
                  <c:v>390.4</c:v>
                </c:pt>
                <c:pt idx="269">
                  <c:v>388.9</c:v>
                </c:pt>
                <c:pt idx="270">
                  <c:v>385.1</c:v>
                </c:pt>
                <c:pt idx="271">
                  <c:v>383.9</c:v>
                </c:pt>
                <c:pt idx="272">
                  <c:v>384.7</c:v>
                </c:pt>
                <c:pt idx="273">
                  <c:v>386.2</c:v>
                </c:pt>
                <c:pt idx="274">
                  <c:v>388</c:v>
                </c:pt>
                <c:pt idx="276">
                  <c:v>398.6</c:v>
                </c:pt>
                <c:pt idx="277">
                  <c:v>399.8</c:v>
                </c:pt>
                <c:pt idx="278">
                  <c:v>399</c:v>
                </c:pt>
                <c:pt idx="279">
                  <c:v>401.2</c:v>
                </c:pt>
                <c:pt idx="280">
                  <c:v>403.1</c:v>
                </c:pt>
                <c:pt idx="281">
                  <c:v>403.2</c:v>
                </c:pt>
                <c:pt idx="282">
                  <c:v>402</c:v>
                </c:pt>
                <c:pt idx="283">
                  <c:v>398.1</c:v>
                </c:pt>
                <c:pt idx="284">
                  <c:v>396</c:v>
                </c:pt>
                <c:pt idx="285">
                  <c:v>394.6</c:v>
                </c:pt>
                <c:pt idx="286">
                  <c:v>397.7</c:v>
                </c:pt>
                <c:pt idx="287">
                  <c:v>398.6</c:v>
                </c:pt>
                <c:pt idx="289">
                  <c:v>380.9</c:v>
                </c:pt>
                <c:pt idx="290">
                  <c:v>379.6</c:v>
                </c:pt>
                <c:pt idx="291">
                  <c:v>381.2</c:v>
                </c:pt>
                <c:pt idx="292">
                  <c:v>378.4</c:v>
                </c:pt>
                <c:pt idx="293">
                  <c:v>379.4</c:v>
                </c:pt>
                <c:pt idx="294">
                  <c:v>380.1</c:v>
                </c:pt>
                <c:pt idx="295">
                  <c:v>380.9</c:v>
                </c:pt>
                <c:pt idx="297">
                  <c:v>381.4</c:v>
                </c:pt>
                <c:pt idx="298">
                  <c:v>381.2</c:v>
                </c:pt>
                <c:pt idx="299">
                  <c:v>378.7</c:v>
                </c:pt>
                <c:pt idx="300">
                  <c:v>379.3</c:v>
                </c:pt>
                <c:pt idx="301">
                  <c:v>381.7</c:v>
                </c:pt>
                <c:pt idx="302">
                  <c:v>381.4</c:v>
                </c:pt>
                <c:pt idx="303">
                  <c:v>385</c:v>
                </c:pt>
                <c:pt idx="304">
                  <c:v>386.3</c:v>
                </c:pt>
                <c:pt idx="305">
                  <c:v>386</c:v>
                </c:pt>
                <c:pt idx="306">
                  <c:v>384.4</c:v>
                </c:pt>
                <c:pt idx="307">
                  <c:v>385.6</c:v>
                </c:pt>
                <c:pt idx="308">
                  <c:v>382.6</c:v>
                </c:pt>
                <c:pt idx="309">
                  <c:v>383.5</c:v>
                </c:pt>
                <c:pt idx="310">
                  <c:v>382</c:v>
                </c:pt>
                <c:pt idx="311">
                  <c:v>381.4</c:v>
                </c:pt>
                <c:pt idx="313">
                  <c:v>395</c:v>
                </c:pt>
                <c:pt idx="314">
                  <c:v>396.5</c:v>
                </c:pt>
                <c:pt idx="315">
                  <c:v>395.7</c:v>
                </c:pt>
                <c:pt idx="316">
                  <c:v>397.7</c:v>
                </c:pt>
                <c:pt idx="317">
                  <c:v>394.5</c:v>
                </c:pt>
                <c:pt idx="318">
                  <c:v>388.9</c:v>
                </c:pt>
                <c:pt idx="319">
                  <c:v>389.2</c:v>
                </c:pt>
                <c:pt idx="320">
                  <c:v>388.2</c:v>
                </c:pt>
                <c:pt idx="321">
                  <c:v>390.1</c:v>
                </c:pt>
                <c:pt idx="322">
                  <c:v>395</c:v>
                </c:pt>
                <c:pt idx="324">
                  <c:v>371.5</c:v>
                </c:pt>
                <c:pt idx="325">
                  <c:v>369.9</c:v>
                </c:pt>
                <c:pt idx="326">
                  <c:v>369.9</c:v>
                </c:pt>
                <c:pt idx="327">
                  <c:v>368</c:v>
                </c:pt>
                <c:pt idx="328">
                  <c:v>368.6</c:v>
                </c:pt>
                <c:pt idx="329">
                  <c:v>366.7</c:v>
                </c:pt>
                <c:pt idx="330">
                  <c:v>370.3</c:v>
                </c:pt>
                <c:pt idx="331">
                  <c:v>368.5</c:v>
                </c:pt>
                <c:pt idx="332">
                  <c:v>370</c:v>
                </c:pt>
                <c:pt idx="333">
                  <c:v>370.4</c:v>
                </c:pt>
                <c:pt idx="334">
                  <c:v>371.5</c:v>
                </c:pt>
                <c:pt idx="336">
                  <c:v>369.3</c:v>
                </c:pt>
                <c:pt idx="337">
                  <c:v>371.3</c:v>
                </c:pt>
                <c:pt idx="338">
                  <c:v>367</c:v>
                </c:pt>
                <c:pt idx="339">
                  <c:v>373.4</c:v>
                </c:pt>
                <c:pt idx="340">
                  <c:v>374.1</c:v>
                </c:pt>
                <c:pt idx="341">
                  <c:v>374.4</c:v>
                </c:pt>
                <c:pt idx="342">
                  <c:v>384.7</c:v>
                </c:pt>
                <c:pt idx="343">
                  <c:v>378.9</c:v>
                </c:pt>
                <c:pt idx="344">
                  <c:v>375.8</c:v>
                </c:pt>
                <c:pt idx="345">
                  <c:v>376</c:v>
                </c:pt>
                <c:pt idx="346">
                  <c:v>374.9</c:v>
                </c:pt>
                <c:pt idx="347">
                  <c:v>373.7</c:v>
                </c:pt>
                <c:pt idx="348">
                  <c:v>370.9</c:v>
                </c:pt>
                <c:pt idx="349">
                  <c:v>369.3</c:v>
                </c:pt>
                <c:pt idx="351">
                  <c:v>392.9</c:v>
                </c:pt>
                <c:pt idx="352">
                  <c:v>395.1</c:v>
                </c:pt>
                <c:pt idx="353">
                  <c:v>392.2</c:v>
                </c:pt>
                <c:pt idx="354">
                  <c:v>391.9</c:v>
                </c:pt>
                <c:pt idx="355">
                  <c:v>389.1</c:v>
                </c:pt>
                <c:pt idx="356">
                  <c:v>392.9</c:v>
                </c:pt>
                <c:pt idx="358">
                  <c:v>395.1</c:v>
                </c:pt>
                <c:pt idx="359">
                  <c:v>396.8</c:v>
                </c:pt>
                <c:pt idx="360">
                  <c:v>394.7</c:v>
                </c:pt>
                <c:pt idx="361">
                  <c:v>393</c:v>
                </c:pt>
                <c:pt idx="362">
                  <c:v>395.1</c:v>
                </c:pt>
                <c:pt idx="364">
                  <c:v>383.9</c:v>
                </c:pt>
                <c:pt idx="365">
                  <c:v>386.8</c:v>
                </c:pt>
                <c:pt idx="366">
                  <c:v>386.4</c:v>
                </c:pt>
                <c:pt idx="367">
                  <c:v>384.7</c:v>
                </c:pt>
                <c:pt idx="368">
                  <c:v>385</c:v>
                </c:pt>
                <c:pt idx="369">
                  <c:v>381.5</c:v>
                </c:pt>
                <c:pt idx="370">
                  <c:v>381.8</c:v>
                </c:pt>
                <c:pt idx="371">
                  <c:v>383.9</c:v>
                </c:pt>
                <c:pt idx="373">
                  <c:v>403.9</c:v>
                </c:pt>
                <c:pt idx="374">
                  <c:v>408.2</c:v>
                </c:pt>
                <c:pt idx="375">
                  <c:v>409.5</c:v>
                </c:pt>
                <c:pt idx="376">
                  <c:v>411.8</c:v>
                </c:pt>
                <c:pt idx="377">
                  <c:v>407.9</c:v>
                </c:pt>
                <c:pt idx="378">
                  <c:v>407.4</c:v>
                </c:pt>
                <c:pt idx="379">
                  <c:v>405.5</c:v>
                </c:pt>
                <c:pt idx="380">
                  <c:v>407.1</c:v>
                </c:pt>
                <c:pt idx="381">
                  <c:v>407.2</c:v>
                </c:pt>
                <c:pt idx="382">
                  <c:v>405.9</c:v>
                </c:pt>
                <c:pt idx="383">
                  <c:v>404.9</c:v>
                </c:pt>
                <c:pt idx="384">
                  <c:v>404.6</c:v>
                </c:pt>
                <c:pt idx="385">
                  <c:v>403.2</c:v>
                </c:pt>
                <c:pt idx="386">
                  <c:v>403.1</c:v>
                </c:pt>
                <c:pt idx="387">
                  <c:v>401.2</c:v>
                </c:pt>
                <c:pt idx="388">
                  <c:v>399</c:v>
                </c:pt>
                <c:pt idx="389">
                  <c:v>399.8</c:v>
                </c:pt>
                <c:pt idx="390">
                  <c:v>395.7</c:v>
                </c:pt>
                <c:pt idx="391">
                  <c:v>396.4</c:v>
                </c:pt>
                <c:pt idx="392">
                  <c:v>394.5</c:v>
                </c:pt>
                <c:pt idx="393">
                  <c:v>396.8</c:v>
                </c:pt>
                <c:pt idx="394">
                  <c:v>395.3</c:v>
                </c:pt>
                <c:pt idx="395">
                  <c:v>400.4</c:v>
                </c:pt>
                <c:pt idx="396">
                  <c:v>402.4</c:v>
                </c:pt>
                <c:pt idx="397">
                  <c:v>402.4</c:v>
                </c:pt>
                <c:pt idx="398">
                  <c:v>403.9</c:v>
                </c:pt>
                <c:pt idx="400">
                  <c:v>349.6</c:v>
                </c:pt>
                <c:pt idx="401">
                  <c:v>351.1</c:v>
                </c:pt>
                <c:pt idx="402">
                  <c:v>350.7</c:v>
                </c:pt>
                <c:pt idx="403">
                  <c:v>347.8</c:v>
                </c:pt>
                <c:pt idx="404">
                  <c:v>348.1</c:v>
                </c:pt>
                <c:pt idx="405">
                  <c:v>349.6</c:v>
                </c:pt>
                <c:pt idx="407">
                  <c:v>358.4</c:v>
                </c:pt>
                <c:pt idx="408">
                  <c:v>361.1</c:v>
                </c:pt>
                <c:pt idx="409">
                  <c:v>362.8</c:v>
                </c:pt>
                <c:pt idx="410">
                  <c:v>362</c:v>
                </c:pt>
                <c:pt idx="411">
                  <c:v>363.9</c:v>
                </c:pt>
                <c:pt idx="412">
                  <c:v>364.1</c:v>
                </c:pt>
                <c:pt idx="413">
                  <c:v>362.1</c:v>
                </c:pt>
                <c:pt idx="414">
                  <c:v>357.5</c:v>
                </c:pt>
                <c:pt idx="415">
                  <c:v>355.2</c:v>
                </c:pt>
                <c:pt idx="416">
                  <c:v>352.6</c:v>
                </c:pt>
                <c:pt idx="417">
                  <c:v>350.6</c:v>
                </c:pt>
                <c:pt idx="418">
                  <c:v>352.8</c:v>
                </c:pt>
                <c:pt idx="419">
                  <c:v>352.9</c:v>
                </c:pt>
                <c:pt idx="420">
                  <c:v>352.3</c:v>
                </c:pt>
                <c:pt idx="421">
                  <c:v>350.3</c:v>
                </c:pt>
                <c:pt idx="422">
                  <c:v>351.6</c:v>
                </c:pt>
                <c:pt idx="423">
                  <c:v>358.4</c:v>
                </c:pt>
                <c:pt idx="425">
                  <c:v>346.8</c:v>
                </c:pt>
                <c:pt idx="426">
                  <c:v>348.4</c:v>
                </c:pt>
                <c:pt idx="427">
                  <c:v>347.7</c:v>
                </c:pt>
                <c:pt idx="428">
                  <c:v>345.5</c:v>
                </c:pt>
                <c:pt idx="429">
                  <c:v>342.9</c:v>
                </c:pt>
                <c:pt idx="430">
                  <c:v>342.8</c:v>
                </c:pt>
                <c:pt idx="431">
                  <c:v>345.8</c:v>
                </c:pt>
                <c:pt idx="432">
                  <c:v>346.8</c:v>
                </c:pt>
                <c:pt idx="434">
                  <c:v>347.8</c:v>
                </c:pt>
                <c:pt idx="435">
                  <c:v>350.8</c:v>
                </c:pt>
                <c:pt idx="436">
                  <c:v>350.7</c:v>
                </c:pt>
                <c:pt idx="437">
                  <c:v>348.9</c:v>
                </c:pt>
                <c:pt idx="438">
                  <c:v>346.1</c:v>
                </c:pt>
                <c:pt idx="439">
                  <c:v>347.8</c:v>
                </c:pt>
                <c:pt idx="441">
                  <c:v>351.5</c:v>
                </c:pt>
                <c:pt idx="442">
                  <c:v>352.8</c:v>
                </c:pt>
                <c:pt idx="443">
                  <c:v>350.9</c:v>
                </c:pt>
                <c:pt idx="444">
                  <c:v>345.8</c:v>
                </c:pt>
                <c:pt idx="445">
                  <c:v>344.2</c:v>
                </c:pt>
                <c:pt idx="446">
                  <c:v>341.7</c:v>
                </c:pt>
                <c:pt idx="447">
                  <c:v>344.3</c:v>
                </c:pt>
                <c:pt idx="448">
                  <c:v>343.8</c:v>
                </c:pt>
                <c:pt idx="449">
                  <c:v>345.9</c:v>
                </c:pt>
                <c:pt idx="450">
                  <c:v>350.3</c:v>
                </c:pt>
                <c:pt idx="451">
                  <c:v>351.5</c:v>
                </c:pt>
                <c:pt idx="453">
                  <c:v>354.8</c:v>
                </c:pt>
                <c:pt idx="454">
                  <c:v>357.5</c:v>
                </c:pt>
                <c:pt idx="455">
                  <c:v>361</c:v>
                </c:pt>
                <c:pt idx="456">
                  <c:v>359.5</c:v>
                </c:pt>
                <c:pt idx="457">
                  <c:v>360.3</c:v>
                </c:pt>
                <c:pt idx="458">
                  <c:v>358.7</c:v>
                </c:pt>
                <c:pt idx="459">
                  <c:v>349.3</c:v>
                </c:pt>
                <c:pt idx="460">
                  <c:v>351.3</c:v>
                </c:pt>
                <c:pt idx="461">
                  <c:v>354.8</c:v>
                </c:pt>
                <c:pt idx="463">
                  <c:v>339.7</c:v>
                </c:pt>
                <c:pt idx="464">
                  <c:v>338.5</c:v>
                </c:pt>
                <c:pt idx="465">
                  <c:v>339.7</c:v>
                </c:pt>
                <c:pt idx="466">
                  <c:v>342.9</c:v>
                </c:pt>
                <c:pt idx="467">
                  <c:v>345.5</c:v>
                </c:pt>
                <c:pt idx="468">
                  <c:v>347.7</c:v>
                </c:pt>
                <c:pt idx="469">
                  <c:v>346.1</c:v>
                </c:pt>
                <c:pt idx="470">
                  <c:v>348.9</c:v>
                </c:pt>
                <c:pt idx="471">
                  <c:v>347.1</c:v>
                </c:pt>
                <c:pt idx="472">
                  <c:v>346.9</c:v>
                </c:pt>
                <c:pt idx="473">
                  <c:v>343.8</c:v>
                </c:pt>
                <c:pt idx="474">
                  <c:v>341.5</c:v>
                </c:pt>
                <c:pt idx="475">
                  <c:v>339.7</c:v>
                </c:pt>
                <c:pt idx="477">
                  <c:v>341.5</c:v>
                </c:pt>
                <c:pt idx="478">
                  <c:v>346</c:v>
                </c:pt>
                <c:pt idx="479">
                  <c:v>349.3</c:v>
                </c:pt>
                <c:pt idx="480">
                  <c:v>356.6</c:v>
                </c:pt>
                <c:pt idx="481">
                  <c:v>358.3</c:v>
                </c:pt>
                <c:pt idx="482">
                  <c:v>358</c:v>
                </c:pt>
                <c:pt idx="483">
                  <c:v>352.1</c:v>
                </c:pt>
                <c:pt idx="484">
                  <c:v>351.1</c:v>
                </c:pt>
                <c:pt idx="485">
                  <c:v>346.9</c:v>
                </c:pt>
                <c:pt idx="486">
                  <c:v>343.7</c:v>
                </c:pt>
                <c:pt idx="487">
                  <c:v>344</c:v>
                </c:pt>
                <c:pt idx="488">
                  <c:v>341.9</c:v>
                </c:pt>
                <c:pt idx="489">
                  <c:v>341.8</c:v>
                </c:pt>
                <c:pt idx="490">
                  <c:v>336.6</c:v>
                </c:pt>
                <c:pt idx="491">
                  <c:v>330.1</c:v>
                </c:pt>
                <c:pt idx="492">
                  <c:v>332.5</c:v>
                </c:pt>
                <c:pt idx="493">
                  <c:v>329.2</c:v>
                </c:pt>
                <c:pt idx="494">
                  <c:v>328.3</c:v>
                </c:pt>
                <c:pt idx="495">
                  <c:v>333.8</c:v>
                </c:pt>
                <c:pt idx="496">
                  <c:v>335.5</c:v>
                </c:pt>
                <c:pt idx="497">
                  <c:v>331.1</c:v>
                </c:pt>
                <c:pt idx="498">
                  <c:v>334.3</c:v>
                </c:pt>
                <c:pt idx="499">
                  <c:v>341.5</c:v>
                </c:pt>
                <c:pt idx="501">
                  <c:v>339.1</c:v>
                </c:pt>
                <c:pt idx="502">
                  <c:v>338.4</c:v>
                </c:pt>
                <c:pt idx="503">
                  <c:v>343.6</c:v>
                </c:pt>
                <c:pt idx="504">
                  <c:v>342.9</c:v>
                </c:pt>
                <c:pt idx="505">
                  <c:v>339.7</c:v>
                </c:pt>
                <c:pt idx="506">
                  <c:v>338.5</c:v>
                </c:pt>
                <c:pt idx="507">
                  <c:v>331.1</c:v>
                </c:pt>
                <c:pt idx="508">
                  <c:v>334.7</c:v>
                </c:pt>
                <c:pt idx="509">
                  <c:v>337.2</c:v>
                </c:pt>
                <c:pt idx="510">
                  <c:v>339.1</c:v>
                </c:pt>
                <c:pt idx="512">
                  <c:v>158.69999999999999</c:v>
                </c:pt>
                <c:pt idx="513">
                  <c:v>161.1</c:v>
                </c:pt>
                <c:pt idx="514">
                  <c:v>158.9</c:v>
                </c:pt>
                <c:pt idx="515">
                  <c:v>157.1</c:v>
                </c:pt>
                <c:pt idx="516">
                  <c:v>158.69999999999999</c:v>
                </c:pt>
                <c:pt idx="518">
                  <c:v>175.4</c:v>
                </c:pt>
                <c:pt idx="519">
                  <c:v>178.8</c:v>
                </c:pt>
                <c:pt idx="520">
                  <c:v>177.8</c:v>
                </c:pt>
                <c:pt idx="521">
                  <c:v>175.9</c:v>
                </c:pt>
                <c:pt idx="522">
                  <c:v>176</c:v>
                </c:pt>
                <c:pt idx="523">
                  <c:v>174.5</c:v>
                </c:pt>
                <c:pt idx="524">
                  <c:v>175.3</c:v>
                </c:pt>
                <c:pt idx="525">
                  <c:v>174.2</c:v>
                </c:pt>
                <c:pt idx="526">
                  <c:v>177.3</c:v>
                </c:pt>
                <c:pt idx="527">
                  <c:v>176.1</c:v>
                </c:pt>
                <c:pt idx="528">
                  <c:v>174.6</c:v>
                </c:pt>
                <c:pt idx="529">
                  <c:v>175.4</c:v>
                </c:pt>
                <c:pt idx="531">
                  <c:v>159.19999999999999</c:v>
                </c:pt>
                <c:pt idx="532">
                  <c:v>157.1</c:v>
                </c:pt>
                <c:pt idx="533">
                  <c:v>155.80000000000001</c:v>
                </c:pt>
                <c:pt idx="534">
                  <c:v>154.30000000000001</c:v>
                </c:pt>
                <c:pt idx="535">
                  <c:v>154</c:v>
                </c:pt>
                <c:pt idx="536">
                  <c:v>159.1</c:v>
                </c:pt>
                <c:pt idx="537">
                  <c:v>164.1</c:v>
                </c:pt>
                <c:pt idx="538">
                  <c:v>165.7</c:v>
                </c:pt>
                <c:pt idx="539">
                  <c:v>166.4</c:v>
                </c:pt>
                <c:pt idx="540">
                  <c:v>173</c:v>
                </c:pt>
                <c:pt idx="541">
                  <c:v>173.5</c:v>
                </c:pt>
                <c:pt idx="542">
                  <c:v>172</c:v>
                </c:pt>
                <c:pt idx="543">
                  <c:v>166.8</c:v>
                </c:pt>
                <c:pt idx="544">
                  <c:v>161.19999999999999</c:v>
                </c:pt>
                <c:pt idx="545">
                  <c:v>159.19999999999999</c:v>
                </c:pt>
                <c:pt idx="547">
                  <c:v>173</c:v>
                </c:pt>
                <c:pt idx="548">
                  <c:v>173.4</c:v>
                </c:pt>
                <c:pt idx="549">
                  <c:v>170.1</c:v>
                </c:pt>
                <c:pt idx="550">
                  <c:v>173</c:v>
                </c:pt>
                <c:pt idx="552">
                  <c:v>178.2</c:v>
                </c:pt>
                <c:pt idx="553">
                  <c:v>181.5</c:v>
                </c:pt>
                <c:pt idx="554">
                  <c:v>179.8</c:v>
                </c:pt>
                <c:pt idx="555">
                  <c:v>178.7</c:v>
                </c:pt>
                <c:pt idx="556">
                  <c:v>176</c:v>
                </c:pt>
                <c:pt idx="557">
                  <c:v>177.3</c:v>
                </c:pt>
                <c:pt idx="558">
                  <c:v>178.3</c:v>
                </c:pt>
                <c:pt idx="559">
                  <c:v>178.2</c:v>
                </c:pt>
                <c:pt idx="561">
                  <c:v>181.5</c:v>
                </c:pt>
                <c:pt idx="562">
                  <c:v>183.5</c:v>
                </c:pt>
                <c:pt idx="563">
                  <c:v>183.6</c:v>
                </c:pt>
                <c:pt idx="564">
                  <c:v>177.8</c:v>
                </c:pt>
                <c:pt idx="565">
                  <c:v>177.6</c:v>
                </c:pt>
                <c:pt idx="566">
                  <c:v>179.8</c:v>
                </c:pt>
                <c:pt idx="567">
                  <c:v>181.5</c:v>
                </c:pt>
                <c:pt idx="569">
                  <c:v>174.8</c:v>
                </c:pt>
                <c:pt idx="570">
                  <c:v>175.7</c:v>
                </c:pt>
                <c:pt idx="571">
                  <c:v>178</c:v>
                </c:pt>
                <c:pt idx="572">
                  <c:v>177.9</c:v>
                </c:pt>
                <c:pt idx="573">
                  <c:v>179.2</c:v>
                </c:pt>
                <c:pt idx="574">
                  <c:v>184.3</c:v>
                </c:pt>
                <c:pt idx="575">
                  <c:v>180.8</c:v>
                </c:pt>
                <c:pt idx="576">
                  <c:v>183.4</c:v>
                </c:pt>
                <c:pt idx="577">
                  <c:v>180.7</c:v>
                </c:pt>
                <c:pt idx="578">
                  <c:v>178.7</c:v>
                </c:pt>
                <c:pt idx="579">
                  <c:v>179.7</c:v>
                </c:pt>
                <c:pt idx="580">
                  <c:v>173.3</c:v>
                </c:pt>
                <c:pt idx="581">
                  <c:v>174.7</c:v>
                </c:pt>
                <c:pt idx="582">
                  <c:v>173.5</c:v>
                </c:pt>
                <c:pt idx="583">
                  <c:v>179.8</c:v>
                </c:pt>
                <c:pt idx="584">
                  <c:v>176.4</c:v>
                </c:pt>
                <c:pt idx="585">
                  <c:v>175.9</c:v>
                </c:pt>
                <c:pt idx="586">
                  <c:v>174.8</c:v>
                </c:pt>
                <c:pt idx="588">
                  <c:v>185.8</c:v>
                </c:pt>
                <c:pt idx="589">
                  <c:v>190.6</c:v>
                </c:pt>
                <c:pt idx="590">
                  <c:v>189.8</c:v>
                </c:pt>
                <c:pt idx="591">
                  <c:v>185.6</c:v>
                </c:pt>
                <c:pt idx="592">
                  <c:v>181.3</c:v>
                </c:pt>
                <c:pt idx="593">
                  <c:v>184.3</c:v>
                </c:pt>
                <c:pt idx="594">
                  <c:v>182.4</c:v>
                </c:pt>
                <c:pt idx="595">
                  <c:v>184.4</c:v>
                </c:pt>
                <c:pt idx="596">
                  <c:v>184.7</c:v>
                </c:pt>
                <c:pt idx="597">
                  <c:v>185.8</c:v>
                </c:pt>
                <c:pt idx="599">
                  <c:v>189</c:v>
                </c:pt>
                <c:pt idx="600">
                  <c:v>187.4</c:v>
                </c:pt>
                <c:pt idx="601">
                  <c:v>187.5</c:v>
                </c:pt>
                <c:pt idx="602">
                  <c:v>189.5</c:v>
                </c:pt>
                <c:pt idx="603">
                  <c:v>182.4</c:v>
                </c:pt>
                <c:pt idx="604">
                  <c:v>183.7</c:v>
                </c:pt>
                <c:pt idx="605">
                  <c:v>182.6</c:v>
                </c:pt>
                <c:pt idx="606">
                  <c:v>189</c:v>
                </c:pt>
                <c:pt idx="608">
                  <c:v>187.2</c:v>
                </c:pt>
                <c:pt idx="609">
                  <c:v>188.3</c:v>
                </c:pt>
                <c:pt idx="610">
                  <c:v>191.9</c:v>
                </c:pt>
                <c:pt idx="611">
                  <c:v>189.4</c:v>
                </c:pt>
                <c:pt idx="612">
                  <c:v>189</c:v>
                </c:pt>
                <c:pt idx="613">
                  <c:v>182.8</c:v>
                </c:pt>
                <c:pt idx="614">
                  <c:v>182.3</c:v>
                </c:pt>
                <c:pt idx="615">
                  <c:v>184.8</c:v>
                </c:pt>
                <c:pt idx="616">
                  <c:v>182.2</c:v>
                </c:pt>
                <c:pt idx="617">
                  <c:v>184.9</c:v>
                </c:pt>
                <c:pt idx="618">
                  <c:v>187.2</c:v>
                </c:pt>
                <c:pt idx="620">
                  <c:v>186</c:v>
                </c:pt>
                <c:pt idx="621">
                  <c:v>184.9</c:v>
                </c:pt>
                <c:pt idx="622">
                  <c:v>182.2</c:v>
                </c:pt>
                <c:pt idx="623">
                  <c:v>184.8</c:v>
                </c:pt>
                <c:pt idx="624">
                  <c:v>182.2</c:v>
                </c:pt>
                <c:pt idx="625">
                  <c:v>183.7</c:v>
                </c:pt>
                <c:pt idx="626">
                  <c:v>182.5</c:v>
                </c:pt>
                <c:pt idx="627">
                  <c:v>178.5</c:v>
                </c:pt>
                <c:pt idx="628">
                  <c:v>175.4</c:v>
                </c:pt>
                <c:pt idx="629">
                  <c:v>175.6</c:v>
                </c:pt>
                <c:pt idx="630">
                  <c:v>172.8</c:v>
                </c:pt>
                <c:pt idx="631">
                  <c:v>177.3</c:v>
                </c:pt>
                <c:pt idx="632">
                  <c:v>179.7</c:v>
                </c:pt>
                <c:pt idx="633">
                  <c:v>186</c:v>
                </c:pt>
                <c:pt idx="635">
                  <c:v>143.19999999999999</c:v>
                </c:pt>
                <c:pt idx="636">
                  <c:v>144.9</c:v>
                </c:pt>
                <c:pt idx="637">
                  <c:v>145.4</c:v>
                </c:pt>
                <c:pt idx="638">
                  <c:v>142.9</c:v>
                </c:pt>
                <c:pt idx="639">
                  <c:v>142</c:v>
                </c:pt>
                <c:pt idx="640">
                  <c:v>143.19999999999999</c:v>
                </c:pt>
                <c:pt idx="642">
                  <c:v>139.6</c:v>
                </c:pt>
                <c:pt idx="643">
                  <c:v>140.4</c:v>
                </c:pt>
                <c:pt idx="644">
                  <c:v>136.19999999999999</c:v>
                </c:pt>
                <c:pt idx="645">
                  <c:v>139.6</c:v>
                </c:pt>
                <c:pt idx="647">
                  <c:v>144.19999999999999</c:v>
                </c:pt>
                <c:pt idx="648">
                  <c:v>141.6</c:v>
                </c:pt>
                <c:pt idx="649">
                  <c:v>142.80000000000001</c:v>
                </c:pt>
                <c:pt idx="650">
                  <c:v>144.19999999999999</c:v>
                </c:pt>
                <c:pt idx="652">
                  <c:v>151.30000000000001</c:v>
                </c:pt>
                <c:pt idx="653">
                  <c:v>150.4</c:v>
                </c:pt>
                <c:pt idx="654">
                  <c:v>155.69999999999999</c:v>
                </c:pt>
                <c:pt idx="655">
                  <c:v>152.30000000000001</c:v>
                </c:pt>
                <c:pt idx="656">
                  <c:v>150.4</c:v>
                </c:pt>
                <c:pt idx="657">
                  <c:v>146.1</c:v>
                </c:pt>
                <c:pt idx="658">
                  <c:v>147.69999999999999</c:v>
                </c:pt>
                <c:pt idx="659">
                  <c:v>148.1</c:v>
                </c:pt>
                <c:pt idx="660">
                  <c:v>151.30000000000001</c:v>
                </c:pt>
                <c:pt idx="662">
                  <c:v>145.80000000000001</c:v>
                </c:pt>
                <c:pt idx="663">
                  <c:v>148.30000000000001</c:v>
                </c:pt>
                <c:pt idx="664">
                  <c:v>150.9</c:v>
                </c:pt>
                <c:pt idx="665">
                  <c:v>151.5</c:v>
                </c:pt>
                <c:pt idx="666">
                  <c:v>147.9</c:v>
                </c:pt>
                <c:pt idx="667">
                  <c:v>144.19999999999999</c:v>
                </c:pt>
                <c:pt idx="668">
                  <c:v>142.80000000000001</c:v>
                </c:pt>
                <c:pt idx="669">
                  <c:v>140.4</c:v>
                </c:pt>
                <c:pt idx="670">
                  <c:v>143.4</c:v>
                </c:pt>
                <c:pt idx="671">
                  <c:v>145.80000000000001</c:v>
                </c:pt>
                <c:pt idx="673">
                  <c:v>160.9</c:v>
                </c:pt>
                <c:pt idx="674">
                  <c:v>166.8</c:v>
                </c:pt>
                <c:pt idx="675">
                  <c:v>168.6</c:v>
                </c:pt>
                <c:pt idx="676">
                  <c:v>167.7</c:v>
                </c:pt>
                <c:pt idx="677">
                  <c:v>170.1</c:v>
                </c:pt>
                <c:pt idx="678">
                  <c:v>168</c:v>
                </c:pt>
                <c:pt idx="679">
                  <c:v>167.7</c:v>
                </c:pt>
                <c:pt idx="680">
                  <c:v>166.5</c:v>
                </c:pt>
                <c:pt idx="681">
                  <c:v>167.4</c:v>
                </c:pt>
                <c:pt idx="682">
                  <c:v>157.9</c:v>
                </c:pt>
                <c:pt idx="683">
                  <c:v>154.9</c:v>
                </c:pt>
                <c:pt idx="684">
                  <c:v>154.5</c:v>
                </c:pt>
                <c:pt idx="685">
                  <c:v>158.5</c:v>
                </c:pt>
                <c:pt idx="686">
                  <c:v>156.69999999999999</c:v>
                </c:pt>
                <c:pt idx="687">
                  <c:v>153.19999999999999</c:v>
                </c:pt>
                <c:pt idx="688">
                  <c:v>153.1</c:v>
                </c:pt>
                <c:pt idx="689">
                  <c:v>156.4</c:v>
                </c:pt>
                <c:pt idx="690">
                  <c:v>156.80000000000001</c:v>
                </c:pt>
                <c:pt idx="691">
                  <c:v>160.9</c:v>
                </c:pt>
                <c:pt idx="693">
                  <c:v>121.3</c:v>
                </c:pt>
                <c:pt idx="694">
                  <c:v>122.5</c:v>
                </c:pt>
                <c:pt idx="695">
                  <c:v>124.4</c:v>
                </c:pt>
                <c:pt idx="696">
                  <c:v>122.1</c:v>
                </c:pt>
                <c:pt idx="697">
                  <c:v>121.3</c:v>
                </c:pt>
                <c:pt idx="699">
                  <c:v>118.9</c:v>
                </c:pt>
                <c:pt idx="700">
                  <c:v>118.1</c:v>
                </c:pt>
                <c:pt idx="701">
                  <c:v>117.3</c:v>
                </c:pt>
                <c:pt idx="702">
                  <c:v>118.9</c:v>
                </c:pt>
                <c:pt idx="704">
                  <c:v>130</c:v>
                </c:pt>
                <c:pt idx="705">
                  <c:v>128.4</c:v>
                </c:pt>
                <c:pt idx="706">
                  <c:v>128.4</c:v>
                </c:pt>
                <c:pt idx="707">
                  <c:v>130</c:v>
                </c:pt>
                <c:pt idx="709">
                  <c:v>145</c:v>
                </c:pt>
                <c:pt idx="710">
                  <c:v>147.1</c:v>
                </c:pt>
                <c:pt idx="711">
                  <c:v>143.80000000000001</c:v>
                </c:pt>
                <c:pt idx="712">
                  <c:v>145</c:v>
                </c:pt>
                <c:pt idx="714">
                  <c:v>131.69999999999999</c:v>
                </c:pt>
                <c:pt idx="715">
                  <c:v>132</c:v>
                </c:pt>
                <c:pt idx="716">
                  <c:v>129.9</c:v>
                </c:pt>
                <c:pt idx="717">
                  <c:v>130.80000000000001</c:v>
                </c:pt>
                <c:pt idx="718">
                  <c:v>131.69999999999999</c:v>
                </c:pt>
                <c:pt idx="720">
                  <c:v>121.7</c:v>
                </c:pt>
                <c:pt idx="721">
                  <c:v>121.1</c:v>
                </c:pt>
                <c:pt idx="722">
                  <c:v>119</c:v>
                </c:pt>
                <c:pt idx="723">
                  <c:v>121.7</c:v>
                </c:pt>
                <c:pt idx="725">
                  <c:v>137.69999999999999</c:v>
                </c:pt>
                <c:pt idx="726">
                  <c:v>139.5</c:v>
                </c:pt>
                <c:pt idx="727">
                  <c:v>138.6</c:v>
                </c:pt>
                <c:pt idx="728">
                  <c:v>136.6</c:v>
                </c:pt>
                <c:pt idx="729">
                  <c:v>137.69999999999999</c:v>
                </c:pt>
                <c:pt idx="731">
                  <c:v>168.3</c:v>
                </c:pt>
                <c:pt idx="732">
                  <c:v>167.3</c:v>
                </c:pt>
                <c:pt idx="733">
                  <c:v>168.3</c:v>
                </c:pt>
                <c:pt idx="734">
                  <c:v>169.6</c:v>
                </c:pt>
                <c:pt idx="735">
                  <c:v>168.3</c:v>
                </c:pt>
                <c:pt idx="737">
                  <c:v>147.9</c:v>
                </c:pt>
                <c:pt idx="738">
                  <c:v>153</c:v>
                </c:pt>
                <c:pt idx="739">
                  <c:v>150.19999999999999</c:v>
                </c:pt>
                <c:pt idx="740">
                  <c:v>147.1</c:v>
                </c:pt>
                <c:pt idx="741">
                  <c:v>147.9</c:v>
                </c:pt>
                <c:pt idx="743">
                  <c:v>131.9</c:v>
                </c:pt>
                <c:pt idx="744">
                  <c:v>132.80000000000001</c:v>
                </c:pt>
                <c:pt idx="745">
                  <c:v>137</c:v>
                </c:pt>
                <c:pt idx="746">
                  <c:v>135.4</c:v>
                </c:pt>
                <c:pt idx="747">
                  <c:v>132.80000000000001</c:v>
                </c:pt>
                <c:pt idx="748">
                  <c:v>131.4</c:v>
                </c:pt>
                <c:pt idx="749">
                  <c:v>129.9</c:v>
                </c:pt>
                <c:pt idx="750">
                  <c:v>131.9</c:v>
                </c:pt>
                <c:pt idx="752">
                  <c:v>164.7</c:v>
                </c:pt>
                <c:pt idx="753">
                  <c:v>162.6</c:v>
                </c:pt>
                <c:pt idx="754">
                  <c:v>160.4</c:v>
                </c:pt>
                <c:pt idx="755">
                  <c:v>160.5</c:v>
                </c:pt>
                <c:pt idx="756">
                  <c:v>165.2</c:v>
                </c:pt>
                <c:pt idx="757">
                  <c:v>166.4</c:v>
                </c:pt>
                <c:pt idx="758">
                  <c:v>164.2</c:v>
                </c:pt>
                <c:pt idx="759">
                  <c:v>164.7</c:v>
                </c:pt>
                <c:pt idx="761">
                  <c:v>163.80000000000001</c:v>
                </c:pt>
                <c:pt idx="762">
                  <c:v>163.6</c:v>
                </c:pt>
                <c:pt idx="763">
                  <c:v>160.1</c:v>
                </c:pt>
                <c:pt idx="764">
                  <c:v>162.5</c:v>
                </c:pt>
                <c:pt idx="765">
                  <c:v>163.80000000000001</c:v>
                </c:pt>
                <c:pt idx="767">
                  <c:v>150.4</c:v>
                </c:pt>
                <c:pt idx="768">
                  <c:v>156.1</c:v>
                </c:pt>
                <c:pt idx="769">
                  <c:v>151.1</c:v>
                </c:pt>
                <c:pt idx="770">
                  <c:v>150.4</c:v>
                </c:pt>
                <c:pt idx="772">
                  <c:v>97</c:v>
                </c:pt>
                <c:pt idx="773">
                  <c:v>94.9</c:v>
                </c:pt>
                <c:pt idx="774">
                  <c:v>94.3</c:v>
                </c:pt>
                <c:pt idx="775">
                  <c:v>97</c:v>
                </c:pt>
                <c:pt idx="777">
                  <c:v>14.9</c:v>
                </c:pt>
                <c:pt idx="778">
                  <c:v>14.5</c:v>
                </c:pt>
                <c:pt idx="779">
                  <c:v>11.1</c:v>
                </c:pt>
                <c:pt idx="780">
                  <c:v>12.3</c:v>
                </c:pt>
                <c:pt idx="781">
                  <c:v>14.9</c:v>
                </c:pt>
                <c:pt idx="783">
                  <c:v>10.199999999999999</c:v>
                </c:pt>
                <c:pt idx="784">
                  <c:v>10.3</c:v>
                </c:pt>
                <c:pt idx="785">
                  <c:v>7.5</c:v>
                </c:pt>
                <c:pt idx="786">
                  <c:v>7.3</c:v>
                </c:pt>
                <c:pt idx="787">
                  <c:v>5.5</c:v>
                </c:pt>
                <c:pt idx="788">
                  <c:v>6.7</c:v>
                </c:pt>
                <c:pt idx="789">
                  <c:v>9</c:v>
                </c:pt>
                <c:pt idx="790">
                  <c:v>11.2</c:v>
                </c:pt>
                <c:pt idx="791">
                  <c:v>10.199999999999999</c:v>
                </c:pt>
                <c:pt idx="793">
                  <c:v>7.6</c:v>
                </c:pt>
                <c:pt idx="794">
                  <c:v>10.7</c:v>
                </c:pt>
                <c:pt idx="795">
                  <c:v>12.7</c:v>
                </c:pt>
                <c:pt idx="796">
                  <c:v>11.6</c:v>
                </c:pt>
                <c:pt idx="797">
                  <c:v>12.1</c:v>
                </c:pt>
                <c:pt idx="798">
                  <c:v>9.4</c:v>
                </c:pt>
                <c:pt idx="799">
                  <c:v>8.5</c:v>
                </c:pt>
                <c:pt idx="800">
                  <c:v>3.4</c:v>
                </c:pt>
                <c:pt idx="801">
                  <c:v>1</c:v>
                </c:pt>
                <c:pt idx="802">
                  <c:v>1.5</c:v>
                </c:pt>
                <c:pt idx="803">
                  <c:v>3.6</c:v>
                </c:pt>
                <c:pt idx="804">
                  <c:v>7.6</c:v>
                </c:pt>
                <c:pt idx="806">
                  <c:v>203.9</c:v>
                </c:pt>
                <c:pt idx="807">
                  <c:v>210.4</c:v>
                </c:pt>
                <c:pt idx="808">
                  <c:v>209</c:v>
                </c:pt>
                <c:pt idx="809">
                  <c:v>205.6</c:v>
                </c:pt>
                <c:pt idx="810">
                  <c:v>204.1</c:v>
                </c:pt>
                <c:pt idx="811">
                  <c:v>202.3</c:v>
                </c:pt>
                <c:pt idx="812">
                  <c:v>203.8</c:v>
                </c:pt>
                <c:pt idx="813">
                  <c:v>201.9</c:v>
                </c:pt>
                <c:pt idx="814">
                  <c:v>202.7</c:v>
                </c:pt>
                <c:pt idx="815">
                  <c:v>203.9</c:v>
                </c:pt>
                <c:pt idx="817">
                  <c:v>199.1</c:v>
                </c:pt>
                <c:pt idx="818">
                  <c:v>202.1</c:v>
                </c:pt>
                <c:pt idx="819">
                  <c:v>200</c:v>
                </c:pt>
                <c:pt idx="820">
                  <c:v>200.2</c:v>
                </c:pt>
                <c:pt idx="821">
                  <c:v>192.7</c:v>
                </c:pt>
                <c:pt idx="822">
                  <c:v>195.1</c:v>
                </c:pt>
                <c:pt idx="823">
                  <c:v>194.7</c:v>
                </c:pt>
                <c:pt idx="824">
                  <c:v>195.9</c:v>
                </c:pt>
                <c:pt idx="825">
                  <c:v>199.1</c:v>
                </c:pt>
                <c:pt idx="827">
                  <c:v>201.7</c:v>
                </c:pt>
                <c:pt idx="828">
                  <c:v>203.8</c:v>
                </c:pt>
                <c:pt idx="829">
                  <c:v>202.3</c:v>
                </c:pt>
                <c:pt idx="830">
                  <c:v>203.1</c:v>
                </c:pt>
                <c:pt idx="831">
                  <c:v>201.8</c:v>
                </c:pt>
                <c:pt idx="832">
                  <c:v>197.4</c:v>
                </c:pt>
                <c:pt idx="833">
                  <c:v>194.1</c:v>
                </c:pt>
                <c:pt idx="834">
                  <c:v>188.6</c:v>
                </c:pt>
                <c:pt idx="835">
                  <c:v>193</c:v>
                </c:pt>
                <c:pt idx="836">
                  <c:v>200.2</c:v>
                </c:pt>
                <c:pt idx="837">
                  <c:v>200</c:v>
                </c:pt>
                <c:pt idx="838">
                  <c:v>201.7</c:v>
                </c:pt>
                <c:pt idx="840">
                  <c:v>204.2</c:v>
                </c:pt>
                <c:pt idx="841">
                  <c:v>207.2</c:v>
                </c:pt>
                <c:pt idx="842">
                  <c:v>210</c:v>
                </c:pt>
                <c:pt idx="843">
                  <c:v>211.9</c:v>
                </c:pt>
                <c:pt idx="844">
                  <c:v>210.4</c:v>
                </c:pt>
                <c:pt idx="845">
                  <c:v>206.1</c:v>
                </c:pt>
                <c:pt idx="846">
                  <c:v>204.7</c:v>
                </c:pt>
                <c:pt idx="847">
                  <c:v>202.7</c:v>
                </c:pt>
                <c:pt idx="848">
                  <c:v>201.9</c:v>
                </c:pt>
                <c:pt idx="849">
                  <c:v>195.9</c:v>
                </c:pt>
                <c:pt idx="850">
                  <c:v>197.8</c:v>
                </c:pt>
                <c:pt idx="851">
                  <c:v>197.5</c:v>
                </c:pt>
                <c:pt idx="852">
                  <c:v>195.5</c:v>
                </c:pt>
                <c:pt idx="853">
                  <c:v>196.4</c:v>
                </c:pt>
                <c:pt idx="854">
                  <c:v>201.7</c:v>
                </c:pt>
                <c:pt idx="855">
                  <c:v>204.2</c:v>
                </c:pt>
                <c:pt idx="857">
                  <c:v>189.3</c:v>
                </c:pt>
                <c:pt idx="858">
                  <c:v>188.6</c:v>
                </c:pt>
                <c:pt idx="859">
                  <c:v>193</c:v>
                </c:pt>
                <c:pt idx="860">
                  <c:v>194.7</c:v>
                </c:pt>
                <c:pt idx="861">
                  <c:v>197.1</c:v>
                </c:pt>
                <c:pt idx="862">
                  <c:v>197.8</c:v>
                </c:pt>
                <c:pt idx="863">
                  <c:v>194.7</c:v>
                </c:pt>
                <c:pt idx="864">
                  <c:v>194.4</c:v>
                </c:pt>
                <c:pt idx="865">
                  <c:v>190</c:v>
                </c:pt>
                <c:pt idx="866">
                  <c:v>186.6</c:v>
                </c:pt>
                <c:pt idx="867">
                  <c:v>180.9</c:v>
                </c:pt>
                <c:pt idx="868">
                  <c:v>178.9</c:v>
                </c:pt>
                <c:pt idx="869">
                  <c:v>181.3</c:v>
                </c:pt>
                <c:pt idx="870">
                  <c:v>179.7</c:v>
                </c:pt>
                <c:pt idx="871">
                  <c:v>181.7</c:v>
                </c:pt>
                <c:pt idx="872">
                  <c:v>182.6</c:v>
                </c:pt>
                <c:pt idx="873">
                  <c:v>185.3</c:v>
                </c:pt>
                <c:pt idx="874">
                  <c:v>187</c:v>
                </c:pt>
                <c:pt idx="875">
                  <c:v>189.3</c:v>
                </c:pt>
                <c:pt idx="877">
                  <c:v>254</c:v>
                </c:pt>
                <c:pt idx="878">
                  <c:v>255.9</c:v>
                </c:pt>
                <c:pt idx="879">
                  <c:v>259</c:v>
                </c:pt>
                <c:pt idx="880">
                  <c:v>255.9</c:v>
                </c:pt>
                <c:pt idx="881">
                  <c:v>255.8</c:v>
                </c:pt>
                <c:pt idx="882">
                  <c:v>253.4</c:v>
                </c:pt>
                <c:pt idx="883">
                  <c:v>253.1</c:v>
                </c:pt>
                <c:pt idx="884">
                  <c:v>248.6</c:v>
                </c:pt>
                <c:pt idx="885">
                  <c:v>247</c:v>
                </c:pt>
                <c:pt idx="886">
                  <c:v>248.8</c:v>
                </c:pt>
                <c:pt idx="887">
                  <c:v>247.4</c:v>
                </c:pt>
                <c:pt idx="888">
                  <c:v>248.5</c:v>
                </c:pt>
                <c:pt idx="889">
                  <c:v>247.4</c:v>
                </c:pt>
                <c:pt idx="890">
                  <c:v>250.1</c:v>
                </c:pt>
                <c:pt idx="891">
                  <c:v>246.2</c:v>
                </c:pt>
                <c:pt idx="892">
                  <c:v>248.1</c:v>
                </c:pt>
                <c:pt idx="893">
                  <c:v>250.7</c:v>
                </c:pt>
                <c:pt idx="894">
                  <c:v>249.8</c:v>
                </c:pt>
                <c:pt idx="895">
                  <c:v>252.7</c:v>
                </c:pt>
                <c:pt idx="896">
                  <c:v>254</c:v>
                </c:pt>
                <c:pt idx="898">
                  <c:v>246.7</c:v>
                </c:pt>
                <c:pt idx="899">
                  <c:v>250.1</c:v>
                </c:pt>
                <c:pt idx="900">
                  <c:v>247.4</c:v>
                </c:pt>
                <c:pt idx="901">
                  <c:v>248.5</c:v>
                </c:pt>
                <c:pt idx="902">
                  <c:v>247.4</c:v>
                </c:pt>
                <c:pt idx="903">
                  <c:v>248.8</c:v>
                </c:pt>
                <c:pt idx="904">
                  <c:v>246.7</c:v>
                </c:pt>
                <c:pt idx="905">
                  <c:v>243.9</c:v>
                </c:pt>
                <c:pt idx="906">
                  <c:v>244.1</c:v>
                </c:pt>
                <c:pt idx="907">
                  <c:v>242.2</c:v>
                </c:pt>
                <c:pt idx="908">
                  <c:v>245.3</c:v>
                </c:pt>
                <c:pt idx="909">
                  <c:v>246.7</c:v>
                </c:pt>
                <c:pt idx="911">
                  <c:v>244</c:v>
                </c:pt>
                <c:pt idx="912">
                  <c:v>245.3</c:v>
                </c:pt>
                <c:pt idx="913">
                  <c:v>241.6</c:v>
                </c:pt>
                <c:pt idx="914">
                  <c:v>241.9</c:v>
                </c:pt>
                <c:pt idx="915">
                  <c:v>239.2</c:v>
                </c:pt>
                <c:pt idx="916">
                  <c:v>239.2</c:v>
                </c:pt>
                <c:pt idx="917">
                  <c:v>236.6</c:v>
                </c:pt>
                <c:pt idx="918">
                  <c:v>235.7</c:v>
                </c:pt>
                <c:pt idx="919">
                  <c:v>234.4</c:v>
                </c:pt>
                <c:pt idx="920">
                  <c:v>239.1</c:v>
                </c:pt>
                <c:pt idx="921">
                  <c:v>240.7</c:v>
                </c:pt>
                <c:pt idx="922">
                  <c:v>244</c:v>
                </c:pt>
                <c:pt idx="924">
                  <c:v>244.9</c:v>
                </c:pt>
                <c:pt idx="925">
                  <c:v>244.1</c:v>
                </c:pt>
                <c:pt idx="926">
                  <c:v>246.7</c:v>
                </c:pt>
                <c:pt idx="927">
                  <c:v>246</c:v>
                </c:pt>
                <c:pt idx="928">
                  <c:v>240.7</c:v>
                </c:pt>
                <c:pt idx="929">
                  <c:v>241</c:v>
                </c:pt>
                <c:pt idx="930">
                  <c:v>239.4</c:v>
                </c:pt>
                <c:pt idx="931">
                  <c:v>237.1</c:v>
                </c:pt>
                <c:pt idx="932">
                  <c:v>234.6</c:v>
                </c:pt>
                <c:pt idx="933">
                  <c:v>231.6</c:v>
                </c:pt>
                <c:pt idx="934">
                  <c:v>234.4</c:v>
                </c:pt>
                <c:pt idx="935">
                  <c:v>234.7</c:v>
                </c:pt>
                <c:pt idx="936">
                  <c:v>239.8</c:v>
                </c:pt>
                <c:pt idx="937">
                  <c:v>241.5</c:v>
                </c:pt>
                <c:pt idx="938">
                  <c:v>243.6</c:v>
                </c:pt>
                <c:pt idx="939">
                  <c:v>244.9</c:v>
                </c:pt>
                <c:pt idx="941">
                  <c:v>252.5</c:v>
                </c:pt>
                <c:pt idx="942">
                  <c:v>254.1</c:v>
                </c:pt>
                <c:pt idx="943">
                  <c:v>249.5</c:v>
                </c:pt>
                <c:pt idx="944">
                  <c:v>250.7</c:v>
                </c:pt>
                <c:pt idx="945">
                  <c:v>248.1</c:v>
                </c:pt>
                <c:pt idx="946">
                  <c:v>246.3</c:v>
                </c:pt>
                <c:pt idx="947">
                  <c:v>244.4</c:v>
                </c:pt>
                <c:pt idx="948">
                  <c:v>246</c:v>
                </c:pt>
                <c:pt idx="949">
                  <c:v>246.8</c:v>
                </c:pt>
                <c:pt idx="950">
                  <c:v>244.1</c:v>
                </c:pt>
                <c:pt idx="951">
                  <c:v>245.2</c:v>
                </c:pt>
                <c:pt idx="952">
                  <c:v>249.8</c:v>
                </c:pt>
                <c:pt idx="953">
                  <c:v>252</c:v>
                </c:pt>
                <c:pt idx="954">
                  <c:v>252.5</c:v>
                </c:pt>
                <c:pt idx="956">
                  <c:v>414.2</c:v>
                </c:pt>
                <c:pt idx="957">
                  <c:v>415.5</c:v>
                </c:pt>
                <c:pt idx="958">
                  <c:v>415.6</c:v>
                </c:pt>
                <c:pt idx="959">
                  <c:v>410.9</c:v>
                </c:pt>
                <c:pt idx="960">
                  <c:v>407.7</c:v>
                </c:pt>
                <c:pt idx="961">
                  <c:v>407.1</c:v>
                </c:pt>
                <c:pt idx="962">
                  <c:v>410.8</c:v>
                </c:pt>
                <c:pt idx="963">
                  <c:v>410.4</c:v>
                </c:pt>
                <c:pt idx="964">
                  <c:v>414.2</c:v>
                </c:pt>
                <c:pt idx="966">
                  <c:v>408.3</c:v>
                </c:pt>
                <c:pt idx="967">
                  <c:v>417.9</c:v>
                </c:pt>
                <c:pt idx="968">
                  <c:v>418.9</c:v>
                </c:pt>
                <c:pt idx="969">
                  <c:v>416.8</c:v>
                </c:pt>
                <c:pt idx="970">
                  <c:v>419.2</c:v>
                </c:pt>
                <c:pt idx="971">
                  <c:v>417.3</c:v>
                </c:pt>
                <c:pt idx="972">
                  <c:v>411.3</c:v>
                </c:pt>
                <c:pt idx="973">
                  <c:v>409</c:v>
                </c:pt>
                <c:pt idx="974">
                  <c:v>405.7</c:v>
                </c:pt>
                <c:pt idx="975">
                  <c:v>408.3</c:v>
                </c:pt>
                <c:pt idx="977">
                  <c:v>424.7</c:v>
                </c:pt>
                <c:pt idx="978">
                  <c:v>424.7</c:v>
                </c:pt>
                <c:pt idx="979">
                  <c:v>423.4</c:v>
                </c:pt>
                <c:pt idx="980">
                  <c:v>424.2</c:v>
                </c:pt>
                <c:pt idx="981">
                  <c:v>422.8</c:v>
                </c:pt>
                <c:pt idx="982">
                  <c:v>423.9</c:v>
                </c:pt>
                <c:pt idx="983">
                  <c:v>420.5</c:v>
                </c:pt>
                <c:pt idx="984">
                  <c:v>418.9</c:v>
                </c:pt>
                <c:pt idx="985">
                  <c:v>420.7</c:v>
                </c:pt>
                <c:pt idx="986">
                  <c:v>421.2</c:v>
                </c:pt>
                <c:pt idx="987">
                  <c:v>424.7</c:v>
                </c:pt>
                <c:pt idx="989">
                  <c:v>416.6</c:v>
                </c:pt>
                <c:pt idx="990">
                  <c:v>424.4</c:v>
                </c:pt>
                <c:pt idx="991">
                  <c:v>423.6</c:v>
                </c:pt>
                <c:pt idx="992">
                  <c:v>425.6</c:v>
                </c:pt>
                <c:pt idx="993">
                  <c:v>424.6</c:v>
                </c:pt>
                <c:pt idx="994">
                  <c:v>420.7</c:v>
                </c:pt>
                <c:pt idx="995">
                  <c:v>420.7</c:v>
                </c:pt>
                <c:pt idx="996">
                  <c:v>415.5</c:v>
                </c:pt>
                <c:pt idx="997">
                  <c:v>415.5</c:v>
                </c:pt>
                <c:pt idx="998">
                  <c:v>410.4</c:v>
                </c:pt>
                <c:pt idx="999">
                  <c:v>411.6</c:v>
                </c:pt>
                <c:pt idx="1000">
                  <c:v>416.6</c:v>
                </c:pt>
                <c:pt idx="1002">
                  <c:v>399</c:v>
                </c:pt>
                <c:pt idx="1003">
                  <c:v>403.3</c:v>
                </c:pt>
                <c:pt idx="1004">
                  <c:v>407.7</c:v>
                </c:pt>
                <c:pt idx="1005">
                  <c:v>407.4</c:v>
                </c:pt>
                <c:pt idx="1006">
                  <c:v>411</c:v>
                </c:pt>
                <c:pt idx="1007">
                  <c:v>411.3</c:v>
                </c:pt>
                <c:pt idx="1008">
                  <c:v>410.8</c:v>
                </c:pt>
                <c:pt idx="1009">
                  <c:v>407.1</c:v>
                </c:pt>
                <c:pt idx="1010">
                  <c:v>408.2</c:v>
                </c:pt>
                <c:pt idx="1011">
                  <c:v>405.7</c:v>
                </c:pt>
                <c:pt idx="1012">
                  <c:v>409</c:v>
                </c:pt>
                <c:pt idx="1013">
                  <c:v>411.3</c:v>
                </c:pt>
                <c:pt idx="1014">
                  <c:v>414.4</c:v>
                </c:pt>
                <c:pt idx="1015">
                  <c:v>416.1</c:v>
                </c:pt>
                <c:pt idx="1016">
                  <c:v>417.7</c:v>
                </c:pt>
                <c:pt idx="1017">
                  <c:v>417.7</c:v>
                </c:pt>
                <c:pt idx="1018">
                  <c:v>415.9</c:v>
                </c:pt>
                <c:pt idx="1019">
                  <c:v>416.7</c:v>
                </c:pt>
                <c:pt idx="1020">
                  <c:v>415.2</c:v>
                </c:pt>
                <c:pt idx="1021">
                  <c:v>416.7</c:v>
                </c:pt>
                <c:pt idx="1022">
                  <c:v>414.3</c:v>
                </c:pt>
                <c:pt idx="1023">
                  <c:v>412</c:v>
                </c:pt>
                <c:pt idx="1024">
                  <c:v>409.5</c:v>
                </c:pt>
                <c:pt idx="1025">
                  <c:v>408.2</c:v>
                </c:pt>
                <c:pt idx="1026">
                  <c:v>404.1</c:v>
                </c:pt>
                <c:pt idx="1027">
                  <c:v>402.6</c:v>
                </c:pt>
                <c:pt idx="1028">
                  <c:v>404.2</c:v>
                </c:pt>
                <c:pt idx="1029">
                  <c:v>402.2</c:v>
                </c:pt>
                <c:pt idx="1030">
                  <c:v>399.5</c:v>
                </c:pt>
                <c:pt idx="1031">
                  <c:v>395.7</c:v>
                </c:pt>
                <c:pt idx="1032">
                  <c:v>394.2</c:v>
                </c:pt>
                <c:pt idx="1033">
                  <c:v>389.6</c:v>
                </c:pt>
                <c:pt idx="1034">
                  <c:v>389.9</c:v>
                </c:pt>
                <c:pt idx="1035">
                  <c:v>384.6</c:v>
                </c:pt>
                <c:pt idx="1036">
                  <c:v>384.7</c:v>
                </c:pt>
                <c:pt idx="1037">
                  <c:v>382.6</c:v>
                </c:pt>
                <c:pt idx="1038">
                  <c:v>387</c:v>
                </c:pt>
                <c:pt idx="1039">
                  <c:v>387</c:v>
                </c:pt>
                <c:pt idx="1040">
                  <c:v>385.5</c:v>
                </c:pt>
                <c:pt idx="1041">
                  <c:v>388.2</c:v>
                </c:pt>
                <c:pt idx="1042">
                  <c:v>389.1</c:v>
                </c:pt>
                <c:pt idx="1043">
                  <c:v>392.1</c:v>
                </c:pt>
                <c:pt idx="1044">
                  <c:v>390.9</c:v>
                </c:pt>
                <c:pt idx="1045">
                  <c:v>392</c:v>
                </c:pt>
                <c:pt idx="1046">
                  <c:v>397.4</c:v>
                </c:pt>
                <c:pt idx="1047">
                  <c:v>399</c:v>
                </c:pt>
                <c:pt idx="1049">
                  <c:v>225.1</c:v>
                </c:pt>
                <c:pt idx="1050">
                  <c:v>227.8</c:v>
                </c:pt>
                <c:pt idx="1051">
                  <c:v>231.7</c:v>
                </c:pt>
                <c:pt idx="1052">
                  <c:v>236.6</c:v>
                </c:pt>
                <c:pt idx="1053">
                  <c:v>236.7</c:v>
                </c:pt>
                <c:pt idx="1054">
                  <c:v>234.1</c:v>
                </c:pt>
                <c:pt idx="1055">
                  <c:v>235.6</c:v>
                </c:pt>
                <c:pt idx="1056">
                  <c:v>236.2</c:v>
                </c:pt>
                <c:pt idx="1057">
                  <c:v>238.1</c:v>
                </c:pt>
                <c:pt idx="1058">
                  <c:v>239.6</c:v>
                </c:pt>
                <c:pt idx="1059">
                  <c:v>243</c:v>
                </c:pt>
                <c:pt idx="1060">
                  <c:v>243.6</c:v>
                </c:pt>
                <c:pt idx="1061">
                  <c:v>245.4</c:v>
                </c:pt>
                <c:pt idx="1062">
                  <c:v>245.9</c:v>
                </c:pt>
                <c:pt idx="1063">
                  <c:v>241.5</c:v>
                </c:pt>
                <c:pt idx="1064">
                  <c:v>241.1</c:v>
                </c:pt>
                <c:pt idx="1065">
                  <c:v>238.6</c:v>
                </c:pt>
                <c:pt idx="1066">
                  <c:v>231.9</c:v>
                </c:pt>
                <c:pt idx="1067">
                  <c:v>227.4</c:v>
                </c:pt>
                <c:pt idx="1068">
                  <c:v>227</c:v>
                </c:pt>
                <c:pt idx="1069">
                  <c:v>224.9</c:v>
                </c:pt>
                <c:pt idx="1070">
                  <c:v>226</c:v>
                </c:pt>
                <c:pt idx="1071">
                  <c:v>225.2</c:v>
                </c:pt>
                <c:pt idx="1072">
                  <c:v>226.8</c:v>
                </c:pt>
                <c:pt idx="1073">
                  <c:v>228.2</c:v>
                </c:pt>
                <c:pt idx="1074">
                  <c:v>223.6</c:v>
                </c:pt>
                <c:pt idx="1075">
                  <c:v>224.1</c:v>
                </c:pt>
                <c:pt idx="1076">
                  <c:v>222.4</c:v>
                </c:pt>
                <c:pt idx="1077">
                  <c:v>221.2</c:v>
                </c:pt>
                <c:pt idx="1078">
                  <c:v>225.1</c:v>
                </c:pt>
                <c:pt idx="1080">
                  <c:v>212.2</c:v>
                </c:pt>
                <c:pt idx="1081">
                  <c:v>213.1</c:v>
                </c:pt>
                <c:pt idx="1082">
                  <c:v>207.3</c:v>
                </c:pt>
                <c:pt idx="1083">
                  <c:v>207.5</c:v>
                </c:pt>
                <c:pt idx="1084">
                  <c:v>212.2</c:v>
                </c:pt>
                <c:pt idx="1086">
                  <c:v>213.5</c:v>
                </c:pt>
                <c:pt idx="1087">
                  <c:v>211.9</c:v>
                </c:pt>
                <c:pt idx="1088">
                  <c:v>207.4</c:v>
                </c:pt>
                <c:pt idx="1089">
                  <c:v>203.9</c:v>
                </c:pt>
                <c:pt idx="1090">
                  <c:v>204.1</c:v>
                </c:pt>
                <c:pt idx="1091">
                  <c:v>206.6</c:v>
                </c:pt>
                <c:pt idx="1092">
                  <c:v>213.5</c:v>
                </c:pt>
                <c:pt idx="1094">
                  <c:v>213.6</c:v>
                </c:pt>
                <c:pt idx="1095">
                  <c:v>213.2</c:v>
                </c:pt>
                <c:pt idx="1096">
                  <c:v>210.1</c:v>
                </c:pt>
                <c:pt idx="1097">
                  <c:v>208</c:v>
                </c:pt>
                <c:pt idx="1098">
                  <c:v>213.6</c:v>
                </c:pt>
                <c:pt idx="1100">
                  <c:v>214.4</c:v>
                </c:pt>
                <c:pt idx="1101">
                  <c:v>215.3</c:v>
                </c:pt>
                <c:pt idx="1102">
                  <c:v>217.8</c:v>
                </c:pt>
                <c:pt idx="1103">
                  <c:v>215.7</c:v>
                </c:pt>
                <c:pt idx="1104">
                  <c:v>216.6</c:v>
                </c:pt>
                <c:pt idx="1105">
                  <c:v>217.4</c:v>
                </c:pt>
                <c:pt idx="1106">
                  <c:v>217.2</c:v>
                </c:pt>
                <c:pt idx="1107">
                  <c:v>214.6</c:v>
                </c:pt>
                <c:pt idx="1108">
                  <c:v>212.9</c:v>
                </c:pt>
                <c:pt idx="1109">
                  <c:v>214</c:v>
                </c:pt>
                <c:pt idx="1110">
                  <c:v>212.9</c:v>
                </c:pt>
                <c:pt idx="1111">
                  <c:v>214.4</c:v>
                </c:pt>
                <c:pt idx="1113">
                  <c:v>223.8</c:v>
                </c:pt>
                <c:pt idx="1114">
                  <c:v>225.2</c:v>
                </c:pt>
                <c:pt idx="1115">
                  <c:v>223.7</c:v>
                </c:pt>
                <c:pt idx="1116">
                  <c:v>220.4</c:v>
                </c:pt>
                <c:pt idx="1117">
                  <c:v>220.2</c:v>
                </c:pt>
                <c:pt idx="1118">
                  <c:v>217.3</c:v>
                </c:pt>
                <c:pt idx="1119">
                  <c:v>213.8</c:v>
                </c:pt>
                <c:pt idx="1120">
                  <c:v>213.7</c:v>
                </c:pt>
                <c:pt idx="1121">
                  <c:v>216.1</c:v>
                </c:pt>
                <c:pt idx="1122">
                  <c:v>221.6</c:v>
                </c:pt>
                <c:pt idx="1123">
                  <c:v>223.8</c:v>
                </c:pt>
                <c:pt idx="1125">
                  <c:v>225.8</c:v>
                </c:pt>
                <c:pt idx="1126">
                  <c:v>227.1</c:v>
                </c:pt>
                <c:pt idx="1127">
                  <c:v>226.2</c:v>
                </c:pt>
                <c:pt idx="1128">
                  <c:v>225.1</c:v>
                </c:pt>
                <c:pt idx="1129">
                  <c:v>220.4</c:v>
                </c:pt>
                <c:pt idx="1130">
                  <c:v>220.4</c:v>
                </c:pt>
                <c:pt idx="1131">
                  <c:v>223.7</c:v>
                </c:pt>
                <c:pt idx="1132">
                  <c:v>225.8</c:v>
                </c:pt>
                <c:pt idx="1134">
                  <c:v>223.1</c:v>
                </c:pt>
                <c:pt idx="1135">
                  <c:v>225.2</c:v>
                </c:pt>
                <c:pt idx="1136">
                  <c:v>225.5</c:v>
                </c:pt>
                <c:pt idx="1137">
                  <c:v>221.8</c:v>
                </c:pt>
                <c:pt idx="1138">
                  <c:v>222.1</c:v>
                </c:pt>
                <c:pt idx="1139">
                  <c:v>219.7</c:v>
                </c:pt>
                <c:pt idx="1140">
                  <c:v>212.4</c:v>
                </c:pt>
                <c:pt idx="1141">
                  <c:v>213.8</c:v>
                </c:pt>
                <c:pt idx="1142">
                  <c:v>217.3</c:v>
                </c:pt>
                <c:pt idx="1143">
                  <c:v>220.7</c:v>
                </c:pt>
                <c:pt idx="1144">
                  <c:v>223.1</c:v>
                </c:pt>
                <c:pt idx="1146">
                  <c:v>220.1</c:v>
                </c:pt>
                <c:pt idx="1147">
                  <c:v>222.9</c:v>
                </c:pt>
                <c:pt idx="1148">
                  <c:v>221.3</c:v>
                </c:pt>
                <c:pt idx="1149">
                  <c:v>219.5</c:v>
                </c:pt>
                <c:pt idx="1150">
                  <c:v>214.5</c:v>
                </c:pt>
                <c:pt idx="1151">
                  <c:v>211.3</c:v>
                </c:pt>
                <c:pt idx="1152">
                  <c:v>210.2</c:v>
                </c:pt>
                <c:pt idx="1153">
                  <c:v>220.1</c:v>
                </c:pt>
                <c:pt idx="1155">
                  <c:v>204.7</c:v>
                </c:pt>
                <c:pt idx="1156">
                  <c:v>205.5</c:v>
                </c:pt>
                <c:pt idx="1157">
                  <c:v>203.5</c:v>
                </c:pt>
                <c:pt idx="1158">
                  <c:v>204.8</c:v>
                </c:pt>
                <c:pt idx="1159">
                  <c:v>200.9</c:v>
                </c:pt>
                <c:pt idx="1160">
                  <c:v>198.7</c:v>
                </c:pt>
                <c:pt idx="1161">
                  <c:v>200.3</c:v>
                </c:pt>
                <c:pt idx="1162">
                  <c:v>201.2</c:v>
                </c:pt>
                <c:pt idx="1163">
                  <c:v>203.7</c:v>
                </c:pt>
                <c:pt idx="1164">
                  <c:v>204.7</c:v>
                </c:pt>
                <c:pt idx="1166">
                  <c:v>207</c:v>
                </c:pt>
                <c:pt idx="1167">
                  <c:v>206.7</c:v>
                </c:pt>
                <c:pt idx="1168">
                  <c:v>208.5</c:v>
                </c:pt>
                <c:pt idx="1169">
                  <c:v>206.7</c:v>
                </c:pt>
                <c:pt idx="1170">
                  <c:v>203.5</c:v>
                </c:pt>
                <c:pt idx="1171">
                  <c:v>205.5</c:v>
                </c:pt>
                <c:pt idx="1172">
                  <c:v>205.5</c:v>
                </c:pt>
                <c:pt idx="1173">
                  <c:v>207</c:v>
                </c:pt>
                <c:pt idx="1175">
                  <c:v>190</c:v>
                </c:pt>
                <c:pt idx="1176">
                  <c:v>192</c:v>
                </c:pt>
                <c:pt idx="1177">
                  <c:v>194.4</c:v>
                </c:pt>
                <c:pt idx="1178">
                  <c:v>194.9</c:v>
                </c:pt>
                <c:pt idx="1179">
                  <c:v>193.6</c:v>
                </c:pt>
                <c:pt idx="1180">
                  <c:v>193.8</c:v>
                </c:pt>
                <c:pt idx="1181">
                  <c:v>195.4</c:v>
                </c:pt>
                <c:pt idx="1182">
                  <c:v>194.8</c:v>
                </c:pt>
                <c:pt idx="1183">
                  <c:v>187.5</c:v>
                </c:pt>
                <c:pt idx="1184">
                  <c:v>187.4</c:v>
                </c:pt>
                <c:pt idx="1185">
                  <c:v>190</c:v>
                </c:pt>
                <c:pt idx="1187">
                  <c:v>198.7</c:v>
                </c:pt>
                <c:pt idx="1188">
                  <c:v>201.2</c:v>
                </c:pt>
                <c:pt idx="1189">
                  <c:v>200.3</c:v>
                </c:pt>
                <c:pt idx="1190">
                  <c:v>197.9</c:v>
                </c:pt>
                <c:pt idx="1191">
                  <c:v>194.8</c:v>
                </c:pt>
                <c:pt idx="1192">
                  <c:v>195.4</c:v>
                </c:pt>
                <c:pt idx="1193">
                  <c:v>198.7</c:v>
                </c:pt>
                <c:pt idx="1195">
                  <c:v>220.8</c:v>
                </c:pt>
                <c:pt idx="1196">
                  <c:v>219.6</c:v>
                </c:pt>
                <c:pt idx="1197">
                  <c:v>221.1</c:v>
                </c:pt>
                <c:pt idx="1198">
                  <c:v>218.9</c:v>
                </c:pt>
                <c:pt idx="1199">
                  <c:v>221.4</c:v>
                </c:pt>
                <c:pt idx="1200">
                  <c:v>219.2</c:v>
                </c:pt>
                <c:pt idx="1201">
                  <c:v>223.3</c:v>
                </c:pt>
                <c:pt idx="1202">
                  <c:v>223.5</c:v>
                </c:pt>
                <c:pt idx="1203">
                  <c:v>218.5</c:v>
                </c:pt>
                <c:pt idx="1204">
                  <c:v>218.4</c:v>
                </c:pt>
                <c:pt idx="1205">
                  <c:v>212.7</c:v>
                </c:pt>
                <c:pt idx="1206">
                  <c:v>209.6</c:v>
                </c:pt>
                <c:pt idx="1207">
                  <c:v>202.1</c:v>
                </c:pt>
                <c:pt idx="1208">
                  <c:v>201.2</c:v>
                </c:pt>
                <c:pt idx="1209">
                  <c:v>196.8</c:v>
                </c:pt>
                <c:pt idx="1210">
                  <c:v>193.6</c:v>
                </c:pt>
                <c:pt idx="1211">
                  <c:v>194.5</c:v>
                </c:pt>
                <c:pt idx="1212">
                  <c:v>190.7</c:v>
                </c:pt>
                <c:pt idx="1213">
                  <c:v>197</c:v>
                </c:pt>
                <c:pt idx="1214">
                  <c:v>199.8</c:v>
                </c:pt>
                <c:pt idx="1215">
                  <c:v>201.6</c:v>
                </c:pt>
                <c:pt idx="1216">
                  <c:v>204.8</c:v>
                </c:pt>
                <c:pt idx="1217">
                  <c:v>209.7</c:v>
                </c:pt>
                <c:pt idx="1218">
                  <c:v>210.1</c:v>
                </c:pt>
                <c:pt idx="1219">
                  <c:v>213.1</c:v>
                </c:pt>
                <c:pt idx="1220">
                  <c:v>213.9</c:v>
                </c:pt>
                <c:pt idx="1221">
                  <c:v>217.6</c:v>
                </c:pt>
                <c:pt idx="1222">
                  <c:v>220.8</c:v>
                </c:pt>
                <c:pt idx="1224">
                  <c:v>215.6</c:v>
                </c:pt>
                <c:pt idx="1225">
                  <c:v>218</c:v>
                </c:pt>
                <c:pt idx="1226">
                  <c:v>218.4</c:v>
                </c:pt>
                <c:pt idx="1227">
                  <c:v>223.6</c:v>
                </c:pt>
                <c:pt idx="1228">
                  <c:v>222.8</c:v>
                </c:pt>
                <c:pt idx="1229">
                  <c:v>219.5</c:v>
                </c:pt>
                <c:pt idx="1230">
                  <c:v>215.3</c:v>
                </c:pt>
                <c:pt idx="1231">
                  <c:v>214</c:v>
                </c:pt>
                <c:pt idx="1232">
                  <c:v>210.5</c:v>
                </c:pt>
                <c:pt idx="1233">
                  <c:v>214.3</c:v>
                </c:pt>
                <c:pt idx="1234">
                  <c:v>215.6</c:v>
                </c:pt>
                <c:pt idx="1236">
                  <c:v>199.6</c:v>
                </c:pt>
                <c:pt idx="1237">
                  <c:v>200.9</c:v>
                </c:pt>
                <c:pt idx="1238">
                  <c:v>199</c:v>
                </c:pt>
                <c:pt idx="1239">
                  <c:v>201.9</c:v>
                </c:pt>
                <c:pt idx="1240">
                  <c:v>204.7</c:v>
                </c:pt>
                <c:pt idx="1241">
                  <c:v>203.6</c:v>
                </c:pt>
                <c:pt idx="1242">
                  <c:v>201.3</c:v>
                </c:pt>
                <c:pt idx="1243">
                  <c:v>196.3</c:v>
                </c:pt>
                <c:pt idx="1244">
                  <c:v>194</c:v>
                </c:pt>
                <c:pt idx="1245">
                  <c:v>196.2</c:v>
                </c:pt>
                <c:pt idx="1246">
                  <c:v>196.1</c:v>
                </c:pt>
                <c:pt idx="1247">
                  <c:v>198.2</c:v>
                </c:pt>
                <c:pt idx="1248">
                  <c:v>199.6</c:v>
                </c:pt>
                <c:pt idx="1250">
                  <c:v>173.8</c:v>
                </c:pt>
                <c:pt idx="1251">
                  <c:v>177.1</c:v>
                </c:pt>
                <c:pt idx="1252">
                  <c:v>178.2</c:v>
                </c:pt>
                <c:pt idx="1253">
                  <c:v>178.6</c:v>
                </c:pt>
                <c:pt idx="1254">
                  <c:v>177.7</c:v>
                </c:pt>
                <c:pt idx="1255">
                  <c:v>178.7</c:v>
                </c:pt>
                <c:pt idx="1256">
                  <c:v>179.1</c:v>
                </c:pt>
                <c:pt idx="1257">
                  <c:v>178.6</c:v>
                </c:pt>
                <c:pt idx="1258">
                  <c:v>177.6</c:v>
                </c:pt>
                <c:pt idx="1259">
                  <c:v>177.3</c:v>
                </c:pt>
                <c:pt idx="1260">
                  <c:v>176.9</c:v>
                </c:pt>
                <c:pt idx="1261">
                  <c:v>174</c:v>
                </c:pt>
                <c:pt idx="1262">
                  <c:v>176.3</c:v>
                </c:pt>
                <c:pt idx="1263">
                  <c:v>174.6</c:v>
                </c:pt>
                <c:pt idx="1264">
                  <c:v>175.1</c:v>
                </c:pt>
                <c:pt idx="1265">
                  <c:v>172.9</c:v>
                </c:pt>
                <c:pt idx="1266">
                  <c:v>171.7</c:v>
                </c:pt>
                <c:pt idx="1267">
                  <c:v>170.2</c:v>
                </c:pt>
                <c:pt idx="1268">
                  <c:v>171.2</c:v>
                </c:pt>
                <c:pt idx="1269">
                  <c:v>170.1</c:v>
                </c:pt>
                <c:pt idx="1270">
                  <c:v>172.3</c:v>
                </c:pt>
                <c:pt idx="1271">
                  <c:v>169.1</c:v>
                </c:pt>
                <c:pt idx="1272">
                  <c:v>171.6</c:v>
                </c:pt>
                <c:pt idx="1273">
                  <c:v>172.5</c:v>
                </c:pt>
                <c:pt idx="1274">
                  <c:v>176.3</c:v>
                </c:pt>
                <c:pt idx="1275">
                  <c:v>173.8</c:v>
                </c:pt>
                <c:pt idx="1277">
                  <c:v>195.1</c:v>
                </c:pt>
                <c:pt idx="1278">
                  <c:v>196.1</c:v>
                </c:pt>
                <c:pt idx="1279">
                  <c:v>196.1</c:v>
                </c:pt>
                <c:pt idx="1280">
                  <c:v>189.7</c:v>
                </c:pt>
                <c:pt idx="1281">
                  <c:v>185.3</c:v>
                </c:pt>
                <c:pt idx="1282">
                  <c:v>189.1</c:v>
                </c:pt>
                <c:pt idx="1283">
                  <c:v>191.2</c:v>
                </c:pt>
                <c:pt idx="1284">
                  <c:v>192.1</c:v>
                </c:pt>
                <c:pt idx="1285">
                  <c:v>195.1</c:v>
                </c:pt>
                <c:pt idx="1287">
                  <c:v>203.9</c:v>
                </c:pt>
                <c:pt idx="1288">
                  <c:v>201.9</c:v>
                </c:pt>
                <c:pt idx="1289">
                  <c:v>204.8</c:v>
                </c:pt>
                <c:pt idx="1290">
                  <c:v>206.1</c:v>
                </c:pt>
                <c:pt idx="1291">
                  <c:v>208.5</c:v>
                </c:pt>
                <c:pt idx="1292">
                  <c:v>209.5</c:v>
                </c:pt>
                <c:pt idx="1293">
                  <c:v>208.6</c:v>
                </c:pt>
                <c:pt idx="1294">
                  <c:v>206.4</c:v>
                </c:pt>
                <c:pt idx="1295">
                  <c:v>205.4</c:v>
                </c:pt>
                <c:pt idx="1296">
                  <c:v>201.7</c:v>
                </c:pt>
                <c:pt idx="1297">
                  <c:v>201.2</c:v>
                </c:pt>
                <c:pt idx="1298">
                  <c:v>200</c:v>
                </c:pt>
                <c:pt idx="1299">
                  <c:v>197.2</c:v>
                </c:pt>
                <c:pt idx="1300">
                  <c:v>189</c:v>
                </c:pt>
                <c:pt idx="1301">
                  <c:v>191.7</c:v>
                </c:pt>
                <c:pt idx="1302">
                  <c:v>193.9</c:v>
                </c:pt>
                <c:pt idx="1303">
                  <c:v>194.3</c:v>
                </c:pt>
                <c:pt idx="1304">
                  <c:v>197.2</c:v>
                </c:pt>
                <c:pt idx="1305">
                  <c:v>196.1</c:v>
                </c:pt>
                <c:pt idx="1306">
                  <c:v>200.2</c:v>
                </c:pt>
                <c:pt idx="1307">
                  <c:v>202.2</c:v>
                </c:pt>
                <c:pt idx="1308">
                  <c:v>203.9</c:v>
                </c:pt>
                <c:pt idx="1310">
                  <c:v>193.5</c:v>
                </c:pt>
                <c:pt idx="1311">
                  <c:v>195.7</c:v>
                </c:pt>
                <c:pt idx="1312">
                  <c:v>197.2</c:v>
                </c:pt>
                <c:pt idx="1313">
                  <c:v>194.3</c:v>
                </c:pt>
                <c:pt idx="1314">
                  <c:v>193.9</c:v>
                </c:pt>
                <c:pt idx="1315">
                  <c:v>191.7</c:v>
                </c:pt>
                <c:pt idx="1316">
                  <c:v>188.3</c:v>
                </c:pt>
                <c:pt idx="1317">
                  <c:v>186.6</c:v>
                </c:pt>
                <c:pt idx="1318">
                  <c:v>190.2</c:v>
                </c:pt>
                <c:pt idx="1319">
                  <c:v>190.3</c:v>
                </c:pt>
                <c:pt idx="1320">
                  <c:v>192</c:v>
                </c:pt>
                <c:pt idx="1321">
                  <c:v>193.5</c:v>
                </c:pt>
                <c:pt idx="1323">
                  <c:v>190.2</c:v>
                </c:pt>
                <c:pt idx="1324">
                  <c:v>190.2</c:v>
                </c:pt>
                <c:pt idx="1325">
                  <c:v>186.6</c:v>
                </c:pt>
                <c:pt idx="1326">
                  <c:v>181.2</c:v>
                </c:pt>
                <c:pt idx="1327">
                  <c:v>181.4</c:v>
                </c:pt>
                <c:pt idx="1328">
                  <c:v>182.9</c:v>
                </c:pt>
                <c:pt idx="1329">
                  <c:v>186</c:v>
                </c:pt>
                <c:pt idx="1330">
                  <c:v>190.2</c:v>
                </c:pt>
                <c:pt idx="1332">
                  <c:v>210.4</c:v>
                </c:pt>
                <c:pt idx="1333">
                  <c:v>211.3</c:v>
                </c:pt>
                <c:pt idx="1334">
                  <c:v>213</c:v>
                </c:pt>
                <c:pt idx="1335">
                  <c:v>214.1</c:v>
                </c:pt>
                <c:pt idx="1336">
                  <c:v>213.4</c:v>
                </c:pt>
                <c:pt idx="1337">
                  <c:v>208.5</c:v>
                </c:pt>
                <c:pt idx="1338">
                  <c:v>206.7</c:v>
                </c:pt>
                <c:pt idx="1339">
                  <c:v>206.8</c:v>
                </c:pt>
                <c:pt idx="1340">
                  <c:v>210.4</c:v>
                </c:pt>
                <c:pt idx="1342">
                  <c:v>222.8</c:v>
                </c:pt>
                <c:pt idx="1343">
                  <c:v>223</c:v>
                </c:pt>
                <c:pt idx="1344">
                  <c:v>224.9</c:v>
                </c:pt>
                <c:pt idx="1345">
                  <c:v>219.2</c:v>
                </c:pt>
                <c:pt idx="1346">
                  <c:v>219.7</c:v>
                </c:pt>
                <c:pt idx="1347">
                  <c:v>222.8</c:v>
                </c:pt>
                <c:pt idx="1349">
                  <c:v>233.9</c:v>
                </c:pt>
                <c:pt idx="1350">
                  <c:v>238</c:v>
                </c:pt>
                <c:pt idx="1351">
                  <c:v>243.3</c:v>
                </c:pt>
                <c:pt idx="1352">
                  <c:v>235.6</c:v>
                </c:pt>
                <c:pt idx="1353">
                  <c:v>227.7</c:v>
                </c:pt>
                <c:pt idx="1354">
                  <c:v>224.1</c:v>
                </c:pt>
                <c:pt idx="1355">
                  <c:v>222.8</c:v>
                </c:pt>
                <c:pt idx="1356">
                  <c:v>218.3</c:v>
                </c:pt>
                <c:pt idx="1357">
                  <c:v>218.4</c:v>
                </c:pt>
                <c:pt idx="1358">
                  <c:v>217</c:v>
                </c:pt>
                <c:pt idx="1359">
                  <c:v>219.5</c:v>
                </c:pt>
                <c:pt idx="1360">
                  <c:v>222.8</c:v>
                </c:pt>
                <c:pt idx="1361">
                  <c:v>224.5</c:v>
                </c:pt>
                <c:pt idx="1362">
                  <c:v>228.4</c:v>
                </c:pt>
                <c:pt idx="1363">
                  <c:v>229.7</c:v>
                </c:pt>
                <c:pt idx="1364">
                  <c:v>233.3</c:v>
                </c:pt>
                <c:pt idx="1365">
                  <c:v>233.9</c:v>
                </c:pt>
                <c:pt idx="1367">
                  <c:v>213.6</c:v>
                </c:pt>
                <c:pt idx="1368">
                  <c:v>215.6</c:v>
                </c:pt>
                <c:pt idx="1369">
                  <c:v>216.2</c:v>
                </c:pt>
                <c:pt idx="1370">
                  <c:v>218.6</c:v>
                </c:pt>
                <c:pt idx="1371">
                  <c:v>217.6</c:v>
                </c:pt>
                <c:pt idx="1372">
                  <c:v>213.9</c:v>
                </c:pt>
                <c:pt idx="1373">
                  <c:v>212.2</c:v>
                </c:pt>
                <c:pt idx="1374">
                  <c:v>209.6</c:v>
                </c:pt>
                <c:pt idx="1375">
                  <c:v>210.7</c:v>
                </c:pt>
                <c:pt idx="1376">
                  <c:v>213.6</c:v>
                </c:pt>
                <c:pt idx="1378">
                  <c:v>190.7</c:v>
                </c:pt>
                <c:pt idx="1379">
                  <c:v>191.8</c:v>
                </c:pt>
                <c:pt idx="1380">
                  <c:v>191.4</c:v>
                </c:pt>
                <c:pt idx="1381">
                  <c:v>191.1</c:v>
                </c:pt>
                <c:pt idx="1382">
                  <c:v>188</c:v>
                </c:pt>
                <c:pt idx="1383">
                  <c:v>190.6</c:v>
                </c:pt>
                <c:pt idx="1384">
                  <c:v>195.8</c:v>
                </c:pt>
                <c:pt idx="1385">
                  <c:v>196.6</c:v>
                </c:pt>
                <c:pt idx="1386">
                  <c:v>199.2</c:v>
                </c:pt>
                <c:pt idx="1387">
                  <c:v>199.6</c:v>
                </c:pt>
                <c:pt idx="1388">
                  <c:v>197.4</c:v>
                </c:pt>
                <c:pt idx="1389">
                  <c:v>194.6</c:v>
                </c:pt>
                <c:pt idx="1390">
                  <c:v>192.1</c:v>
                </c:pt>
                <c:pt idx="1391">
                  <c:v>191.2</c:v>
                </c:pt>
                <c:pt idx="1392">
                  <c:v>189.1</c:v>
                </c:pt>
                <c:pt idx="1393">
                  <c:v>185.3</c:v>
                </c:pt>
                <c:pt idx="1394">
                  <c:v>181.2</c:v>
                </c:pt>
                <c:pt idx="1395">
                  <c:v>176.3</c:v>
                </c:pt>
                <c:pt idx="1396">
                  <c:v>183</c:v>
                </c:pt>
                <c:pt idx="1397">
                  <c:v>182.7</c:v>
                </c:pt>
                <c:pt idx="1398">
                  <c:v>186.5</c:v>
                </c:pt>
                <c:pt idx="1399">
                  <c:v>187.4</c:v>
                </c:pt>
                <c:pt idx="1400">
                  <c:v>187.6</c:v>
                </c:pt>
                <c:pt idx="1401">
                  <c:v>190.7</c:v>
                </c:pt>
                <c:pt idx="1403">
                  <c:v>204.9</c:v>
                </c:pt>
                <c:pt idx="1404">
                  <c:v>206.6</c:v>
                </c:pt>
                <c:pt idx="1405">
                  <c:v>204.1</c:v>
                </c:pt>
                <c:pt idx="1406">
                  <c:v>199</c:v>
                </c:pt>
                <c:pt idx="1407">
                  <c:v>202.3</c:v>
                </c:pt>
                <c:pt idx="1408">
                  <c:v>204.9</c:v>
                </c:pt>
                <c:pt idx="1410">
                  <c:v>214</c:v>
                </c:pt>
                <c:pt idx="1411">
                  <c:v>210.8</c:v>
                </c:pt>
                <c:pt idx="1412">
                  <c:v>207.5</c:v>
                </c:pt>
                <c:pt idx="1413">
                  <c:v>206.7</c:v>
                </c:pt>
                <c:pt idx="1414">
                  <c:v>204</c:v>
                </c:pt>
                <c:pt idx="1415">
                  <c:v>208.8</c:v>
                </c:pt>
                <c:pt idx="1416">
                  <c:v>214</c:v>
                </c:pt>
                <c:pt idx="1418">
                  <c:v>226.2</c:v>
                </c:pt>
                <c:pt idx="1419">
                  <c:v>234.9</c:v>
                </c:pt>
                <c:pt idx="1420">
                  <c:v>232.3</c:v>
                </c:pt>
                <c:pt idx="1421">
                  <c:v>231.4</c:v>
                </c:pt>
                <c:pt idx="1422">
                  <c:v>225.6</c:v>
                </c:pt>
                <c:pt idx="1423">
                  <c:v>224.9</c:v>
                </c:pt>
                <c:pt idx="1424">
                  <c:v>222.6</c:v>
                </c:pt>
                <c:pt idx="1425">
                  <c:v>224.1</c:v>
                </c:pt>
                <c:pt idx="1426">
                  <c:v>222.3</c:v>
                </c:pt>
                <c:pt idx="1427">
                  <c:v>224.3</c:v>
                </c:pt>
                <c:pt idx="1428">
                  <c:v>226.1</c:v>
                </c:pt>
                <c:pt idx="1429">
                  <c:v>224.8</c:v>
                </c:pt>
                <c:pt idx="1430">
                  <c:v>226.2</c:v>
                </c:pt>
                <c:pt idx="1432">
                  <c:v>230.9</c:v>
                </c:pt>
                <c:pt idx="1433">
                  <c:v>234.8</c:v>
                </c:pt>
                <c:pt idx="1434">
                  <c:v>234.4</c:v>
                </c:pt>
                <c:pt idx="1435">
                  <c:v>239.7</c:v>
                </c:pt>
                <c:pt idx="1436">
                  <c:v>238.9</c:v>
                </c:pt>
                <c:pt idx="1437">
                  <c:v>242.4</c:v>
                </c:pt>
                <c:pt idx="1438">
                  <c:v>242.6</c:v>
                </c:pt>
                <c:pt idx="1439">
                  <c:v>246</c:v>
                </c:pt>
                <c:pt idx="1440">
                  <c:v>246</c:v>
                </c:pt>
                <c:pt idx="1441">
                  <c:v>247.4</c:v>
                </c:pt>
                <c:pt idx="1442">
                  <c:v>246.3</c:v>
                </c:pt>
                <c:pt idx="1443">
                  <c:v>244.1</c:v>
                </c:pt>
                <c:pt idx="1444">
                  <c:v>240.8</c:v>
                </c:pt>
                <c:pt idx="1445">
                  <c:v>238.6</c:v>
                </c:pt>
                <c:pt idx="1446">
                  <c:v>236.9</c:v>
                </c:pt>
                <c:pt idx="1447">
                  <c:v>233.1</c:v>
                </c:pt>
                <c:pt idx="1448">
                  <c:v>231.9</c:v>
                </c:pt>
                <c:pt idx="1449">
                  <c:v>228.2</c:v>
                </c:pt>
                <c:pt idx="1450">
                  <c:v>226.3</c:v>
                </c:pt>
                <c:pt idx="1451">
                  <c:v>220.8</c:v>
                </c:pt>
                <c:pt idx="1452">
                  <c:v>219.6</c:v>
                </c:pt>
                <c:pt idx="1453">
                  <c:v>221.6</c:v>
                </c:pt>
                <c:pt idx="1454">
                  <c:v>224.1</c:v>
                </c:pt>
                <c:pt idx="1455">
                  <c:v>223.1</c:v>
                </c:pt>
                <c:pt idx="1456">
                  <c:v>225.3</c:v>
                </c:pt>
                <c:pt idx="1457">
                  <c:v>225.3</c:v>
                </c:pt>
                <c:pt idx="1458">
                  <c:v>222</c:v>
                </c:pt>
                <c:pt idx="1459">
                  <c:v>222.4</c:v>
                </c:pt>
                <c:pt idx="1460">
                  <c:v>226.8</c:v>
                </c:pt>
                <c:pt idx="1461">
                  <c:v>227.7</c:v>
                </c:pt>
                <c:pt idx="1462">
                  <c:v>229</c:v>
                </c:pt>
                <c:pt idx="1463">
                  <c:v>230.9</c:v>
                </c:pt>
                <c:pt idx="1465">
                  <c:v>222</c:v>
                </c:pt>
                <c:pt idx="1466">
                  <c:v>224.9</c:v>
                </c:pt>
                <c:pt idx="1467">
                  <c:v>225.3</c:v>
                </c:pt>
                <c:pt idx="1468">
                  <c:v>223.1</c:v>
                </c:pt>
                <c:pt idx="1469">
                  <c:v>223.1</c:v>
                </c:pt>
                <c:pt idx="1470">
                  <c:v>217.7</c:v>
                </c:pt>
                <c:pt idx="1471">
                  <c:v>215.7</c:v>
                </c:pt>
                <c:pt idx="1472">
                  <c:v>217.5</c:v>
                </c:pt>
                <c:pt idx="1473">
                  <c:v>216.6</c:v>
                </c:pt>
                <c:pt idx="1474">
                  <c:v>215.7</c:v>
                </c:pt>
                <c:pt idx="1475">
                  <c:v>217.8</c:v>
                </c:pt>
                <c:pt idx="1476">
                  <c:v>218.6</c:v>
                </c:pt>
                <c:pt idx="1477">
                  <c:v>222</c:v>
                </c:pt>
                <c:pt idx="1479">
                  <c:v>214.8</c:v>
                </c:pt>
                <c:pt idx="1480">
                  <c:v>220.2</c:v>
                </c:pt>
                <c:pt idx="1481">
                  <c:v>222.1</c:v>
                </c:pt>
                <c:pt idx="1482">
                  <c:v>222.5</c:v>
                </c:pt>
                <c:pt idx="1483">
                  <c:v>218.6</c:v>
                </c:pt>
                <c:pt idx="1484">
                  <c:v>217.8</c:v>
                </c:pt>
                <c:pt idx="1485">
                  <c:v>215.3</c:v>
                </c:pt>
                <c:pt idx="1486">
                  <c:v>211.4</c:v>
                </c:pt>
                <c:pt idx="1487">
                  <c:v>212.4</c:v>
                </c:pt>
                <c:pt idx="1488">
                  <c:v>214.8</c:v>
                </c:pt>
                <c:pt idx="1490">
                  <c:v>209.1</c:v>
                </c:pt>
                <c:pt idx="1491">
                  <c:v>211.5</c:v>
                </c:pt>
                <c:pt idx="1492">
                  <c:v>205.6</c:v>
                </c:pt>
                <c:pt idx="1493">
                  <c:v>204.5</c:v>
                </c:pt>
                <c:pt idx="1494">
                  <c:v>202.3</c:v>
                </c:pt>
                <c:pt idx="1495">
                  <c:v>201.4</c:v>
                </c:pt>
                <c:pt idx="1496">
                  <c:v>201.6</c:v>
                </c:pt>
                <c:pt idx="1497">
                  <c:v>204.6</c:v>
                </c:pt>
                <c:pt idx="1498">
                  <c:v>203.9</c:v>
                </c:pt>
                <c:pt idx="1499">
                  <c:v>200.2</c:v>
                </c:pt>
                <c:pt idx="1500">
                  <c:v>197.4</c:v>
                </c:pt>
                <c:pt idx="1501">
                  <c:v>193.7</c:v>
                </c:pt>
                <c:pt idx="1502">
                  <c:v>192.3</c:v>
                </c:pt>
                <c:pt idx="1503">
                  <c:v>190.2</c:v>
                </c:pt>
                <c:pt idx="1504">
                  <c:v>186</c:v>
                </c:pt>
                <c:pt idx="1505">
                  <c:v>182.9</c:v>
                </c:pt>
                <c:pt idx="1506">
                  <c:v>181.5</c:v>
                </c:pt>
                <c:pt idx="1507">
                  <c:v>182</c:v>
                </c:pt>
                <c:pt idx="1508">
                  <c:v>180.5</c:v>
                </c:pt>
                <c:pt idx="1509">
                  <c:v>181.2</c:v>
                </c:pt>
                <c:pt idx="1510">
                  <c:v>180.2</c:v>
                </c:pt>
                <c:pt idx="1511">
                  <c:v>183.1</c:v>
                </c:pt>
                <c:pt idx="1512">
                  <c:v>181.4</c:v>
                </c:pt>
                <c:pt idx="1513">
                  <c:v>182.2</c:v>
                </c:pt>
                <c:pt idx="1514">
                  <c:v>180.8</c:v>
                </c:pt>
                <c:pt idx="1515">
                  <c:v>181.2</c:v>
                </c:pt>
                <c:pt idx="1516">
                  <c:v>184.1</c:v>
                </c:pt>
                <c:pt idx="1517">
                  <c:v>187</c:v>
                </c:pt>
                <c:pt idx="1518">
                  <c:v>192.2</c:v>
                </c:pt>
                <c:pt idx="1519">
                  <c:v>194.3</c:v>
                </c:pt>
                <c:pt idx="1520">
                  <c:v>196.8</c:v>
                </c:pt>
                <c:pt idx="1521">
                  <c:v>200.1</c:v>
                </c:pt>
                <c:pt idx="1522">
                  <c:v>200.9</c:v>
                </c:pt>
                <c:pt idx="1523">
                  <c:v>204.6</c:v>
                </c:pt>
                <c:pt idx="1524">
                  <c:v>209.1</c:v>
                </c:pt>
                <c:pt idx="1526">
                  <c:v>251.4</c:v>
                </c:pt>
                <c:pt idx="1527">
                  <c:v>257.8</c:v>
                </c:pt>
                <c:pt idx="1528">
                  <c:v>255.3</c:v>
                </c:pt>
                <c:pt idx="1529">
                  <c:v>259.89999999999998</c:v>
                </c:pt>
                <c:pt idx="1530">
                  <c:v>260.2</c:v>
                </c:pt>
                <c:pt idx="1531">
                  <c:v>262.10000000000002</c:v>
                </c:pt>
                <c:pt idx="1532">
                  <c:v>263.8</c:v>
                </c:pt>
                <c:pt idx="1533">
                  <c:v>265.39999999999998</c:v>
                </c:pt>
                <c:pt idx="1534">
                  <c:v>265.5</c:v>
                </c:pt>
                <c:pt idx="1535">
                  <c:v>262.10000000000002</c:v>
                </c:pt>
                <c:pt idx="1536">
                  <c:v>262.89999999999998</c:v>
                </c:pt>
                <c:pt idx="1537">
                  <c:v>260.60000000000002</c:v>
                </c:pt>
                <c:pt idx="1538">
                  <c:v>258.7</c:v>
                </c:pt>
                <c:pt idx="1539">
                  <c:v>255.3</c:v>
                </c:pt>
                <c:pt idx="1540">
                  <c:v>252.7</c:v>
                </c:pt>
                <c:pt idx="1541">
                  <c:v>255.2</c:v>
                </c:pt>
                <c:pt idx="1542">
                  <c:v>253.7</c:v>
                </c:pt>
                <c:pt idx="1543">
                  <c:v>246.3</c:v>
                </c:pt>
                <c:pt idx="1544">
                  <c:v>245.9</c:v>
                </c:pt>
                <c:pt idx="1545">
                  <c:v>242.6</c:v>
                </c:pt>
                <c:pt idx="1546">
                  <c:v>242.4</c:v>
                </c:pt>
                <c:pt idx="1547">
                  <c:v>238.9</c:v>
                </c:pt>
                <c:pt idx="1548">
                  <c:v>240.5</c:v>
                </c:pt>
                <c:pt idx="1549">
                  <c:v>239.8</c:v>
                </c:pt>
                <c:pt idx="1550">
                  <c:v>241.8</c:v>
                </c:pt>
                <c:pt idx="1551">
                  <c:v>245.4</c:v>
                </c:pt>
                <c:pt idx="1552">
                  <c:v>248.7</c:v>
                </c:pt>
                <c:pt idx="1553">
                  <c:v>251.4</c:v>
                </c:pt>
                <c:pt idx="1555">
                  <c:v>233.6</c:v>
                </c:pt>
                <c:pt idx="1556">
                  <c:v>237</c:v>
                </c:pt>
                <c:pt idx="1557">
                  <c:v>238.6</c:v>
                </c:pt>
                <c:pt idx="1558">
                  <c:v>240.8</c:v>
                </c:pt>
                <c:pt idx="1559">
                  <c:v>244.1</c:v>
                </c:pt>
                <c:pt idx="1560">
                  <c:v>246.3</c:v>
                </c:pt>
                <c:pt idx="1561">
                  <c:v>247.1</c:v>
                </c:pt>
                <c:pt idx="1562">
                  <c:v>246.1</c:v>
                </c:pt>
                <c:pt idx="1563">
                  <c:v>247.9</c:v>
                </c:pt>
                <c:pt idx="1564">
                  <c:v>253.6</c:v>
                </c:pt>
                <c:pt idx="1565">
                  <c:v>255.1</c:v>
                </c:pt>
                <c:pt idx="1566">
                  <c:v>254.3</c:v>
                </c:pt>
                <c:pt idx="1567">
                  <c:v>251</c:v>
                </c:pt>
                <c:pt idx="1568">
                  <c:v>249.1</c:v>
                </c:pt>
                <c:pt idx="1569">
                  <c:v>244.4</c:v>
                </c:pt>
                <c:pt idx="1570">
                  <c:v>243.7</c:v>
                </c:pt>
                <c:pt idx="1571">
                  <c:v>245.1</c:v>
                </c:pt>
                <c:pt idx="1572">
                  <c:v>242.9</c:v>
                </c:pt>
                <c:pt idx="1573">
                  <c:v>240.6</c:v>
                </c:pt>
                <c:pt idx="1574">
                  <c:v>235.9</c:v>
                </c:pt>
                <c:pt idx="1575">
                  <c:v>236.5</c:v>
                </c:pt>
                <c:pt idx="1576">
                  <c:v>235.2</c:v>
                </c:pt>
                <c:pt idx="1577">
                  <c:v>232.1</c:v>
                </c:pt>
                <c:pt idx="1578">
                  <c:v>228.4</c:v>
                </c:pt>
                <c:pt idx="1579">
                  <c:v>227.8</c:v>
                </c:pt>
                <c:pt idx="1580">
                  <c:v>225.6</c:v>
                </c:pt>
                <c:pt idx="1581">
                  <c:v>220.6</c:v>
                </c:pt>
                <c:pt idx="1582">
                  <c:v>223.5</c:v>
                </c:pt>
                <c:pt idx="1583">
                  <c:v>223.4</c:v>
                </c:pt>
                <c:pt idx="1584">
                  <c:v>219.9</c:v>
                </c:pt>
                <c:pt idx="1585">
                  <c:v>219.3</c:v>
                </c:pt>
                <c:pt idx="1586">
                  <c:v>221.4</c:v>
                </c:pt>
                <c:pt idx="1587">
                  <c:v>218.9</c:v>
                </c:pt>
                <c:pt idx="1588">
                  <c:v>220.9</c:v>
                </c:pt>
                <c:pt idx="1589">
                  <c:v>220.8</c:v>
                </c:pt>
                <c:pt idx="1590">
                  <c:v>226.3</c:v>
                </c:pt>
                <c:pt idx="1591">
                  <c:v>228.2</c:v>
                </c:pt>
                <c:pt idx="1592">
                  <c:v>231.9</c:v>
                </c:pt>
                <c:pt idx="1593">
                  <c:v>231.9</c:v>
                </c:pt>
                <c:pt idx="1594">
                  <c:v>233.6</c:v>
                </c:pt>
                <c:pt idx="1596">
                  <c:v>172.8</c:v>
                </c:pt>
                <c:pt idx="1597">
                  <c:v>180.5</c:v>
                </c:pt>
                <c:pt idx="1598">
                  <c:v>182</c:v>
                </c:pt>
                <c:pt idx="1599">
                  <c:v>181.4</c:v>
                </c:pt>
                <c:pt idx="1600">
                  <c:v>192.7</c:v>
                </c:pt>
                <c:pt idx="1601">
                  <c:v>191.9</c:v>
                </c:pt>
                <c:pt idx="1602">
                  <c:v>188.3</c:v>
                </c:pt>
                <c:pt idx="1603">
                  <c:v>180</c:v>
                </c:pt>
                <c:pt idx="1604">
                  <c:v>177.3</c:v>
                </c:pt>
                <c:pt idx="1605">
                  <c:v>174.3</c:v>
                </c:pt>
                <c:pt idx="1606">
                  <c:v>171.5</c:v>
                </c:pt>
                <c:pt idx="1607">
                  <c:v>169</c:v>
                </c:pt>
                <c:pt idx="1608">
                  <c:v>170.1</c:v>
                </c:pt>
                <c:pt idx="1609">
                  <c:v>168.6</c:v>
                </c:pt>
                <c:pt idx="1610">
                  <c:v>169</c:v>
                </c:pt>
                <c:pt idx="1611">
                  <c:v>167.7</c:v>
                </c:pt>
                <c:pt idx="1612">
                  <c:v>168.2</c:v>
                </c:pt>
                <c:pt idx="1613">
                  <c:v>172.8</c:v>
                </c:pt>
                <c:pt idx="1615">
                  <c:v>187.5</c:v>
                </c:pt>
                <c:pt idx="1616">
                  <c:v>188.7</c:v>
                </c:pt>
                <c:pt idx="1617">
                  <c:v>181.5</c:v>
                </c:pt>
                <c:pt idx="1618">
                  <c:v>182</c:v>
                </c:pt>
                <c:pt idx="1619">
                  <c:v>180.3</c:v>
                </c:pt>
                <c:pt idx="1620">
                  <c:v>183.4</c:v>
                </c:pt>
                <c:pt idx="1621">
                  <c:v>182.2</c:v>
                </c:pt>
                <c:pt idx="1622">
                  <c:v>179.4</c:v>
                </c:pt>
                <c:pt idx="1623">
                  <c:v>179.7</c:v>
                </c:pt>
                <c:pt idx="1624">
                  <c:v>181.1</c:v>
                </c:pt>
                <c:pt idx="1625">
                  <c:v>179.3</c:v>
                </c:pt>
                <c:pt idx="1626">
                  <c:v>179.7</c:v>
                </c:pt>
                <c:pt idx="1627">
                  <c:v>177.9</c:v>
                </c:pt>
                <c:pt idx="1628">
                  <c:v>179.1</c:v>
                </c:pt>
                <c:pt idx="1629">
                  <c:v>180.4</c:v>
                </c:pt>
                <c:pt idx="1630">
                  <c:v>177.9</c:v>
                </c:pt>
                <c:pt idx="1631">
                  <c:v>182.4</c:v>
                </c:pt>
                <c:pt idx="1632">
                  <c:v>181.3</c:v>
                </c:pt>
                <c:pt idx="1633">
                  <c:v>182</c:v>
                </c:pt>
                <c:pt idx="1634">
                  <c:v>190.2</c:v>
                </c:pt>
                <c:pt idx="1635">
                  <c:v>191</c:v>
                </c:pt>
                <c:pt idx="1636">
                  <c:v>191.7</c:v>
                </c:pt>
                <c:pt idx="1637">
                  <c:v>193.5</c:v>
                </c:pt>
                <c:pt idx="1638">
                  <c:v>192.9</c:v>
                </c:pt>
                <c:pt idx="1639">
                  <c:v>196.8</c:v>
                </c:pt>
                <c:pt idx="1640">
                  <c:v>199.1</c:v>
                </c:pt>
                <c:pt idx="1641">
                  <c:v>198</c:v>
                </c:pt>
                <c:pt idx="1642">
                  <c:v>202.5</c:v>
                </c:pt>
                <c:pt idx="1643">
                  <c:v>207.5</c:v>
                </c:pt>
                <c:pt idx="1644">
                  <c:v>211.9</c:v>
                </c:pt>
                <c:pt idx="1645">
                  <c:v>213.6</c:v>
                </c:pt>
                <c:pt idx="1646">
                  <c:v>213.6</c:v>
                </c:pt>
                <c:pt idx="1647">
                  <c:v>215.9</c:v>
                </c:pt>
                <c:pt idx="1648">
                  <c:v>217.7</c:v>
                </c:pt>
                <c:pt idx="1649">
                  <c:v>223.3</c:v>
                </c:pt>
                <c:pt idx="1650">
                  <c:v>224.1</c:v>
                </c:pt>
                <c:pt idx="1651">
                  <c:v>221.6</c:v>
                </c:pt>
                <c:pt idx="1652">
                  <c:v>220.8</c:v>
                </c:pt>
                <c:pt idx="1653">
                  <c:v>219.1</c:v>
                </c:pt>
                <c:pt idx="1654">
                  <c:v>216.6</c:v>
                </c:pt>
                <c:pt idx="1655">
                  <c:v>215.6</c:v>
                </c:pt>
                <c:pt idx="1656">
                  <c:v>210.7</c:v>
                </c:pt>
                <c:pt idx="1657">
                  <c:v>209.6</c:v>
                </c:pt>
                <c:pt idx="1658">
                  <c:v>212.2</c:v>
                </c:pt>
                <c:pt idx="1659">
                  <c:v>213.1</c:v>
                </c:pt>
                <c:pt idx="1660">
                  <c:v>209.8</c:v>
                </c:pt>
                <c:pt idx="1661">
                  <c:v>209.7</c:v>
                </c:pt>
                <c:pt idx="1662">
                  <c:v>199.8</c:v>
                </c:pt>
                <c:pt idx="1663">
                  <c:v>196.2</c:v>
                </c:pt>
                <c:pt idx="1664">
                  <c:v>192.3</c:v>
                </c:pt>
                <c:pt idx="1665">
                  <c:v>191.6</c:v>
                </c:pt>
                <c:pt idx="1666">
                  <c:v>187.5</c:v>
                </c:pt>
                <c:pt idx="1668">
                  <c:v>241.1</c:v>
                </c:pt>
                <c:pt idx="1669">
                  <c:v>243.7</c:v>
                </c:pt>
                <c:pt idx="1670">
                  <c:v>242.6</c:v>
                </c:pt>
                <c:pt idx="1671">
                  <c:v>246.8</c:v>
                </c:pt>
                <c:pt idx="1672">
                  <c:v>248.8</c:v>
                </c:pt>
                <c:pt idx="1673">
                  <c:v>249</c:v>
                </c:pt>
                <c:pt idx="1674">
                  <c:v>245.4</c:v>
                </c:pt>
                <c:pt idx="1675">
                  <c:v>241.8</c:v>
                </c:pt>
                <c:pt idx="1676">
                  <c:v>239.8</c:v>
                </c:pt>
                <c:pt idx="1677">
                  <c:v>240.2</c:v>
                </c:pt>
                <c:pt idx="1678">
                  <c:v>236</c:v>
                </c:pt>
                <c:pt idx="1679">
                  <c:v>234.1</c:v>
                </c:pt>
                <c:pt idx="1680">
                  <c:v>234.8</c:v>
                </c:pt>
                <c:pt idx="1681">
                  <c:v>230.8</c:v>
                </c:pt>
                <c:pt idx="1682">
                  <c:v>229</c:v>
                </c:pt>
                <c:pt idx="1683">
                  <c:v>227.7</c:v>
                </c:pt>
                <c:pt idx="1684">
                  <c:v>226.8</c:v>
                </c:pt>
                <c:pt idx="1685">
                  <c:v>222.4</c:v>
                </c:pt>
                <c:pt idx="1686">
                  <c:v>221.6</c:v>
                </c:pt>
                <c:pt idx="1687">
                  <c:v>225.4</c:v>
                </c:pt>
                <c:pt idx="1688">
                  <c:v>224.7</c:v>
                </c:pt>
                <c:pt idx="1689">
                  <c:v>227</c:v>
                </c:pt>
                <c:pt idx="1690">
                  <c:v>225.6</c:v>
                </c:pt>
                <c:pt idx="1691">
                  <c:v>231.4</c:v>
                </c:pt>
                <c:pt idx="1692">
                  <c:v>232.3</c:v>
                </c:pt>
                <c:pt idx="1693">
                  <c:v>235</c:v>
                </c:pt>
                <c:pt idx="1694">
                  <c:v>235.8</c:v>
                </c:pt>
                <c:pt idx="1695">
                  <c:v>238.4</c:v>
                </c:pt>
                <c:pt idx="1696">
                  <c:v>241.1</c:v>
                </c:pt>
                <c:pt idx="1698">
                  <c:v>208.1</c:v>
                </c:pt>
                <c:pt idx="1699">
                  <c:v>210.1</c:v>
                </c:pt>
                <c:pt idx="1700">
                  <c:v>210.9</c:v>
                </c:pt>
                <c:pt idx="1701">
                  <c:v>214</c:v>
                </c:pt>
                <c:pt idx="1702">
                  <c:v>215.3</c:v>
                </c:pt>
                <c:pt idx="1703">
                  <c:v>219.4</c:v>
                </c:pt>
                <c:pt idx="1704">
                  <c:v>220.7</c:v>
                </c:pt>
                <c:pt idx="1705">
                  <c:v>219</c:v>
                </c:pt>
                <c:pt idx="1706">
                  <c:v>215.3</c:v>
                </c:pt>
                <c:pt idx="1707">
                  <c:v>210.2</c:v>
                </c:pt>
                <c:pt idx="1708">
                  <c:v>211.6</c:v>
                </c:pt>
                <c:pt idx="1709">
                  <c:v>210.8</c:v>
                </c:pt>
                <c:pt idx="1710">
                  <c:v>206.1</c:v>
                </c:pt>
                <c:pt idx="1711">
                  <c:v>205</c:v>
                </c:pt>
                <c:pt idx="1712">
                  <c:v>202.2</c:v>
                </c:pt>
                <c:pt idx="1713">
                  <c:v>204.6</c:v>
                </c:pt>
                <c:pt idx="1714">
                  <c:v>201.6</c:v>
                </c:pt>
                <c:pt idx="1715">
                  <c:v>201.4</c:v>
                </c:pt>
                <c:pt idx="1716">
                  <c:v>202.3</c:v>
                </c:pt>
                <c:pt idx="1717">
                  <c:v>204.5</c:v>
                </c:pt>
                <c:pt idx="1718">
                  <c:v>205.6</c:v>
                </c:pt>
                <c:pt idx="1719">
                  <c:v>208.1</c:v>
                </c:pt>
                <c:pt idx="1721">
                  <c:v>226.6</c:v>
                </c:pt>
                <c:pt idx="1722">
                  <c:v>226.6</c:v>
                </c:pt>
                <c:pt idx="1723">
                  <c:v>229.4</c:v>
                </c:pt>
                <c:pt idx="1724">
                  <c:v>233.3</c:v>
                </c:pt>
                <c:pt idx="1725">
                  <c:v>236.1</c:v>
                </c:pt>
                <c:pt idx="1726">
                  <c:v>234.1</c:v>
                </c:pt>
                <c:pt idx="1727">
                  <c:v>237.1</c:v>
                </c:pt>
                <c:pt idx="1728">
                  <c:v>239.5</c:v>
                </c:pt>
                <c:pt idx="1729">
                  <c:v>243.1</c:v>
                </c:pt>
                <c:pt idx="1730">
                  <c:v>246.2</c:v>
                </c:pt>
                <c:pt idx="1731">
                  <c:v>247.7</c:v>
                </c:pt>
                <c:pt idx="1732">
                  <c:v>249.1</c:v>
                </c:pt>
                <c:pt idx="1733">
                  <c:v>246.1</c:v>
                </c:pt>
                <c:pt idx="1734">
                  <c:v>243.7</c:v>
                </c:pt>
                <c:pt idx="1735">
                  <c:v>243.7</c:v>
                </c:pt>
                <c:pt idx="1736">
                  <c:v>241.2</c:v>
                </c:pt>
                <c:pt idx="1737">
                  <c:v>238.9</c:v>
                </c:pt>
                <c:pt idx="1738">
                  <c:v>238.3</c:v>
                </c:pt>
                <c:pt idx="1739">
                  <c:v>235.2</c:v>
                </c:pt>
                <c:pt idx="1740">
                  <c:v>232.7</c:v>
                </c:pt>
                <c:pt idx="1741">
                  <c:v>229.7</c:v>
                </c:pt>
                <c:pt idx="1742">
                  <c:v>228.5</c:v>
                </c:pt>
                <c:pt idx="1743">
                  <c:v>226</c:v>
                </c:pt>
                <c:pt idx="1744">
                  <c:v>224.3</c:v>
                </c:pt>
                <c:pt idx="1745">
                  <c:v>219.3</c:v>
                </c:pt>
                <c:pt idx="1746">
                  <c:v>220.7</c:v>
                </c:pt>
                <c:pt idx="1747">
                  <c:v>219.5</c:v>
                </c:pt>
                <c:pt idx="1748">
                  <c:v>222.8</c:v>
                </c:pt>
                <c:pt idx="1749">
                  <c:v>223.6</c:v>
                </c:pt>
                <c:pt idx="1750">
                  <c:v>218.4</c:v>
                </c:pt>
                <c:pt idx="1751">
                  <c:v>217.9</c:v>
                </c:pt>
                <c:pt idx="1752">
                  <c:v>219.8</c:v>
                </c:pt>
                <c:pt idx="1753">
                  <c:v>220.5</c:v>
                </c:pt>
                <c:pt idx="1754">
                  <c:v>222.9</c:v>
                </c:pt>
                <c:pt idx="1755">
                  <c:v>222</c:v>
                </c:pt>
                <c:pt idx="1756">
                  <c:v>220</c:v>
                </c:pt>
                <c:pt idx="1757">
                  <c:v>220.1</c:v>
                </c:pt>
                <c:pt idx="1758">
                  <c:v>222.5</c:v>
                </c:pt>
                <c:pt idx="1759">
                  <c:v>223</c:v>
                </c:pt>
                <c:pt idx="1760">
                  <c:v>226.5</c:v>
                </c:pt>
                <c:pt idx="1761">
                  <c:v>225</c:v>
                </c:pt>
                <c:pt idx="1762">
                  <c:v>225.3</c:v>
                </c:pt>
                <c:pt idx="1763">
                  <c:v>226.6</c:v>
                </c:pt>
                <c:pt idx="1765">
                  <c:v>256</c:v>
                </c:pt>
                <c:pt idx="1766">
                  <c:v>257.5</c:v>
                </c:pt>
                <c:pt idx="1767">
                  <c:v>261.7</c:v>
                </c:pt>
                <c:pt idx="1768">
                  <c:v>266.5</c:v>
                </c:pt>
                <c:pt idx="1769">
                  <c:v>267.60000000000002</c:v>
                </c:pt>
                <c:pt idx="1770">
                  <c:v>269.8</c:v>
                </c:pt>
                <c:pt idx="1771">
                  <c:v>269.8</c:v>
                </c:pt>
                <c:pt idx="1772">
                  <c:v>272</c:v>
                </c:pt>
                <c:pt idx="1773">
                  <c:v>271.39999999999998</c:v>
                </c:pt>
                <c:pt idx="1774">
                  <c:v>276.5</c:v>
                </c:pt>
                <c:pt idx="1775">
                  <c:v>277.2</c:v>
                </c:pt>
                <c:pt idx="1776">
                  <c:v>275.60000000000002</c:v>
                </c:pt>
                <c:pt idx="1777">
                  <c:v>276.5</c:v>
                </c:pt>
                <c:pt idx="1778">
                  <c:v>275.5</c:v>
                </c:pt>
                <c:pt idx="1779">
                  <c:v>270.3</c:v>
                </c:pt>
                <c:pt idx="1780">
                  <c:v>265.10000000000002</c:v>
                </c:pt>
                <c:pt idx="1781">
                  <c:v>262.10000000000002</c:v>
                </c:pt>
                <c:pt idx="1782">
                  <c:v>260.2</c:v>
                </c:pt>
                <c:pt idx="1783">
                  <c:v>259.89999999999998</c:v>
                </c:pt>
                <c:pt idx="1784">
                  <c:v>255.3</c:v>
                </c:pt>
                <c:pt idx="1785">
                  <c:v>257.8</c:v>
                </c:pt>
                <c:pt idx="1786">
                  <c:v>251.2</c:v>
                </c:pt>
                <c:pt idx="1787">
                  <c:v>249.3</c:v>
                </c:pt>
                <c:pt idx="1788">
                  <c:v>248.9</c:v>
                </c:pt>
                <c:pt idx="1789">
                  <c:v>246.8</c:v>
                </c:pt>
                <c:pt idx="1790">
                  <c:v>244.8</c:v>
                </c:pt>
                <c:pt idx="1791">
                  <c:v>247</c:v>
                </c:pt>
                <c:pt idx="1792">
                  <c:v>251.4</c:v>
                </c:pt>
                <c:pt idx="1793">
                  <c:v>254.3</c:v>
                </c:pt>
                <c:pt idx="1794">
                  <c:v>256</c:v>
                </c:pt>
                <c:pt idx="1796">
                  <c:v>218.3</c:v>
                </c:pt>
                <c:pt idx="1797">
                  <c:v>219.7</c:v>
                </c:pt>
                <c:pt idx="1798">
                  <c:v>219.9</c:v>
                </c:pt>
                <c:pt idx="1799">
                  <c:v>224.3</c:v>
                </c:pt>
                <c:pt idx="1800">
                  <c:v>225.8</c:v>
                </c:pt>
                <c:pt idx="1801">
                  <c:v>225</c:v>
                </c:pt>
                <c:pt idx="1802">
                  <c:v>226.5</c:v>
                </c:pt>
                <c:pt idx="1803">
                  <c:v>223</c:v>
                </c:pt>
                <c:pt idx="1804">
                  <c:v>222.5</c:v>
                </c:pt>
                <c:pt idx="1805">
                  <c:v>219.8</c:v>
                </c:pt>
                <c:pt idx="1806">
                  <c:v>220.1</c:v>
                </c:pt>
                <c:pt idx="1807">
                  <c:v>222</c:v>
                </c:pt>
                <c:pt idx="1808">
                  <c:v>222.6</c:v>
                </c:pt>
                <c:pt idx="1809">
                  <c:v>220.5</c:v>
                </c:pt>
                <c:pt idx="1810">
                  <c:v>218.8</c:v>
                </c:pt>
                <c:pt idx="1811">
                  <c:v>218</c:v>
                </c:pt>
                <c:pt idx="1812">
                  <c:v>214.7</c:v>
                </c:pt>
                <c:pt idx="1813">
                  <c:v>210.9</c:v>
                </c:pt>
                <c:pt idx="1814">
                  <c:v>207.6</c:v>
                </c:pt>
                <c:pt idx="1815">
                  <c:v>211.5</c:v>
                </c:pt>
                <c:pt idx="1816">
                  <c:v>209.1</c:v>
                </c:pt>
                <c:pt idx="1817">
                  <c:v>204.6</c:v>
                </c:pt>
                <c:pt idx="1818">
                  <c:v>200.9</c:v>
                </c:pt>
                <c:pt idx="1819">
                  <c:v>200.1</c:v>
                </c:pt>
                <c:pt idx="1820">
                  <c:v>196.6</c:v>
                </c:pt>
                <c:pt idx="1821">
                  <c:v>194.3</c:v>
                </c:pt>
                <c:pt idx="1822">
                  <c:v>191.3</c:v>
                </c:pt>
                <c:pt idx="1823">
                  <c:v>197.3</c:v>
                </c:pt>
                <c:pt idx="1824">
                  <c:v>198.6</c:v>
                </c:pt>
                <c:pt idx="1825">
                  <c:v>197.8</c:v>
                </c:pt>
                <c:pt idx="1826">
                  <c:v>201.7</c:v>
                </c:pt>
                <c:pt idx="1827">
                  <c:v>203.7</c:v>
                </c:pt>
                <c:pt idx="1828">
                  <c:v>207.1</c:v>
                </c:pt>
                <c:pt idx="1829">
                  <c:v>205.6</c:v>
                </c:pt>
                <c:pt idx="1830">
                  <c:v>207</c:v>
                </c:pt>
                <c:pt idx="1831">
                  <c:v>208.4</c:v>
                </c:pt>
                <c:pt idx="1832">
                  <c:v>210.4</c:v>
                </c:pt>
                <c:pt idx="1833">
                  <c:v>211.8</c:v>
                </c:pt>
                <c:pt idx="1834">
                  <c:v>218.3</c:v>
                </c:pt>
                <c:pt idx="1836">
                  <c:v>249.5</c:v>
                </c:pt>
                <c:pt idx="1837">
                  <c:v>251.3</c:v>
                </c:pt>
                <c:pt idx="1838">
                  <c:v>257.2</c:v>
                </c:pt>
                <c:pt idx="1839">
                  <c:v>257.7</c:v>
                </c:pt>
                <c:pt idx="1840">
                  <c:v>262.5</c:v>
                </c:pt>
                <c:pt idx="1841">
                  <c:v>264</c:v>
                </c:pt>
                <c:pt idx="1842">
                  <c:v>263</c:v>
                </c:pt>
                <c:pt idx="1843">
                  <c:v>260.60000000000002</c:v>
                </c:pt>
                <c:pt idx="1844">
                  <c:v>256.10000000000002</c:v>
                </c:pt>
                <c:pt idx="1845">
                  <c:v>257</c:v>
                </c:pt>
                <c:pt idx="1846">
                  <c:v>255.6</c:v>
                </c:pt>
                <c:pt idx="1847">
                  <c:v>257.7</c:v>
                </c:pt>
                <c:pt idx="1848">
                  <c:v>254.3</c:v>
                </c:pt>
                <c:pt idx="1849">
                  <c:v>254.8</c:v>
                </c:pt>
                <c:pt idx="1850">
                  <c:v>259</c:v>
                </c:pt>
                <c:pt idx="1851">
                  <c:v>258.39999999999998</c:v>
                </c:pt>
                <c:pt idx="1852">
                  <c:v>256.8</c:v>
                </c:pt>
                <c:pt idx="1853">
                  <c:v>259.89999999999998</c:v>
                </c:pt>
                <c:pt idx="1854">
                  <c:v>259</c:v>
                </c:pt>
                <c:pt idx="1855">
                  <c:v>255.7</c:v>
                </c:pt>
                <c:pt idx="1856">
                  <c:v>253.5</c:v>
                </c:pt>
                <c:pt idx="1857">
                  <c:v>251.2</c:v>
                </c:pt>
                <c:pt idx="1858">
                  <c:v>251.2</c:v>
                </c:pt>
                <c:pt idx="1859">
                  <c:v>248.5</c:v>
                </c:pt>
                <c:pt idx="1860">
                  <c:v>248.5</c:v>
                </c:pt>
                <c:pt idx="1861">
                  <c:v>247.5</c:v>
                </c:pt>
                <c:pt idx="1862">
                  <c:v>242.5</c:v>
                </c:pt>
                <c:pt idx="1863">
                  <c:v>243.3</c:v>
                </c:pt>
                <c:pt idx="1864">
                  <c:v>241.4</c:v>
                </c:pt>
                <c:pt idx="1865">
                  <c:v>239.2</c:v>
                </c:pt>
                <c:pt idx="1866">
                  <c:v>233.4</c:v>
                </c:pt>
                <c:pt idx="1867">
                  <c:v>235.2</c:v>
                </c:pt>
                <c:pt idx="1868">
                  <c:v>238.3</c:v>
                </c:pt>
                <c:pt idx="1869">
                  <c:v>238.9</c:v>
                </c:pt>
                <c:pt idx="1870">
                  <c:v>241.2</c:v>
                </c:pt>
                <c:pt idx="1871">
                  <c:v>243.7</c:v>
                </c:pt>
                <c:pt idx="1872">
                  <c:v>243.7</c:v>
                </c:pt>
                <c:pt idx="1873">
                  <c:v>246.1</c:v>
                </c:pt>
                <c:pt idx="1874">
                  <c:v>249</c:v>
                </c:pt>
                <c:pt idx="1875">
                  <c:v>249.5</c:v>
                </c:pt>
                <c:pt idx="1877">
                  <c:v>242.5</c:v>
                </c:pt>
                <c:pt idx="1878">
                  <c:v>247.5</c:v>
                </c:pt>
                <c:pt idx="1879">
                  <c:v>251.2</c:v>
                </c:pt>
                <c:pt idx="1880">
                  <c:v>251.2</c:v>
                </c:pt>
                <c:pt idx="1881">
                  <c:v>253.5</c:v>
                </c:pt>
                <c:pt idx="1882">
                  <c:v>255.7</c:v>
                </c:pt>
                <c:pt idx="1883">
                  <c:v>259</c:v>
                </c:pt>
                <c:pt idx="1884">
                  <c:v>259.89999999999998</c:v>
                </c:pt>
                <c:pt idx="1885">
                  <c:v>259</c:v>
                </c:pt>
                <c:pt idx="1886">
                  <c:v>262.7</c:v>
                </c:pt>
                <c:pt idx="1887">
                  <c:v>271.89999999999998</c:v>
                </c:pt>
                <c:pt idx="1888">
                  <c:v>279.5</c:v>
                </c:pt>
                <c:pt idx="1889">
                  <c:v>283.5</c:v>
                </c:pt>
                <c:pt idx="1890">
                  <c:v>283.7</c:v>
                </c:pt>
                <c:pt idx="1891">
                  <c:v>280.8</c:v>
                </c:pt>
                <c:pt idx="1892">
                  <c:v>276.5</c:v>
                </c:pt>
                <c:pt idx="1893">
                  <c:v>280.10000000000002</c:v>
                </c:pt>
                <c:pt idx="1894">
                  <c:v>280.39999999999998</c:v>
                </c:pt>
                <c:pt idx="1895">
                  <c:v>278.2</c:v>
                </c:pt>
                <c:pt idx="1896">
                  <c:v>271.39999999999998</c:v>
                </c:pt>
                <c:pt idx="1897">
                  <c:v>272</c:v>
                </c:pt>
                <c:pt idx="1898">
                  <c:v>269.8</c:v>
                </c:pt>
                <c:pt idx="1899">
                  <c:v>269.8</c:v>
                </c:pt>
                <c:pt idx="1900">
                  <c:v>267.60000000000002</c:v>
                </c:pt>
                <c:pt idx="1901">
                  <c:v>266.5</c:v>
                </c:pt>
                <c:pt idx="1902">
                  <c:v>261.7</c:v>
                </c:pt>
                <c:pt idx="1903">
                  <c:v>257.5</c:v>
                </c:pt>
                <c:pt idx="1904">
                  <c:v>254.3</c:v>
                </c:pt>
                <c:pt idx="1905">
                  <c:v>251.4</c:v>
                </c:pt>
                <c:pt idx="1906">
                  <c:v>247</c:v>
                </c:pt>
                <c:pt idx="1907">
                  <c:v>244.9</c:v>
                </c:pt>
                <c:pt idx="1908">
                  <c:v>242.6</c:v>
                </c:pt>
                <c:pt idx="1909">
                  <c:v>244</c:v>
                </c:pt>
                <c:pt idx="1910">
                  <c:v>241.9</c:v>
                </c:pt>
                <c:pt idx="1911">
                  <c:v>238.6</c:v>
                </c:pt>
                <c:pt idx="1912">
                  <c:v>236.8</c:v>
                </c:pt>
                <c:pt idx="1913">
                  <c:v>242.5</c:v>
                </c:pt>
                <c:pt idx="1915">
                  <c:v>261.2</c:v>
                </c:pt>
                <c:pt idx="1916">
                  <c:v>264.60000000000002</c:v>
                </c:pt>
                <c:pt idx="1917">
                  <c:v>267</c:v>
                </c:pt>
                <c:pt idx="1918">
                  <c:v>267.2</c:v>
                </c:pt>
                <c:pt idx="1919">
                  <c:v>271.3</c:v>
                </c:pt>
                <c:pt idx="1920">
                  <c:v>273.5</c:v>
                </c:pt>
                <c:pt idx="1921">
                  <c:v>275.39999999999998</c:v>
                </c:pt>
                <c:pt idx="1922">
                  <c:v>279</c:v>
                </c:pt>
                <c:pt idx="1923">
                  <c:v>285.10000000000002</c:v>
                </c:pt>
                <c:pt idx="1924">
                  <c:v>284.8</c:v>
                </c:pt>
                <c:pt idx="1925">
                  <c:v>289</c:v>
                </c:pt>
                <c:pt idx="1926">
                  <c:v>289.10000000000002</c:v>
                </c:pt>
                <c:pt idx="1927">
                  <c:v>291.8</c:v>
                </c:pt>
                <c:pt idx="1928">
                  <c:v>293.60000000000002</c:v>
                </c:pt>
                <c:pt idx="1929">
                  <c:v>296.39999999999998</c:v>
                </c:pt>
                <c:pt idx="1930">
                  <c:v>296.89999999999998</c:v>
                </c:pt>
                <c:pt idx="1931">
                  <c:v>298.60000000000002</c:v>
                </c:pt>
                <c:pt idx="1932">
                  <c:v>300.10000000000002</c:v>
                </c:pt>
                <c:pt idx="1933">
                  <c:v>296.10000000000002</c:v>
                </c:pt>
                <c:pt idx="1934">
                  <c:v>295.5</c:v>
                </c:pt>
                <c:pt idx="1935">
                  <c:v>297</c:v>
                </c:pt>
                <c:pt idx="1936">
                  <c:v>291.7</c:v>
                </c:pt>
                <c:pt idx="1937">
                  <c:v>287.89999999999998</c:v>
                </c:pt>
                <c:pt idx="1938">
                  <c:v>286.10000000000002</c:v>
                </c:pt>
                <c:pt idx="1939">
                  <c:v>281.39999999999998</c:v>
                </c:pt>
                <c:pt idx="1940">
                  <c:v>282.2</c:v>
                </c:pt>
                <c:pt idx="1941">
                  <c:v>284.89999999999998</c:v>
                </c:pt>
                <c:pt idx="1942">
                  <c:v>283.89999999999998</c:v>
                </c:pt>
                <c:pt idx="1943">
                  <c:v>279.60000000000002</c:v>
                </c:pt>
                <c:pt idx="1944">
                  <c:v>275</c:v>
                </c:pt>
                <c:pt idx="1945">
                  <c:v>269.5</c:v>
                </c:pt>
                <c:pt idx="1946">
                  <c:v>269.3</c:v>
                </c:pt>
                <c:pt idx="1947">
                  <c:v>267.10000000000002</c:v>
                </c:pt>
                <c:pt idx="1948">
                  <c:v>266.8</c:v>
                </c:pt>
                <c:pt idx="1949">
                  <c:v>265.60000000000002</c:v>
                </c:pt>
                <c:pt idx="1950">
                  <c:v>263.60000000000002</c:v>
                </c:pt>
                <c:pt idx="1951">
                  <c:v>263.3</c:v>
                </c:pt>
                <c:pt idx="1952">
                  <c:v>260.2</c:v>
                </c:pt>
                <c:pt idx="1953">
                  <c:v>254.8</c:v>
                </c:pt>
                <c:pt idx="1954">
                  <c:v>254.3</c:v>
                </c:pt>
                <c:pt idx="1955">
                  <c:v>257.7</c:v>
                </c:pt>
                <c:pt idx="1956">
                  <c:v>255.6</c:v>
                </c:pt>
                <c:pt idx="1957">
                  <c:v>257</c:v>
                </c:pt>
                <c:pt idx="1958">
                  <c:v>256.10000000000002</c:v>
                </c:pt>
                <c:pt idx="1959">
                  <c:v>260.60000000000002</c:v>
                </c:pt>
                <c:pt idx="1960">
                  <c:v>262.8</c:v>
                </c:pt>
                <c:pt idx="1961">
                  <c:v>264</c:v>
                </c:pt>
                <c:pt idx="1962">
                  <c:v>262.7</c:v>
                </c:pt>
                <c:pt idx="1963">
                  <c:v>257.60000000000002</c:v>
                </c:pt>
                <c:pt idx="1964">
                  <c:v>257.7</c:v>
                </c:pt>
                <c:pt idx="1965">
                  <c:v>260.60000000000002</c:v>
                </c:pt>
                <c:pt idx="1966">
                  <c:v>259.5</c:v>
                </c:pt>
                <c:pt idx="1967">
                  <c:v>261.2</c:v>
                </c:pt>
                <c:pt idx="1969">
                  <c:v>291.89999999999998</c:v>
                </c:pt>
                <c:pt idx="1970">
                  <c:v>293.10000000000002</c:v>
                </c:pt>
                <c:pt idx="1971">
                  <c:v>302.7</c:v>
                </c:pt>
                <c:pt idx="1972">
                  <c:v>305.89999999999998</c:v>
                </c:pt>
                <c:pt idx="1973">
                  <c:v>303.8</c:v>
                </c:pt>
                <c:pt idx="1974">
                  <c:v>303.89999999999998</c:v>
                </c:pt>
                <c:pt idx="1975">
                  <c:v>300.89999999999998</c:v>
                </c:pt>
                <c:pt idx="1976">
                  <c:v>301.7</c:v>
                </c:pt>
                <c:pt idx="1977">
                  <c:v>306.89999999999998</c:v>
                </c:pt>
                <c:pt idx="1978">
                  <c:v>307.7</c:v>
                </c:pt>
                <c:pt idx="1979">
                  <c:v>311.8</c:v>
                </c:pt>
                <c:pt idx="1980">
                  <c:v>314.7</c:v>
                </c:pt>
                <c:pt idx="1981">
                  <c:v>316.39999999999998</c:v>
                </c:pt>
                <c:pt idx="1982">
                  <c:v>315.8</c:v>
                </c:pt>
                <c:pt idx="1983">
                  <c:v>311.89999999999998</c:v>
                </c:pt>
                <c:pt idx="1984">
                  <c:v>308.5</c:v>
                </c:pt>
                <c:pt idx="1985">
                  <c:v>307</c:v>
                </c:pt>
                <c:pt idx="1986">
                  <c:v>301.10000000000002</c:v>
                </c:pt>
                <c:pt idx="1987">
                  <c:v>299.10000000000002</c:v>
                </c:pt>
                <c:pt idx="1988">
                  <c:v>295</c:v>
                </c:pt>
                <c:pt idx="1989">
                  <c:v>290.7</c:v>
                </c:pt>
                <c:pt idx="1990">
                  <c:v>291.89999999999998</c:v>
                </c:pt>
                <c:pt idx="1991">
                  <c:v>291.10000000000002</c:v>
                </c:pt>
                <c:pt idx="1992">
                  <c:v>289.5</c:v>
                </c:pt>
                <c:pt idx="1993">
                  <c:v>288.7</c:v>
                </c:pt>
                <c:pt idx="1994">
                  <c:v>286.3</c:v>
                </c:pt>
                <c:pt idx="1995">
                  <c:v>279.10000000000002</c:v>
                </c:pt>
                <c:pt idx="1996">
                  <c:v>276.2</c:v>
                </c:pt>
                <c:pt idx="1997">
                  <c:v>275.10000000000002</c:v>
                </c:pt>
                <c:pt idx="1998">
                  <c:v>276.5</c:v>
                </c:pt>
                <c:pt idx="1999">
                  <c:v>275.60000000000002</c:v>
                </c:pt>
                <c:pt idx="2000">
                  <c:v>277.2</c:v>
                </c:pt>
                <c:pt idx="2001">
                  <c:v>276.5</c:v>
                </c:pt>
                <c:pt idx="2002">
                  <c:v>278.2</c:v>
                </c:pt>
                <c:pt idx="2003">
                  <c:v>281.2</c:v>
                </c:pt>
                <c:pt idx="2004">
                  <c:v>283.5</c:v>
                </c:pt>
                <c:pt idx="2005">
                  <c:v>284.5</c:v>
                </c:pt>
                <c:pt idx="2006">
                  <c:v>286</c:v>
                </c:pt>
                <c:pt idx="2007">
                  <c:v>286.7</c:v>
                </c:pt>
                <c:pt idx="2008">
                  <c:v>289.3</c:v>
                </c:pt>
                <c:pt idx="2009">
                  <c:v>291.2</c:v>
                </c:pt>
                <c:pt idx="2010">
                  <c:v>291.89999999999998</c:v>
                </c:pt>
                <c:pt idx="2012">
                  <c:v>374.3</c:v>
                </c:pt>
                <c:pt idx="2013">
                  <c:v>389.8</c:v>
                </c:pt>
                <c:pt idx="2014">
                  <c:v>388.9</c:v>
                </c:pt>
                <c:pt idx="2015">
                  <c:v>391.6</c:v>
                </c:pt>
                <c:pt idx="2016">
                  <c:v>389.9</c:v>
                </c:pt>
                <c:pt idx="2017">
                  <c:v>389.1</c:v>
                </c:pt>
                <c:pt idx="2018">
                  <c:v>383.3</c:v>
                </c:pt>
                <c:pt idx="2019">
                  <c:v>381.6</c:v>
                </c:pt>
                <c:pt idx="2020">
                  <c:v>379.5</c:v>
                </c:pt>
                <c:pt idx="2021">
                  <c:v>376.8</c:v>
                </c:pt>
                <c:pt idx="2022">
                  <c:v>376.1</c:v>
                </c:pt>
                <c:pt idx="2023">
                  <c:v>373.9</c:v>
                </c:pt>
                <c:pt idx="2024">
                  <c:v>371.8</c:v>
                </c:pt>
                <c:pt idx="2025">
                  <c:v>368.7</c:v>
                </c:pt>
                <c:pt idx="2026">
                  <c:v>366.6</c:v>
                </c:pt>
                <c:pt idx="2027">
                  <c:v>362</c:v>
                </c:pt>
                <c:pt idx="2028">
                  <c:v>360.5</c:v>
                </c:pt>
                <c:pt idx="2029">
                  <c:v>356.9</c:v>
                </c:pt>
                <c:pt idx="2030">
                  <c:v>357.3</c:v>
                </c:pt>
                <c:pt idx="2031">
                  <c:v>359.8</c:v>
                </c:pt>
                <c:pt idx="2032">
                  <c:v>360.8</c:v>
                </c:pt>
                <c:pt idx="2033">
                  <c:v>361.9</c:v>
                </c:pt>
                <c:pt idx="2034">
                  <c:v>361.6</c:v>
                </c:pt>
                <c:pt idx="2035">
                  <c:v>364.4</c:v>
                </c:pt>
                <c:pt idx="2036">
                  <c:v>362.6</c:v>
                </c:pt>
                <c:pt idx="2037">
                  <c:v>358.6</c:v>
                </c:pt>
                <c:pt idx="2038">
                  <c:v>356.2</c:v>
                </c:pt>
                <c:pt idx="2039">
                  <c:v>353.3</c:v>
                </c:pt>
                <c:pt idx="2040">
                  <c:v>350.2</c:v>
                </c:pt>
                <c:pt idx="2041">
                  <c:v>348.4</c:v>
                </c:pt>
                <c:pt idx="2042">
                  <c:v>349.3</c:v>
                </c:pt>
                <c:pt idx="2043">
                  <c:v>353.8</c:v>
                </c:pt>
                <c:pt idx="2044">
                  <c:v>356.1</c:v>
                </c:pt>
                <c:pt idx="2045">
                  <c:v>368.4</c:v>
                </c:pt>
                <c:pt idx="2046">
                  <c:v>374.3</c:v>
                </c:pt>
                <c:pt idx="2048">
                  <c:v>394.8</c:v>
                </c:pt>
                <c:pt idx="2049">
                  <c:v>395</c:v>
                </c:pt>
                <c:pt idx="2050">
                  <c:v>398</c:v>
                </c:pt>
                <c:pt idx="2051">
                  <c:v>396.9</c:v>
                </c:pt>
                <c:pt idx="2052">
                  <c:v>395.9</c:v>
                </c:pt>
                <c:pt idx="2053">
                  <c:v>397.7</c:v>
                </c:pt>
                <c:pt idx="2054">
                  <c:v>399</c:v>
                </c:pt>
                <c:pt idx="2055">
                  <c:v>398.2</c:v>
                </c:pt>
                <c:pt idx="2056">
                  <c:v>396.8</c:v>
                </c:pt>
                <c:pt idx="2057">
                  <c:v>393.4</c:v>
                </c:pt>
                <c:pt idx="2058">
                  <c:v>389.2</c:v>
                </c:pt>
                <c:pt idx="2059">
                  <c:v>385.4</c:v>
                </c:pt>
                <c:pt idx="2060">
                  <c:v>382.6</c:v>
                </c:pt>
                <c:pt idx="2061">
                  <c:v>381.3</c:v>
                </c:pt>
                <c:pt idx="2062">
                  <c:v>384.1</c:v>
                </c:pt>
                <c:pt idx="2063">
                  <c:v>381.7</c:v>
                </c:pt>
                <c:pt idx="2064">
                  <c:v>382.3</c:v>
                </c:pt>
                <c:pt idx="2065">
                  <c:v>389.1</c:v>
                </c:pt>
                <c:pt idx="2066">
                  <c:v>389.9</c:v>
                </c:pt>
                <c:pt idx="2067">
                  <c:v>391.6</c:v>
                </c:pt>
                <c:pt idx="2068">
                  <c:v>394.8</c:v>
                </c:pt>
                <c:pt idx="2070">
                  <c:v>386.1</c:v>
                </c:pt>
                <c:pt idx="2071">
                  <c:v>384.8</c:v>
                </c:pt>
                <c:pt idx="2072">
                  <c:v>386.6</c:v>
                </c:pt>
                <c:pt idx="2073">
                  <c:v>385.3</c:v>
                </c:pt>
                <c:pt idx="2074">
                  <c:v>385.9</c:v>
                </c:pt>
                <c:pt idx="2075">
                  <c:v>384.1</c:v>
                </c:pt>
                <c:pt idx="2076">
                  <c:v>385.7</c:v>
                </c:pt>
                <c:pt idx="2077">
                  <c:v>384.9</c:v>
                </c:pt>
                <c:pt idx="2078">
                  <c:v>387.4</c:v>
                </c:pt>
                <c:pt idx="2079">
                  <c:v>392.7</c:v>
                </c:pt>
                <c:pt idx="2080">
                  <c:v>393.4</c:v>
                </c:pt>
                <c:pt idx="2081">
                  <c:v>390.2</c:v>
                </c:pt>
                <c:pt idx="2082">
                  <c:v>384</c:v>
                </c:pt>
                <c:pt idx="2083">
                  <c:v>381.4</c:v>
                </c:pt>
                <c:pt idx="2084">
                  <c:v>380.2</c:v>
                </c:pt>
                <c:pt idx="2085">
                  <c:v>378.2</c:v>
                </c:pt>
                <c:pt idx="2086">
                  <c:v>377.2</c:v>
                </c:pt>
                <c:pt idx="2087">
                  <c:v>375.2</c:v>
                </c:pt>
                <c:pt idx="2088">
                  <c:v>374</c:v>
                </c:pt>
                <c:pt idx="2089">
                  <c:v>375.1</c:v>
                </c:pt>
                <c:pt idx="2090">
                  <c:v>373.6</c:v>
                </c:pt>
                <c:pt idx="2091">
                  <c:v>377.7</c:v>
                </c:pt>
                <c:pt idx="2092">
                  <c:v>376.9</c:v>
                </c:pt>
                <c:pt idx="2093">
                  <c:v>379.3</c:v>
                </c:pt>
                <c:pt idx="2094">
                  <c:v>378.4</c:v>
                </c:pt>
                <c:pt idx="2095">
                  <c:v>379.8</c:v>
                </c:pt>
                <c:pt idx="2096">
                  <c:v>380</c:v>
                </c:pt>
                <c:pt idx="2097">
                  <c:v>382.3</c:v>
                </c:pt>
                <c:pt idx="2098">
                  <c:v>385.7</c:v>
                </c:pt>
                <c:pt idx="2099">
                  <c:v>386.1</c:v>
                </c:pt>
                <c:pt idx="2101">
                  <c:v>350.2</c:v>
                </c:pt>
                <c:pt idx="2102">
                  <c:v>348.4</c:v>
                </c:pt>
                <c:pt idx="2103">
                  <c:v>350</c:v>
                </c:pt>
                <c:pt idx="2104">
                  <c:v>351.3</c:v>
                </c:pt>
                <c:pt idx="2105">
                  <c:v>350.7</c:v>
                </c:pt>
                <c:pt idx="2106">
                  <c:v>347.5</c:v>
                </c:pt>
                <c:pt idx="2107">
                  <c:v>338.4</c:v>
                </c:pt>
                <c:pt idx="2108">
                  <c:v>338.3</c:v>
                </c:pt>
                <c:pt idx="2109">
                  <c:v>334.3</c:v>
                </c:pt>
                <c:pt idx="2110">
                  <c:v>336.2</c:v>
                </c:pt>
                <c:pt idx="2111">
                  <c:v>339.9</c:v>
                </c:pt>
                <c:pt idx="2112">
                  <c:v>348.7</c:v>
                </c:pt>
                <c:pt idx="2113">
                  <c:v>350.2</c:v>
                </c:pt>
                <c:pt idx="2115">
                  <c:v>398.8</c:v>
                </c:pt>
                <c:pt idx="2116">
                  <c:v>401.4</c:v>
                </c:pt>
                <c:pt idx="2117">
                  <c:v>402.7</c:v>
                </c:pt>
                <c:pt idx="2118">
                  <c:v>407.5</c:v>
                </c:pt>
                <c:pt idx="2119">
                  <c:v>408.7</c:v>
                </c:pt>
                <c:pt idx="2120">
                  <c:v>413.8</c:v>
                </c:pt>
                <c:pt idx="2121">
                  <c:v>413.7</c:v>
                </c:pt>
                <c:pt idx="2122">
                  <c:v>416.2</c:v>
                </c:pt>
                <c:pt idx="2123">
                  <c:v>414.9</c:v>
                </c:pt>
                <c:pt idx="2124">
                  <c:v>415</c:v>
                </c:pt>
                <c:pt idx="2125">
                  <c:v>416.8</c:v>
                </c:pt>
                <c:pt idx="2126">
                  <c:v>413.4</c:v>
                </c:pt>
                <c:pt idx="2127">
                  <c:v>410.8</c:v>
                </c:pt>
                <c:pt idx="2128">
                  <c:v>408.7</c:v>
                </c:pt>
                <c:pt idx="2129">
                  <c:v>404.7</c:v>
                </c:pt>
                <c:pt idx="2130">
                  <c:v>405.8</c:v>
                </c:pt>
                <c:pt idx="2131">
                  <c:v>401.2</c:v>
                </c:pt>
                <c:pt idx="2132">
                  <c:v>399.5</c:v>
                </c:pt>
                <c:pt idx="2133">
                  <c:v>393.4</c:v>
                </c:pt>
                <c:pt idx="2134">
                  <c:v>392.7</c:v>
                </c:pt>
                <c:pt idx="2135">
                  <c:v>386</c:v>
                </c:pt>
                <c:pt idx="2136">
                  <c:v>384.9</c:v>
                </c:pt>
                <c:pt idx="2137">
                  <c:v>385.7</c:v>
                </c:pt>
                <c:pt idx="2138">
                  <c:v>384.1</c:v>
                </c:pt>
                <c:pt idx="2139">
                  <c:v>386.3</c:v>
                </c:pt>
                <c:pt idx="2140">
                  <c:v>385.3</c:v>
                </c:pt>
                <c:pt idx="2141">
                  <c:v>386.6</c:v>
                </c:pt>
                <c:pt idx="2142">
                  <c:v>384.9</c:v>
                </c:pt>
                <c:pt idx="2143">
                  <c:v>385.7</c:v>
                </c:pt>
                <c:pt idx="2144">
                  <c:v>382.3</c:v>
                </c:pt>
                <c:pt idx="2145">
                  <c:v>380</c:v>
                </c:pt>
                <c:pt idx="2146">
                  <c:v>379.8</c:v>
                </c:pt>
                <c:pt idx="2147">
                  <c:v>378.4</c:v>
                </c:pt>
                <c:pt idx="2148">
                  <c:v>379.3</c:v>
                </c:pt>
                <c:pt idx="2149">
                  <c:v>376.9</c:v>
                </c:pt>
                <c:pt idx="2150">
                  <c:v>374.5</c:v>
                </c:pt>
                <c:pt idx="2151">
                  <c:v>375.3</c:v>
                </c:pt>
                <c:pt idx="2152">
                  <c:v>372.6</c:v>
                </c:pt>
                <c:pt idx="2153">
                  <c:v>374.3</c:v>
                </c:pt>
                <c:pt idx="2154">
                  <c:v>371.5</c:v>
                </c:pt>
                <c:pt idx="2155">
                  <c:v>373.7</c:v>
                </c:pt>
                <c:pt idx="2156">
                  <c:v>378.7</c:v>
                </c:pt>
                <c:pt idx="2157">
                  <c:v>385.4</c:v>
                </c:pt>
                <c:pt idx="2158">
                  <c:v>389.2</c:v>
                </c:pt>
                <c:pt idx="2159">
                  <c:v>393.4</c:v>
                </c:pt>
                <c:pt idx="2160">
                  <c:v>396.8</c:v>
                </c:pt>
                <c:pt idx="2161">
                  <c:v>398.8</c:v>
                </c:pt>
                <c:pt idx="2163">
                  <c:v>299.89999999999998</c:v>
                </c:pt>
                <c:pt idx="2164">
                  <c:v>305.5</c:v>
                </c:pt>
                <c:pt idx="2165">
                  <c:v>311.60000000000002</c:v>
                </c:pt>
                <c:pt idx="2166">
                  <c:v>312.7</c:v>
                </c:pt>
                <c:pt idx="2167">
                  <c:v>312.3</c:v>
                </c:pt>
                <c:pt idx="2168">
                  <c:v>316.10000000000002</c:v>
                </c:pt>
                <c:pt idx="2169">
                  <c:v>323</c:v>
                </c:pt>
                <c:pt idx="2170">
                  <c:v>325.5</c:v>
                </c:pt>
                <c:pt idx="2171">
                  <c:v>327.9</c:v>
                </c:pt>
                <c:pt idx="2172">
                  <c:v>332.6</c:v>
                </c:pt>
                <c:pt idx="2173">
                  <c:v>333.6</c:v>
                </c:pt>
                <c:pt idx="2174">
                  <c:v>336</c:v>
                </c:pt>
                <c:pt idx="2175">
                  <c:v>339.6</c:v>
                </c:pt>
                <c:pt idx="2176">
                  <c:v>342.3</c:v>
                </c:pt>
                <c:pt idx="2177">
                  <c:v>344.8</c:v>
                </c:pt>
                <c:pt idx="2178">
                  <c:v>349</c:v>
                </c:pt>
                <c:pt idx="2179">
                  <c:v>348.5</c:v>
                </c:pt>
                <c:pt idx="2180">
                  <c:v>345.1</c:v>
                </c:pt>
                <c:pt idx="2181">
                  <c:v>343.3</c:v>
                </c:pt>
                <c:pt idx="2182">
                  <c:v>343.6</c:v>
                </c:pt>
                <c:pt idx="2183">
                  <c:v>337.6</c:v>
                </c:pt>
                <c:pt idx="2184">
                  <c:v>336.3</c:v>
                </c:pt>
                <c:pt idx="2185">
                  <c:v>333.9</c:v>
                </c:pt>
                <c:pt idx="2186">
                  <c:v>329</c:v>
                </c:pt>
                <c:pt idx="2187">
                  <c:v>325.8</c:v>
                </c:pt>
                <c:pt idx="2188">
                  <c:v>324.8</c:v>
                </c:pt>
                <c:pt idx="2189">
                  <c:v>321.7</c:v>
                </c:pt>
                <c:pt idx="2190">
                  <c:v>321.2</c:v>
                </c:pt>
                <c:pt idx="2191">
                  <c:v>319.2</c:v>
                </c:pt>
                <c:pt idx="2192">
                  <c:v>307.89999999999998</c:v>
                </c:pt>
                <c:pt idx="2193">
                  <c:v>307.5</c:v>
                </c:pt>
                <c:pt idx="2194">
                  <c:v>304.5</c:v>
                </c:pt>
                <c:pt idx="2195">
                  <c:v>299.3</c:v>
                </c:pt>
                <c:pt idx="2196">
                  <c:v>295</c:v>
                </c:pt>
                <c:pt idx="2197">
                  <c:v>293.2</c:v>
                </c:pt>
                <c:pt idx="2198">
                  <c:v>288.2</c:v>
                </c:pt>
                <c:pt idx="2199">
                  <c:v>286.5</c:v>
                </c:pt>
                <c:pt idx="2200">
                  <c:v>284.2</c:v>
                </c:pt>
                <c:pt idx="2201">
                  <c:v>279.5</c:v>
                </c:pt>
                <c:pt idx="2202">
                  <c:v>271.89999999999998</c:v>
                </c:pt>
                <c:pt idx="2203">
                  <c:v>263</c:v>
                </c:pt>
                <c:pt idx="2204">
                  <c:v>258.89999999999998</c:v>
                </c:pt>
                <c:pt idx="2205">
                  <c:v>257.10000000000002</c:v>
                </c:pt>
                <c:pt idx="2206">
                  <c:v>259.7</c:v>
                </c:pt>
                <c:pt idx="2207">
                  <c:v>261.89999999999998</c:v>
                </c:pt>
                <c:pt idx="2208">
                  <c:v>263.60000000000002</c:v>
                </c:pt>
                <c:pt idx="2209">
                  <c:v>265.60000000000002</c:v>
                </c:pt>
                <c:pt idx="2210">
                  <c:v>266.8</c:v>
                </c:pt>
                <c:pt idx="2211">
                  <c:v>267.10000000000002</c:v>
                </c:pt>
                <c:pt idx="2212">
                  <c:v>269.3</c:v>
                </c:pt>
                <c:pt idx="2213">
                  <c:v>269.5</c:v>
                </c:pt>
                <c:pt idx="2214">
                  <c:v>275</c:v>
                </c:pt>
                <c:pt idx="2215">
                  <c:v>276</c:v>
                </c:pt>
                <c:pt idx="2216">
                  <c:v>281.2</c:v>
                </c:pt>
                <c:pt idx="2217">
                  <c:v>282.89999999999998</c:v>
                </c:pt>
                <c:pt idx="2218">
                  <c:v>284.89999999999998</c:v>
                </c:pt>
                <c:pt idx="2219">
                  <c:v>282.2</c:v>
                </c:pt>
                <c:pt idx="2220">
                  <c:v>281.39999999999998</c:v>
                </c:pt>
                <c:pt idx="2221">
                  <c:v>286.10000000000002</c:v>
                </c:pt>
                <c:pt idx="2222">
                  <c:v>287.89999999999998</c:v>
                </c:pt>
                <c:pt idx="2223">
                  <c:v>291.60000000000002</c:v>
                </c:pt>
                <c:pt idx="2224">
                  <c:v>297.10000000000002</c:v>
                </c:pt>
                <c:pt idx="2225">
                  <c:v>299.89999999999998</c:v>
                </c:pt>
                <c:pt idx="2227">
                  <c:v>309.60000000000002</c:v>
                </c:pt>
                <c:pt idx="2228">
                  <c:v>313.8</c:v>
                </c:pt>
                <c:pt idx="2229">
                  <c:v>315</c:v>
                </c:pt>
                <c:pt idx="2230">
                  <c:v>318.10000000000002</c:v>
                </c:pt>
                <c:pt idx="2231">
                  <c:v>322.3</c:v>
                </c:pt>
                <c:pt idx="2232">
                  <c:v>323.89999999999998</c:v>
                </c:pt>
                <c:pt idx="2233">
                  <c:v>323.5</c:v>
                </c:pt>
                <c:pt idx="2234">
                  <c:v>318.8</c:v>
                </c:pt>
                <c:pt idx="2235">
                  <c:v>320.7</c:v>
                </c:pt>
                <c:pt idx="2236">
                  <c:v>319.8</c:v>
                </c:pt>
                <c:pt idx="2237">
                  <c:v>313.7</c:v>
                </c:pt>
                <c:pt idx="2238">
                  <c:v>313.8</c:v>
                </c:pt>
                <c:pt idx="2239">
                  <c:v>312.2</c:v>
                </c:pt>
                <c:pt idx="2240">
                  <c:v>312.2</c:v>
                </c:pt>
                <c:pt idx="2241">
                  <c:v>308.10000000000002</c:v>
                </c:pt>
                <c:pt idx="2242">
                  <c:v>307</c:v>
                </c:pt>
                <c:pt idx="2243">
                  <c:v>302</c:v>
                </c:pt>
                <c:pt idx="2244">
                  <c:v>300.39999999999998</c:v>
                </c:pt>
                <c:pt idx="2245">
                  <c:v>301.5</c:v>
                </c:pt>
                <c:pt idx="2246">
                  <c:v>303.89999999999998</c:v>
                </c:pt>
                <c:pt idx="2247">
                  <c:v>303.8</c:v>
                </c:pt>
                <c:pt idx="2248">
                  <c:v>306</c:v>
                </c:pt>
                <c:pt idx="2249">
                  <c:v>302.7</c:v>
                </c:pt>
                <c:pt idx="2250">
                  <c:v>293.10000000000002</c:v>
                </c:pt>
                <c:pt idx="2251">
                  <c:v>291.3</c:v>
                </c:pt>
                <c:pt idx="2252">
                  <c:v>289.2</c:v>
                </c:pt>
                <c:pt idx="2253">
                  <c:v>286.7</c:v>
                </c:pt>
                <c:pt idx="2254">
                  <c:v>286</c:v>
                </c:pt>
                <c:pt idx="2255">
                  <c:v>284.5</c:v>
                </c:pt>
                <c:pt idx="2256">
                  <c:v>283.5</c:v>
                </c:pt>
                <c:pt idx="2257">
                  <c:v>281.7</c:v>
                </c:pt>
                <c:pt idx="2258">
                  <c:v>280</c:v>
                </c:pt>
                <c:pt idx="2259">
                  <c:v>280</c:v>
                </c:pt>
                <c:pt idx="2260">
                  <c:v>276.5</c:v>
                </c:pt>
                <c:pt idx="2261">
                  <c:v>280.8</c:v>
                </c:pt>
                <c:pt idx="2262">
                  <c:v>286.5</c:v>
                </c:pt>
                <c:pt idx="2263">
                  <c:v>288.10000000000002</c:v>
                </c:pt>
                <c:pt idx="2264">
                  <c:v>293.2</c:v>
                </c:pt>
                <c:pt idx="2265">
                  <c:v>295</c:v>
                </c:pt>
                <c:pt idx="2266">
                  <c:v>299.3</c:v>
                </c:pt>
                <c:pt idx="2267">
                  <c:v>304.5</c:v>
                </c:pt>
                <c:pt idx="2268">
                  <c:v>307.10000000000002</c:v>
                </c:pt>
                <c:pt idx="2269">
                  <c:v>307.5</c:v>
                </c:pt>
                <c:pt idx="2270">
                  <c:v>309.60000000000002</c:v>
                </c:pt>
                <c:pt idx="2272">
                  <c:v>321.5</c:v>
                </c:pt>
                <c:pt idx="2273">
                  <c:v>326</c:v>
                </c:pt>
                <c:pt idx="2274">
                  <c:v>325.89999999999998</c:v>
                </c:pt>
                <c:pt idx="2275">
                  <c:v>330</c:v>
                </c:pt>
                <c:pt idx="2276">
                  <c:v>333.3</c:v>
                </c:pt>
                <c:pt idx="2277">
                  <c:v>334.1</c:v>
                </c:pt>
                <c:pt idx="2278">
                  <c:v>336.8</c:v>
                </c:pt>
                <c:pt idx="2279">
                  <c:v>338</c:v>
                </c:pt>
                <c:pt idx="2280">
                  <c:v>341</c:v>
                </c:pt>
                <c:pt idx="2281">
                  <c:v>341.3</c:v>
                </c:pt>
                <c:pt idx="2282">
                  <c:v>347.8</c:v>
                </c:pt>
                <c:pt idx="2283">
                  <c:v>346.9</c:v>
                </c:pt>
                <c:pt idx="2284">
                  <c:v>348</c:v>
                </c:pt>
                <c:pt idx="2285">
                  <c:v>351.7</c:v>
                </c:pt>
                <c:pt idx="2286">
                  <c:v>353.7</c:v>
                </c:pt>
                <c:pt idx="2287">
                  <c:v>358.3</c:v>
                </c:pt>
                <c:pt idx="2288">
                  <c:v>363</c:v>
                </c:pt>
                <c:pt idx="2289">
                  <c:v>371.2</c:v>
                </c:pt>
                <c:pt idx="2290">
                  <c:v>375</c:v>
                </c:pt>
                <c:pt idx="2291">
                  <c:v>376.3</c:v>
                </c:pt>
                <c:pt idx="2292">
                  <c:v>373.5</c:v>
                </c:pt>
                <c:pt idx="2293">
                  <c:v>375.1</c:v>
                </c:pt>
                <c:pt idx="2294">
                  <c:v>374.2</c:v>
                </c:pt>
                <c:pt idx="2295">
                  <c:v>375.2</c:v>
                </c:pt>
                <c:pt idx="2296">
                  <c:v>377.2</c:v>
                </c:pt>
                <c:pt idx="2297">
                  <c:v>376</c:v>
                </c:pt>
                <c:pt idx="2298">
                  <c:v>371.6</c:v>
                </c:pt>
                <c:pt idx="2299">
                  <c:v>370.1</c:v>
                </c:pt>
                <c:pt idx="2300">
                  <c:v>365.8</c:v>
                </c:pt>
                <c:pt idx="2301">
                  <c:v>364.5</c:v>
                </c:pt>
                <c:pt idx="2302">
                  <c:v>363.7</c:v>
                </c:pt>
                <c:pt idx="2303">
                  <c:v>363.2</c:v>
                </c:pt>
                <c:pt idx="2304">
                  <c:v>358.8</c:v>
                </c:pt>
                <c:pt idx="2305">
                  <c:v>352</c:v>
                </c:pt>
                <c:pt idx="2306">
                  <c:v>350.6</c:v>
                </c:pt>
                <c:pt idx="2307">
                  <c:v>344.6</c:v>
                </c:pt>
                <c:pt idx="2308">
                  <c:v>341</c:v>
                </c:pt>
                <c:pt idx="2309">
                  <c:v>339.3</c:v>
                </c:pt>
                <c:pt idx="2310">
                  <c:v>334.7</c:v>
                </c:pt>
                <c:pt idx="2311">
                  <c:v>331.1</c:v>
                </c:pt>
                <c:pt idx="2312">
                  <c:v>327</c:v>
                </c:pt>
                <c:pt idx="2313">
                  <c:v>323.60000000000002</c:v>
                </c:pt>
                <c:pt idx="2314">
                  <c:v>322</c:v>
                </c:pt>
                <c:pt idx="2315">
                  <c:v>320.60000000000002</c:v>
                </c:pt>
                <c:pt idx="2316">
                  <c:v>323.60000000000002</c:v>
                </c:pt>
                <c:pt idx="2317">
                  <c:v>326.39999999999998</c:v>
                </c:pt>
                <c:pt idx="2318">
                  <c:v>325.2</c:v>
                </c:pt>
                <c:pt idx="2319">
                  <c:v>321</c:v>
                </c:pt>
                <c:pt idx="2320">
                  <c:v>319.5</c:v>
                </c:pt>
                <c:pt idx="2321">
                  <c:v>317.60000000000002</c:v>
                </c:pt>
                <c:pt idx="2322">
                  <c:v>315.7</c:v>
                </c:pt>
                <c:pt idx="2323">
                  <c:v>316.2</c:v>
                </c:pt>
                <c:pt idx="2324">
                  <c:v>314.7</c:v>
                </c:pt>
                <c:pt idx="2325">
                  <c:v>310</c:v>
                </c:pt>
                <c:pt idx="2326">
                  <c:v>307.60000000000002</c:v>
                </c:pt>
                <c:pt idx="2327">
                  <c:v>306.89999999999998</c:v>
                </c:pt>
                <c:pt idx="2328">
                  <c:v>308</c:v>
                </c:pt>
                <c:pt idx="2329">
                  <c:v>312.2</c:v>
                </c:pt>
                <c:pt idx="2330">
                  <c:v>312.2</c:v>
                </c:pt>
                <c:pt idx="2331">
                  <c:v>313.8</c:v>
                </c:pt>
                <c:pt idx="2332">
                  <c:v>313.7</c:v>
                </c:pt>
                <c:pt idx="2333">
                  <c:v>318.2</c:v>
                </c:pt>
                <c:pt idx="2334">
                  <c:v>321.5</c:v>
                </c:pt>
                <c:pt idx="2336">
                  <c:v>324.8</c:v>
                </c:pt>
                <c:pt idx="2337">
                  <c:v>325.8</c:v>
                </c:pt>
                <c:pt idx="2338">
                  <c:v>329</c:v>
                </c:pt>
                <c:pt idx="2339">
                  <c:v>333.9</c:v>
                </c:pt>
                <c:pt idx="2340">
                  <c:v>336.3</c:v>
                </c:pt>
                <c:pt idx="2341">
                  <c:v>337.6</c:v>
                </c:pt>
                <c:pt idx="2342">
                  <c:v>343.3</c:v>
                </c:pt>
                <c:pt idx="2343">
                  <c:v>345.1</c:v>
                </c:pt>
                <c:pt idx="2344">
                  <c:v>348.5</c:v>
                </c:pt>
                <c:pt idx="2345">
                  <c:v>350</c:v>
                </c:pt>
                <c:pt idx="2346">
                  <c:v>350.2</c:v>
                </c:pt>
                <c:pt idx="2347">
                  <c:v>353.3</c:v>
                </c:pt>
                <c:pt idx="2348">
                  <c:v>356.2</c:v>
                </c:pt>
                <c:pt idx="2349">
                  <c:v>358.6</c:v>
                </c:pt>
                <c:pt idx="2350">
                  <c:v>362.6</c:v>
                </c:pt>
                <c:pt idx="2351">
                  <c:v>364.4</c:v>
                </c:pt>
                <c:pt idx="2352">
                  <c:v>361.6</c:v>
                </c:pt>
                <c:pt idx="2353">
                  <c:v>361.9</c:v>
                </c:pt>
                <c:pt idx="2354">
                  <c:v>360.8</c:v>
                </c:pt>
                <c:pt idx="2355">
                  <c:v>359.8</c:v>
                </c:pt>
                <c:pt idx="2356">
                  <c:v>357.3</c:v>
                </c:pt>
                <c:pt idx="2357">
                  <c:v>356.5</c:v>
                </c:pt>
                <c:pt idx="2358">
                  <c:v>353.9</c:v>
                </c:pt>
                <c:pt idx="2359">
                  <c:v>353.5</c:v>
                </c:pt>
                <c:pt idx="2360">
                  <c:v>352.2</c:v>
                </c:pt>
                <c:pt idx="2361">
                  <c:v>350.1</c:v>
                </c:pt>
                <c:pt idx="2362">
                  <c:v>348</c:v>
                </c:pt>
                <c:pt idx="2363">
                  <c:v>348.6</c:v>
                </c:pt>
                <c:pt idx="2364">
                  <c:v>346.9</c:v>
                </c:pt>
                <c:pt idx="2365">
                  <c:v>346.8</c:v>
                </c:pt>
                <c:pt idx="2366">
                  <c:v>342.4</c:v>
                </c:pt>
                <c:pt idx="2367">
                  <c:v>342</c:v>
                </c:pt>
                <c:pt idx="2368">
                  <c:v>344.8</c:v>
                </c:pt>
                <c:pt idx="2369">
                  <c:v>345.4</c:v>
                </c:pt>
                <c:pt idx="2370">
                  <c:v>347</c:v>
                </c:pt>
                <c:pt idx="2371">
                  <c:v>349.7</c:v>
                </c:pt>
                <c:pt idx="2372">
                  <c:v>348.4</c:v>
                </c:pt>
                <c:pt idx="2373">
                  <c:v>346.2</c:v>
                </c:pt>
                <c:pt idx="2374">
                  <c:v>341.3</c:v>
                </c:pt>
                <c:pt idx="2375">
                  <c:v>341</c:v>
                </c:pt>
                <c:pt idx="2376">
                  <c:v>338</c:v>
                </c:pt>
                <c:pt idx="2377">
                  <c:v>337.1</c:v>
                </c:pt>
                <c:pt idx="2378">
                  <c:v>334.3</c:v>
                </c:pt>
                <c:pt idx="2379">
                  <c:v>333.3</c:v>
                </c:pt>
                <c:pt idx="2380">
                  <c:v>330.1</c:v>
                </c:pt>
                <c:pt idx="2381">
                  <c:v>325.89999999999998</c:v>
                </c:pt>
                <c:pt idx="2382">
                  <c:v>326</c:v>
                </c:pt>
                <c:pt idx="2383">
                  <c:v>320.2</c:v>
                </c:pt>
                <c:pt idx="2384">
                  <c:v>318.8</c:v>
                </c:pt>
                <c:pt idx="2385">
                  <c:v>323.5</c:v>
                </c:pt>
                <c:pt idx="2386">
                  <c:v>323.89999999999998</c:v>
                </c:pt>
                <c:pt idx="2387">
                  <c:v>322.3</c:v>
                </c:pt>
                <c:pt idx="2388">
                  <c:v>319.7</c:v>
                </c:pt>
                <c:pt idx="2389">
                  <c:v>321.2</c:v>
                </c:pt>
                <c:pt idx="2390">
                  <c:v>321.7</c:v>
                </c:pt>
                <c:pt idx="2391">
                  <c:v>324.8</c:v>
                </c:pt>
                <c:pt idx="2393">
                  <c:v>375.4</c:v>
                </c:pt>
                <c:pt idx="2394">
                  <c:v>376.8</c:v>
                </c:pt>
                <c:pt idx="2395">
                  <c:v>379.5</c:v>
                </c:pt>
                <c:pt idx="2396">
                  <c:v>381.6</c:v>
                </c:pt>
                <c:pt idx="2397">
                  <c:v>382.7</c:v>
                </c:pt>
                <c:pt idx="2398">
                  <c:v>381.7</c:v>
                </c:pt>
                <c:pt idx="2399">
                  <c:v>384.1</c:v>
                </c:pt>
                <c:pt idx="2400">
                  <c:v>381.3</c:v>
                </c:pt>
                <c:pt idx="2401">
                  <c:v>376.5</c:v>
                </c:pt>
                <c:pt idx="2402">
                  <c:v>371.8</c:v>
                </c:pt>
                <c:pt idx="2403">
                  <c:v>371.5</c:v>
                </c:pt>
                <c:pt idx="2404">
                  <c:v>374.3</c:v>
                </c:pt>
                <c:pt idx="2405">
                  <c:v>372.7</c:v>
                </c:pt>
                <c:pt idx="2406">
                  <c:v>375.3</c:v>
                </c:pt>
                <c:pt idx="2407">
                  <c:v>374.5</c:v>
                </c:pt>
                <c:pt idx="2408">
                  <c:v>377.7</c:v>
                </c:pt>
                <c:pt idx="2409">
                  <c:v>377.3</c:v>
                </c:pt>
                <c:pt idx="2410">
                  <c:v>376.2</c:v>
                </c:pt>
                <c:pt idx="2411">
                  <c:v>374.9</c:v>
                </c:pt>
                <c:pt idx="2412">
                  <c:v>371.2</c:v>
                </c:pt>
                <c:pt idx="2413">
                  <c:v>363.5</c:v>
                </c:pt>
                <c:pt idx="2414">
                  <c:v>358.3</c:v>
                </c:pt>
                <c:pt idx="2415">
                  <c:v>353.7</c:v>
                </c:pt>
                <c:pt idx="2416">
                  <c:v>351.7</c:v>
                </c:pt>
                <c:pt idx="2417">
                  <c:v>348</c:v>
                </c:pt>
                <c:pt idx="2418">
                  <c:v>347</c:v>
                </c:pt>
                <c:pt idx="2419">
                  <c:v>349.7</c:v>
                </c:pt>
                <c:pt idx="2420">
                  <c:v>347</c:v>
                </c:pt>
                <c:pt idx="2421">
                  <c:v>345.4</c:v>
                </c:pt>
                <c:pt idx="2422">
                  <c:v>344.7</c:v>
                </c:pt>
                <c:pt idx="2423">
                  <c:v>342</c:v>
                </c:pt>
                <c:pt idx="2424">
                  <c:v>342.4</c:v>
                </c:pt>
                <c:pt idx="2425">
                  <c:v>346.8</c:v>
                </c:pt>
                <c:pt idx="2426">
                  <c:v>346.2</c:v>
                </c:pt>
                <c:pt idx="2427">
                  <c:v>346.9</c:v>
                </c:pt>
                <c:pt idx="2428">
                  <c:v>348.6</c:v>
                </c:pt>
                <c:pt idx="2429">
                  <c:v>349</c:v>
                </c:pt>
                <c:pt idx="2430">
                  <c:v>351.4</c:v>
                </c:pt>
                <c:pt idx="2431">
                  <c:v>353</c:v>
                </c:pt>
                <c:pt idx="2432">
                  <c:v>356.5</c:v>
                </c:pt>
                <c:pt idx="2433">
                  <c:v>356.7</c:v>
                </c:pt>
                <c:pt idx="2434">
                  <c:v>359.4</c:v>
                </c:pt>
                <c:pt idx="2435">
                  <c:v>362.2</c:v>
                </c:pt>
                <c:pt idx="2436">
                  <c:v>366.7</c:v>
                </c:pt>
                <c:pt idx="2437">
                  <c:v>368.7</c:v>
                </c:pt>
                <c:pt idx="2438">
                  <c:v>371.8</c:v>
                </c:pt>
                <c:pt idx="2439">
                  <c:v>373.1</c:v>
                </c:pt>
                <c:pt idx="2440">
                  <c:v>375.4</c:v>
                </c:pt>
                <c:pt idx="2442">
                  <c:v>279</c:v>
                </c:pt>
                <c:pt idx="2443">
                  <c:v>281.89999999999998</c:v>
                </c:pt>
                <c:pt idx="2444">
                  <c:v>286.60000000000002</c:v>
                </c:pt>
                <c:pt idx="2445">
                  <c:v>287.7</c:v>
                </c:pt>
                <c:pt idx="2446">
                  <c:v>285.39999999999998</c:v>
                </c:pt>
                <c:pt idx="2447">
                  <c:v>275.7</c:v>
                </c:pt>
                <c:pt idx="2448">
                  <c:v>271.7</c:v>
                </c:pt>
                <c:pt idx="2449">
                  <c:v>268.8</c:v>
                </c:pt>
                <c:pt idx="2450">
                  <c:v>264.89999999999998</c:v>
                </c:pt>
                <c:pt idx="2451">
                  <c:v>262.5</c:v>
                </c:pt>
                <c:pt idx="2452">
                  <c:v>262.3</c:v>
                </c:pt>
                <c:pt idx="2453">
                  <c:v>254.5</c:v>
                </c:pt>
                <c:pt idx="2454">
                  <c:v>252.8</c:v>
                </c:pt>
                <c:pt idx="2455">
                  <c:v>248.6</c:v>
                </c:pt>
                <c:pt idx="2456">
                  <c:v>246.2</c:v>
                </c:pt>
                <c:pt idx="2457">
                  <c:v>243.1</c:v>
                </c:pt>
                <c:pt idx="2458">
                  <c:v>239.5</c:v>
                </c:pt>
                <c:pt idx="2459">
                  <c:v>237.1</c:v>
                </c:pt>
                <c:pt idx="2460">
                  <c:v>234.1</c:v>
                </c:pt>
                <c:pt idx="2461">
                  <c:v>236.1</c:v>
                </c:pt>
                <c:pt idx="2462">
                  <c:v>233.3</c:v>
                </c:pt>
                <c:pt idx="2463">
                  <c:v>229.4</c:v>
                </c:pt>
                <c:pt idx="2464">
                  <c:v>226.5</c:v>
                </c:pt>
                <c:pt idx="2465">
                  <c:v>224.3</c:v>
                </c:pt>
                <c:pt idx="2466">
                  <c:v>219.9</c:v>
                </c:pt>
                <c:pt idx="2467">
                  <c:v>219.7</c:v>
                </c:pt>
                <c:pt idx="2468">
                  <c:v>218.3</c:v>
                </c:pt>
                <c:pt idx="2469">
                  <c:v>221.6</c:v>
                </c:pt>
                <c:pt idx="2470">
                  <c:v>223.6</c:v>
                </c:pt>
                <c:pt idx="2471">
                  <c:v>231.2</c:v>
                </c:pt>
                <c:pt idx="2472">
                  <c:v>236.2</c:v>
                </c:pt>
                <c:pt idx="2473">
                  <c:v>243.4</c:v>
                </c:pt>
                <c:pt idx="2474">
                  <c:v>249</c:v>
                </c:pt>
                <c:pt idx="2475">
                  <c:v>250.1</c:v>
                </c:pt>
                <c:pt idx="2476">
                  <c:v>253.4</c:v>
                </c:pt>
                <c:pt idx="2477">
                  <c:v>260.60000000000002</c:v>
                </c:pt>
                <c:pt idx="2478">
                  <c:v>268.7</c:v>
                </c:pt>
                <c:pt idx="2479">
                  <c:v>275.2</c:v>
                </c:pt>
                <c:pt idx="2480">
                  <c:v>277.3</c:v>
                </c:pt>
                <c:pt idx="2481">
                  <c:v>278.39999999999998</c:v>
                </c:pt>
                <c:pt idx="2482">
                  <c:v>279</c:v>
                </c:pt>
                <c:pt idx="2484">
                  <c:v>281.5</c:v>
                </c:pt>
                <c:pt idx="2485">
                  <c:v>285.5</c:v>
                </c:pt>
                <c:pt idx="2486">
                  <c:v>284.5</c:v>
                </c:pt>
                <c:pt idx="2487">
                  <c:v>286.8</c:v>
                </c:pt>
                <c:pt idx="2488">
                  <c:v>286.7</c:v>
                </c:pt>
                <c:pt idx="2489">
                  <c:v>289.89999999999998</c:v>
                </c:pt>
                <c:pt idx="2490">
                  <c:v>284.8</c:v>
                </c:pt>
                <c:pt idx="2491">
                  <c:v>285.10000000000002</c:v>
                </c:pt>
                <c:pt idx="2492">
                  <c:v>279</c:v>
                </c:pt>
                <c:pt idx="2493">
                  <c:v>275.39999999999998</c:v>
                </c:pt>
                <c:pt idx="2494">
                  <c:v>273.5</c:v>
                </c:pt>
                <c:pt idx="2495">
                  <c:v>271.3</c:v>
                </c:pt>
                <c:pt idx="2496">
                  <c:v>267.2</c:v>
                </c:pt>
                <c:pt idx="2497">
                  <c:v>267</c:v>
                </c:pt>
                <c:pt idx="2498">
                  <c:v>264.7</c:v>
                </c:pt>
                <c:pt idx="2499">
                  <c:v>262.2</c:v>
                </c:pt>
                <c:pt idx="2500">
                  <c:v>260</c:v>
                </c:pt>
                <c:pt idx="2501">
                  <c:v>260.60000000000002</c:v>
                </c:pt>
                <c:pt idx="2502">
                  <c:v>257.7</c:v>
                </c:pt>
                <c:pt idx="2503">
                  <c:v>257.2</c:v>
                </c:pt>
                <c:pt idx="2504">
                  <c:v>250.4</c:v>
                </c:pt>
                <c:pt idx="2505">
                  <c:v>247.7</c:v>
                </c:pt>
                <c:pt idx="2506">
                  <c:v>253.3</c:v>
                </c:pt>
                <c:pt idx="2507">
                  <c:v>254.5</c:v>
                </c:pt>
                <c:pt idx="2508">
                  <c:v>262.3</c:v>
                </c:pt>
                <c:pt idx="2509">
                  <c:v>262.3</c:v>
                </c:pt>
                <c:pt idx="2510">
                  <c:v>271.7</c:v>
                </c:pt>
                <c:pt idx="2511">
                  <c:v>274.10000000000002</c:v>
                </c:pt>
                <c:pt idx="2512">
                  <c:v>278.39999999999998</c:v>
                </c:pt>
                <c:pt idx="2513">
                  <c:v>280.10000000000002</c:v>
                </c:pt>
                <c:pt idx="2514">
                  <c:v>281.5</c:v>
                </c:pt>
                <c:pt idx="2516">
                  <c:v>311.39999999999998</c:v>
                </c:pt>
                <c:pt idx="2517">
                  <c:v>312.60000000000002</c:v>
                </c:pt>
                <c:pt idx="2518">
                  <c:v>308.39999999999998</c:v>
                </c:pt>
                <c:pt idx="2519">
                  <c:v>305.10000000000002</c:v>
                </c:pt>
                <c:pt idx="2520">
                  <c:v>306.7</c:v>
                </c:pt>
                <c:pt idx="2521">
                  <c:v>305.2</c:v>
                </c:pt>
                <c:pt idx="2522">
                  <c:v>307.39999999999998</c:v>
                </c:pt>
                <c:pt idx="2523">
                  <c:v>307.5</c:v>
                </c:pt>
                <c:pt idx="2524">
                  <c:v>305.8</c:v>
                </c:pt>
                <c:pt idx="2525">
                  <c:v>302.8</c:v>
                </c:pt>
                <c:pt idx="2526">
                  <c:v>302.8</c:v>
                </c:pt>
                <c:pt idx="2527">
                  <c:v>298.8</c:v>
                </c:pt>
                <c:pt idx="2528">
                  <c:v>297.10000000000002</c:v>
                </c:pt>
                <c:pt idx="2529">
                  <c:v>296.2</c:v>
                </c:pt>
                <c:pt idx="2530">
                  <c:v>293.60000000000002</c:v>
                </c:pt>
                <c:pt idx="2531">
                  <c:v>292.3</c:v>
                </c:pt>
                <c:pt idx="2532">
                  <c:v>289.89999999999998</c:v>
                </c:pt>
                <c:pt idx="2533">
                  <c:v>289.39999999999998</c:v>
                </c:pt>
                <c:pt idx="2534">
                  <c:v>286.7</c:v>
                </c:pt>
                <c:pt idx="2535">
                  <c:v>286.8</c:v>
                </c:pt>
                <c:pt idx="2536">
                  <c:v>284.5</c:v>
                </c:pt>
                <c:pt idx="2537">
                  <c:v>285.5</c:v>
                </c:pt>
                <c:pt idx="2538">
                  <c:v>288.5</c:v>
                </c:pt>
                <c:pt idx="2539">
                  <c:v>293</c:v>
                </c:pt>
                <c:pt idx="2540">
                  <c:v>296.3</c:v>
                </c:pt>
                <c:pt idx="2541">
                  <c:v>297.7</c:v>
                </c:pt>
                <c:pt idx="2542">
                  <c:v>299.10000000000002</c:v>
                </c:pt>
                <c:pt idx="2543">
                  <c:v>301.8</c:v>
                </c:pt>
                <c:pt idx="2544">
                  <c:v>307.39999999999998</c:v>
                </c:pt>
                <c:pt idx="2545">
                  <c:v>311.39999999999998</c:v>
                </c:pt>
                <c:pt idx="2547">
                  <c:v>317.39999999999998</c:v>
                </c:pt>
                <c:pt idx="2548">
                  <c:v>317.89999999999998</c:v>
                </c:pt>
                <c:pt idx="2549">
                  <c:v>321.10000000000002</c:v>
                </c:pt>
                <c:pt idx="2550">
                  <c:v>321.2</c:v>
                </c:pt>
                <c:pt idx="2551">
                  <c:v>324.8</c:v>
                </c:pt>
                <c:pt idx="2552">
                  <c:v>325.39999999999998</c:v>
                </c:pt>
                <c:pt idx="2553">
                  <c:v>328.9</c:v>
                </c:pt>
                <c:pt idx="2554">
                  <c:v>329.7</c:v>
                </c:pt>
                <c:pt idx="2555">
                  <c:v>334</c:v>
                </c:pt>
                <c:pt idx="2556">
                  <c:v>335.8</c:v>
                </c:pt>
                <c:pt idx="2557">
                  <c:v>336.2</c:v>
                </c:pt>
                <c:pt idx="2558">
                  <c:v>334.3</c:v>
                </c:pt>
                <c:pt idx="2559">
                  <c:v>338.3</c:v>
                </c:pt>
                <c:pt idx="2560">
                  <c:v>338.3</c:v>
                </c:pt>
                <c:pt idx="2561">
                  <c:v>333.5</c:v>
                </c:pt>
                <c:pt idx="2562">
                  <c:v>333.4</c:v>
                </c:pt>
                <c:pt idx="2563">
                  <c:v>334.7</c:v>
                </c:pt>
                <c:pt idx="2564">
                  <c:v>340</c:v>
                </c:pt>
                <c:pt idx="2565">
                  <c:v>342.4</c:v>
                </c:pt>
                <c:pt idx="2566">
                  <c:v>340.8</c:v>
                </c:pt>
                <c:pt idx="2567">
                  <c:v>338.3</c:v>
                </c:pt>
                <c:pt idx="2568">
                  <c:v>339.1</c:v>
                </c:pt>
                <c:pt idx="2569">
                  <c:v>336</c:v>
                </c:pt>
                <c:pt idx="2570">
                  <c:v>333.6</c:v>
                </c:pt>
                <c:pt idx="2571">
                  <c:v>332.6</c:v>
                </c:pt>
                <c:pt idx="2572">
                  <c:v>327.9</c:v>
                </c:pt>
                <c:pt idx="2573">
                  <c:v>325.5</c:v>
                </c:pt>
                <c:pt idx="2574">
                  <c:v>323</c:v>
                </c:pt>
                <c:pt idx="2575">
                  <c:v>316.10000000000002</c:v>
                </c:pt>
                <c:pt idx="2576">
                  <c:v>312.3</c:v>
                </c:pt>
                <c:pt idx="2577">
                  <c:v>312.7</c:v>
                </c:pt>
                <c:pt idx="2578">
                  <c:v>311.60000000000002</c:v>
                </c:pt>
                <c:pt idx="2579">
                  <c:v>305.5</c:v>
                </c:pt>
                <c:pt idx="2580">
                  <c:v>300.10000000000002</c:v>
                </c:pt>
                <c:pt idx="2581">
                  <c:v>297.60000000000002</c:v>
                </c:pt>
                <c:pt idx="2582">
                  <c:v>295.5</c:v>
                </c:pt>
                <c:pt idx="2583">
                  <c:v>296.10000000000002</c:v>
                </c:pt>
                <c:pt idx="2584">
                  <c:v>301.3</c:v>
                </c:pt>
                <c:pt idx="2585">
                  <c:v>302.8</c:v>
                </c:pt>
                <c:pt idx="2586">
                  <c:v>302.8</c:v>
                </c:pt>
                <c:pt idx="2587">
                  <c:v>305.89999999999998</c:v>
                </c:pt>
                <c:pt idx="2588">
                  <c:v>307.8</c:v>
                </c:pt>
                <c:pt idx="2589">
                  <c:v>305.3</c:v>
                </c:pt>
                <c:pt idx="2590">
                  <c:v>306.7</c:v>
                </c:pt>
                <c:pt idx="2591">
                  <c:v>305.10000000000002</c:v>
                </c:pt>
                <c:pt idx="2592">
                  <c:v>308.39999999999998</c:v>
                </c:pt>
                <c:pt idx="2593">
                  <c:v>312.60000000000002</c:v>
                </c:pt>
                <c:pt idx="2594">
                  <c:v>312.39999999999998</c:v>
                </c:pt>
                <c:pt idx="2595">
                  <c:v>311.10000000000002</c:v>
                </c:pt>
                <c:pt idx="2596">
                  <c:v>305.10000000000002</c:v>
                </c:pt>
                <c:pt idx="2597">
                  <c:v>311.3</c:v>
                </c:pt>
                <c:pt idx="2598">
                  <c:v>317.39999999999998</c:v>
                </c:pt>
                <c:pt idx="2600">
                  <c:v>329.4</c:v>
                </c:pt>
                <c:pt idx="2601">
                  <c:v>333.4</c:v>
                </c:pt>
                <c:pt idx="2602">
                  <c:v>334.3</c:v>
                </c:pt>
                <c:pt idx="2603">
                  <c:v>338.4</c:v>
                </c:pt>
                <c:pt idx="2604">
                  <c:v>337.5</c:v>
                </c:pt>
                <c:pt idx="2605">
                  <c:v>342.2</c:v>
                </c:pt>
                <c:pt idx="2606">
                  <c:v>342.4</c:v>
                </c:pt>
                <c:pt idx="2607">
                  <c:v>348.7</c:v>
                </c:pt>
                <c:pt idx="2608">
                  <c:v>339.9</c:v>
                </c:pt>
                <c:pt idx="2609">
                  <c:v>336.1</c:v>
                </c:pt>
                <c:pt idx="2610">
                  <c:v>334.7</c:v>
                </c:pt>
                <c:pt idx="2611">
                  <c:v>329.7</c:v>
                </c:pt>
                <c:pt idx="2612">
                  <c:v>328.9</c:v>
                </c:pt>
                <c:pt idx="2613">
                  <c:v>325.39999999999998</c:v>
                </c:pt>
                <c:pt idx="2614">
                  <c:v>324.8</c:v>
                </c:pt>
                <c:pt idx="2615">
                  <c:v>321.2</c:v>
                </c:pt>
                <c:pt idx="2616">
                  <c:v>321.10000000000002</c:v>
                </c:pt>
                <c:pt idx="2617">
                  <c:v>317.60000000000002</c:v>
                </c:pt>
                <c:pt idx="2618">
                  <c:v>317.60000000000002</c:v>
                </c:pt>
                <c:pt idx="2619">
                  <c:v>322.3</c:v>
                </c:pt>
                <c:pt idx="2620">
                  <c:v>324.3</c:v>
                </c:pt>
                <c:pt idx="2621">
                  <c:v>324.60000000000002</c:v>
                </c:pt>
                <c:pt idx="2622">
                  <c:v>328.7</c:v>
                </c:pt>
                <c:pt idx="2623">
                  <c:v>329.4</c:v>
                </c:pt>
                <c:pt idx="2625">
                  <c:v>361</c:v>
                </c:pt>
                <c:pt idx="2626">
                  <c:v>368.4</c:v>
                </c:pt>
                <c:pt idx="2627">
                  <c:v>356.1</c:v>
                </c:pt>
                <c:pt idx="2628">
                  <c:v>353.8</c:v>
                </c:pt>
                <c:pt idx="2629">
                  <c:v>351.8</c:v>
                </c:pt>
                <c:pt idx="2630">
                  <c:v>348.1</c:v>
                </c:pt>
                <c:pt idx="2631">
                  <c:v>344.8</c:v>
                </c:pt>
                <c:pt idx="2632">
                  <c:v>342.3</c:v>
                </c:pt>
                <c:pt idx="2633">
                  <c:v>338.9</c:v>
                </c:pt>
                <c:pt idx="2634">
                  <c:v>338.3</c:v>
                </c:pt>
                <c:pt idx="2635">
                  <c:v>340.8</c:v>
                </c:pt>
                <c:pt idx="2636">
                  <c:v>342.4</c:v>
                </c:pt>
                <c:pt idx="2637">
                  <c:v>340</c:v>
                </c:pt>
                <c:pt idx="2638">
                  <c:v>334.7</c:v>
                </c:pt>
                <c:pt idx="2639">
                  <c:v>332.9</c:v>
                </c:pt>
                <c:pt idx="2640">
                  <c:v>333.5</c:v>
                </c:pt>
                <c:pt idx="2641">
                  <c:v>343.9</c:v>
                </c:pt>
                <c:pt idx="2642">
                  <c:v>347.5</c:v>
                </c:pt>
                <c:pt idx="2643">
                  <c:v>350.8</c:v>
                </c:pt>
                <c:pt idx="2644">
                  <c:v>356.7</c:v>
                </c:pt>
                <c:pt idx="2645">
                  <c:v>361</c:v>
                </c:pt>
                <c:pt idx="2647">
                  <c:v>296</c:v>
                </c:pt>
                <c:pt idx="2648">
                  <c:v>294.8</c:v>
                </c:pt>
                <c:pt idx="2649">
                  <c:v>292.7</c:v>
                </c:pt>
                <c:pt idx="2650">
                  <c:v>293.2</c:v>
                </c:pt>
                <c:pt idx="2651">
                  <c:v>290.3</c:v>
                </c:pt>
                <c:pt idx="2652">
                  <c:v>288.8</c:v>
                </c:pt>
                <c:pt idx="2653">
                  <c:v>285.60000000000002</c:v>
                </c:pt>
                <c:pt idx="2654">
                  <c:v>283.3</c:v>
                </c:pt>
                <c:pt idx="2655">
                  <c:v>282.89999999999998</c:v>
                </c:pt>
                <c:pt idx="2656">
                  <c:v>280</c:v>
                </c:pt>
                <c:pt idx="2657">
                  <c:v>277.89999999999998</c:v>
                </c:pt>
                <c:pt idx="2658">
                  <c:v>275.89999999999998</c:v>
                </c:pt>
                <c:pt idx="2659">
                  <c:v>272.7</c:v>
                </c:pt>
                <c:pt idx="2660">
                  <c:v>270.10000000000002</c:v>
                </c:pt>
                <c:pt idx="2661">
                  <c:v>267</c:v>
                </c:pt>
                <c:pt idx="2662">
                  <c:v>268.10000000000002</c:v>
                </c:pt>
                <c:pt idx="2663">
                  <c:v>270.5</c:v>
                </c:pt>
                <c:pt idx="2664">
                  <c:v>269.8</c:v>
                </c:pt>
                <c:pt idx="2665">
                  <c:v>273.2</c:v>
                </c:pt>
                <c:pt idx="2666">
                  <c:v>270.8</c:v>
                </c:pt>
                <c:pt idx="2667">
                  <c:v>275.10000000000002</c:v>
                </c:pt>
                <c:pt idx="2668">
                  <c:v>276.10000000000002</c:v>
                </c:pt>
                <c:pt idx="2669">
                  <c:v>279.10000000000002</c:v>
                </c:pt>
                <c:pt idx="2670">
                  <c:v>286.3</c:v>
                </c:pt>
                <c:pt idx="2671">
                  <c:v>288.7</c:v>
                </c:pt>
                <c:pt idx="2672">
                  <c:v>290.10000000000002</c:v>
                </c:pt>
                <c:pt idx="2673">
                  <c:v>293.60000000000002</c:v>
                </c:pt>
                <c:pt idx="2674">
                  <c:v>297.8</c:v>
                </c:pt>
                <c:pt idx="2675">
                  <c:v>299.2</c:v>
                </c:pt>
                <c:pt idx="2676">
                  <c:v>301.5</c:v>
                </c:pt>
                <c:pt idx="2677">
                  <c:v>302.8</c:v>
                </c:pt>
                <c:pt idx="2678">
                  <c:v>305</c:v>
                </c:pt>
                <c:pt idx="2679">
                  <c:v>305.10000000000002</c:v>
                </c:pt>
                <c:pt idx="2680">
                  <c:v>301</c:v>
                </c:pt>
                <c:pt idx="2681">
                  <c:v>303.89999999999998</c:v>
                </c:pt>
                <c:pt idx="2682">
                  <c:v>300.60000000000002</c:v>
                </c:pt>
                <c:pt idx="2683">
                  <c:v>302.89999999999998</c:v>
                </c:pt>
                <c:pt idx="2684">
                  <c:v>305.10000000000002</c:v>
                </c:pt>
                <c:pt idx="2685">
                  <c:v>306</c:v>
                </c:pt>
                <c:pt idx="2686">
                  <c:v>309.2</c:v>
                </c:pt>
                <c:pt idx="2687">
                  <c:v>307.10000000000002</c:v>
                </c:pt>
                <c:pt idx="2688">
                  <c:v>305.7</c:v>
                </c:pt>
                <c:pt idx="2689">
                  <c:v>300.60000000000002</c:v>
                </c:pt>
                <c:pt idx="2690">
                  <c:v>298.5</c:v>
                </c:pt>
                <c:pt idx="2691">
                  <c:v>296</c:v>
                </c:pt>
                <c:pt idx="2693">
                  <c:v>295.89999999999998</c:v>
                </c:pt>
                <c:pt idx="2694">
                  <c:v>299.10000000000002</c:v>
                </c:pt>
                <c:pt idx="2695">
                  <c:v>300.8</c:v>
                </c:pt>
                <c:pt idx="2696">
                  <c:v>307</c:v>
                </c:pt>
                <c:pt idx="2697">
                  <c:v>308.5</c:v>
                </c:pt>
                <c:pt idx="2698">
                  <c:v>311.89999999999998</c:v>
                </c:pt>
                <c:pt idx="2699">
                  <c:v>315.10000000000002</c:v>
                </c:pt>
                <c:pt idx="2700">
                  <c:v>317.60000000000002</c:v>
                </c:pt>
                <c:pt idx="2701">
                  <c:v>319.5</c:v>
                </c:pt>
                <c:pt idx="2702">
                  <c:v>321</c:v>
                </c:pt>
                <c:pt idx="2703">
                  <c:v>325.2</c:v>
                </c:pt>
                <c:pt idx="2704">
                  <c:v>326.60000000000002</c:v>
                </c:pt>
                <c:pt idx="2705">
                  <c:v>323.60000000000002</c:v>
                </c:pt>
                <c:pt idx="2706">
                  <c:v>320.60000000000002</c:v>
                </c:pt>
                <c:pt idx="2707">
                  <c:v>324.10000000000002</c:v>
                </c:pt>
                <c:pt idx="2708">
                  <c:v>324.10000000000002</c:v>
                </c:pt>
                <c:pt idx="2709">
                  <c:v>321.2</c:v>
                </c:pt>
                <c:pt idx="2710">
                  <c:v>319.89999999999998</c:v>
                </c:pt>
                <c:pt idx="2711">
                  <c:v>321.10000000000002</c:v>
                </c:pt>
                <c:pt idx="2712">
                  <c:v>316.60000000000002</c:v>
                </c:pt>
                <c:pt idx="2713">
                  <c:v>317.2</c:v>
                </c:pt>
                <c:pt idx="2714">
                  <c:v>319.89999999999998</c:v>
                </c:pt>
                <c:pt idx="2715">
                  <c:v>320.7</c:v>
                </c:pt>
                <c:pt idx="2716">
                  <c:v>318.2</c:v>
                </c:pt>
                <c:pt idx="2717">
                  <c:v>319.5</c:v>
                </c:pt>
                <c:pt idx="2718">
                  <c:v>318.2</c:v>
                </c:pt>
                <c:pt idx="2719">
                  <c:v>316</c:v>
                </c:pt>
                <c:pt idx="2720">
                  <c:v>316.3</c:v>
                </c:pt>
                <c:pt idx="2721">
                  <c:v>306</c:v>
                </c:pt>
                <c:pt idx="2722">
                  <c:v>305.10000000000002</c:v>
                </c:pt>
                <c:pt idx="2723">
                  <c:v>302.89999999999998</c:v>
                </c:pt>
                <c:pt idx="2724">
                  <c:v>300.7</c:v>
                </c:pt>
                <c:pt idx="2725">
                  <c:v>303.89999999999998</c:v>
                </c:pt>
                <c:pt idx="2726">
                  <c:v>301</c:v>
                </c:pt>
                <c:pt idx="2727">
                  <c:v>305.10000000000002</c:v>
                </c:pt>
                <c:pt idx="2728">
                  <c:v>305</c:v>
                </c:pt>
                <c:pt idx="2729">
                  <c:v>302.8</c:v>
                </c:pt>
                <c:pt idx="2730">
                  <c:v>301.5</c:v>
                </c:pt>
                <c:pt idx="2731">
                  <c:v>299.2</c:v>
                </c:pt>
                <c:pt idx="2732">
                  <c:v>297.8</c:v>
                </c:pt>
                <c:pt idx="2733">
                  <c:v>294.7</c:v>
                </c:pt>
                <c:pt idx="2734">
                  <c:v>291.10000000000002</c:v>
                </c:pt>
                <c:pt idx="2735">
                  <c:v>291.89999999999998</c:v>
                </c:pt>
                <c:pt idx="2736">
                  <c:v>290.7</c:v>
                </c:pt>
                <c:pt idx="2737">
                  <c:v>295.89999999999998</c:v>
                </c:pt>
                <c:pt idx="2739">
                  <c:v>269.39999999999998</c:v>
                </c:pt>
                <c:pt idx="2740">
                  <c:v>273.60000000000002</c:v>
                </c:pt>
                <c:pt idx="2741">
                  <c:v>272.10000000000002</c:v>
                </c:pt>
                <c:pt idx="2742">
                  <c:v>274.60000000000002</c:v>
                </c:pt>
                <c:pt idx="2743">
                  <c:v>277.3</c:v>
                </c:pt>
                <c:pt idx="2744">
                  <c:v>275.3</c:v>
                </c:pt>
                <c:pt idx="2745">
                  <c:v>273.8</c:v>
                </c:pt>
                <c:pt idx="2746">
                  <c:v>270.8</c:v>
                </c:pt>
                <c:pt idx="2747">
                  <c:v>265.60000000000002</c:v>
                </c:pt>
                <c:pt idx="2748">
                  <c:v>263.60000000000002</c:v>
                </c:pt>
                <c:pt idx="2749">
                  <c:v>259.39999999999998</c:v>
                </c:pt>
                <c:pt idx="2750">
                  <c:v>260.5</c:v>
                </c:pt>
                <c:pt idx="2751">
                  <c:v>253.9</c:v>
                </c:pt>
                <c:pt idx="2752">
                  <c:v>252.9</c:v>
                </c:pt>
                <c:pt idx="2753">
                  <c:v>254.1</c:v>
                </c:pt>
                <c:pt idx="2754">
                  <c:v>251.9</c:v>
                </c:pt>
                <c:pt idx="2755">
                  <c:v>252.4</c:v>
                </c:pt>
                <c:pt idx="2756">
                  <c:v>249</c:v>
                </c:pt>
                <c:pt idx="2757">
                  <c:v>249.2</c:v>
                </c:pt>
                <c:pt idx="2758">
                  <c:v>252.4</c:v>
                </c:pt>
                <c:pt idx="2759">
                  <c:v>251</c:v>
                </c:pt>
                <c:pt idx="2760">
                  <c:v>253.7</c:v>
                </c:pt>
                <c:pt idx="2761">
                  <c:v>252.2</c:v>
                </c:pt>
                <c:pt idx="2762">
                  <c:v>264</c:v>
                </c:pt>
                <c:pt idx="2763">
                  <c:v>267</c:v>
                </c:pt>
                <c:pt idx="2764">
                  <c:v>268.10000000000002</c:v>
                </c:pt>
                <c:pt idx="2765">
                  <c:v>269.39999999999998</c:v>
                </c:pt>
                <c:pt idx="2767">
                  <c:v>252.4</c:v>
                </c:pt>
                <c:pt idx="2768">
                  <c:v>253.7</c:v>
                </c:pt>
                <c:pt idx="2769">
                  <c:v>251</c:v>
                </c:pt>
                <c:pt idx="2770">
                  <c:v>252.4</c:v>
                </c:pt>
                <c:pt idx="2771">
                  <c:v>249.2</c:v>
                </c:pt>
                <c:pt idx="2772">
                  <c:v>249</c:v>
                </c:pt>
                <c:pt idx="2773">
                  <c:v>252</c:v>
                </c:pt>
                <c:pt idx="2774">
                  <c:v>249.5</c:v>
                </c:pt>
                <c:pt idx="2775">
                  <c:v>245.2</c:v>
                </c:pt>
                <c:pt idx="2776">
                  <c:v>245.7</c:v>
                </c:pt>
                <c:pt idx="2777">
                  <c:v>242.6</c:v>
                </c:pt>
                <c:pt idx="2778">
                  <c:v>246.1</c:v>
                </c:pt>
                <c:pt idx="2779">
                  <c:v>248</c:v>
                </c:pt>
                <c:pt idx="2780">
                  <c:v>250</c:v>
                </c:pt>
                <c:pt idx="2781">
                  <c:v>252.4</c:v>
                </c:pt>
                <c:pt idx="2783">
                  <c:v>237.2</c:v>
                </c:pt>
                <c:pt idx="2784">
                  <c:v>245.9</c:v>
                </c:pt>
                <c:pt idx="2785">
                  <c:v>252.2</c:v>
                </c:pt>
                <c:pt idx="2786">
                  <c:v>250</c:v>
                </c:pt>
                <c:pt idx="2787">
                  <c:v>248</c:v>
                </c:pt>
                <c:pt idx="2788">
                  <c:v>246.1</c:v>
                </c:pt>
                <c:pt idx="2789">
                  <c:v>241.5</c:v>
                </c:pt>
                <c:pt idx="2790">
                  <c:v>236.2</c:v>
                </c:pt>
                <c:pt idx="2791">
                  <c:v>235.6</c:v>
                </c:pt>
                <c:pt idx="2792">
                  <c:v>234.1</c:v>
                </c:pt>
                <c:pt idx="2793">
                  <c:v>236.7</c:v>
                </c:pt>
                <c:pt idx="2794">
                  <c:v>236.9</c:v>
                </c:pt>
                <c:pt idx="2795">
                  <c:v>235</c:v>
                </c:pt>
                <c:pt idx="2796">
                  <c:v>237</c:v>
                </c:pt>
                <c:pt idx="2797">
                  <c:v>237.2</c:v>
                </c:pt>
                <c:pt idx="2799">
                  <c:v>260.5</c:v>
                </c:pt>
                <c:pt idx="2800">
                  <c:v>263</c:v>
                </c:pt>
                <c:pt idx="2801">
                  <c:v>263.7</c:v>
                </c:pt>
                <c:pt idx="2802">
                  <c:v>252.7</c:v>
                </c:pt>
                <c:pt idx="2803">
                  <c:v>245.9</c:v>
                </c:pt>
                <c:pt idx="2804">
                  <c:v>237.8</c:v>
                </c:pt>
                <c:pt idx="2805">
                  <c:v>239.7</c:v>
                </c:pt>
                <c:pt idx="2806">
                  <c:v>239.3</c:v>
                </c:pt>
                <c:pt idx="2807">
                  <c:v>241.4</c:v>
                </c:pt>
                <c:pt idx="2808">
                  <c:v>245.4</c:v>
                </c:pt>
                <c:pt idx="2809">
                  <c:v>247.1</c:v>
                </c:pt>
                <c:pt idx="2810">
                  <c:v>249.5</c:v>
                </c:pt>
                <c:pt idx="2811">
                  <c:v>250.3</c:v>
                </c:pt>
                <c:pt idx="2812">
                  <c:v>253.5</c:v>
                </c:pt>
                <c:pt idx="2813">
                  <c:v>254.5</c:v>
                </c:pt>
                <c:pt idx="2814">
                  <c:v>259.39999999999998</c:v>
                </c:pt>
                <c:pt idx="2815">
                  <c:v>260.5</c:v>
                </c:pt>
                <c:pt idx="2817">
                  <c:v>279.39999999999998</c:v>
                </c:pt>
                <c:pt idx="2818">
                  <c:v>280.39999999999998</c:v>
                </c:pt>
                <c:pt idx="2819">
                  <c:v>285.3</c:v>
                </c:pt>
                <c:pt idx="2820">
                  <c:v>286.7</c:v>
                </c:pt>
                <c:pt idx="2821">
                  <c:v>289</c:v>
                </c:pt>
                <c:pt idx="2822">
                  <c:v>289.3</c:v>
                </c:pt>
                <c:pt idx="2823">
                  <c:v>286.60000000000002</c:v>
                </c:pt>
                <c:pt idx="2824">
                  <c:v>287.2</c:v>
                </c:pt>
                <c:pt idx="2825">
                  <c:v>285.5</c:v>
                </c:pt>
                <c:pt idx="2826">
                  <c:v>287</c:v>
                </c:pt>
                <c:pt idx="2827">
                  <c:v>273.89999999999998</c:v>
                </c:pt>
                <c:pt idx="2828">
                  <c:v>272.10000000000002</c:v>
                </c:pt>
                <c:pt idx="2829">
                  <c:v>269.60000000000002</c:v>
                </c:pt>
                <c:pt idx="2830">
                  <c:v>268.3</c:v>
                </c:pt>
                <c:pt idx="2831">
                  <c:v>265.2</c:v>
                </c:pt>
                <c:pt idx="2832">
                  <c:v>263.60000000000002</c:v>
                </c:pt>
                <c:pt idx="2833">
                  <c:v>261.10000000000002</c:v>
                </c:pt>
                <c:pt idx="2834">
                  <c:v>258.5</c:v>
                </c:pt>
                <c:pt idx="2835">
                  <c:v>257.39999999999998</c:v>
                </c:pt>
                <c:pt idx="2836">
                  <c:v>255</c:v>
                </c:pt>
                <c:pt idx="2837">
                  <c:v>260.5</c:v>
                </c:pt>
                <c:pt idx="2838">
                  <c:v>259.39999999999998</c:v>
                </c:pt>
                <c:pt idx="2839">
                  <c:v>263.60000000000002</c:v>
                </c:pt>
                <c:pt idx="2840">
                  <c:v>265.60000000000002</c:v>
                </c:pt>
                <c:pt idx="2841">
                  <c:v>270.8</c:v>
                </c:pt>
                <c:pt idx="2842">
                  <c:v>273.8</c:v>
                </c:pt>
                <c:pt idx="2843">
                  <c:v>275.3</c:v>
                </c:pt>
                <c:pt idx="2844">
                  <c:v>279.39999999999998</c:v>
                </c:pt>
                <c:pt idx="2846">
                  <c:v>266.60000000000002</c:v>
                </c:pt>
                <c:pt idx="2847">
                  <c:v>269.5</c:v>
                </c:pt>
                <c:pt idx="2848">
                  <c:v>269.60000000000002</c:v>
                </c:pt>
                <c:pt idx="2849">
                  <c:v>272.10000000000002</c:v>
                </c:pt>
                <c:pt idx="2850">
                  <c:v>273.89999999999998</c:v>
                </c:pt>
                <c:pt idx="2851">
                  <c:v>279.10000000000002</c:v>
                </c:pt>
                <c:pt idx="2852">
                  <c:v>288</c:v>
                </c:pt>
                <c:pt idx="2853">
                  <c:v>284</c:v>
                </c:pt>
                <c:pt idx="2854">
                  <c:v>277.39999999999998</c:v>
                </c:pt>
                <c:pt idx="2855">
                  <c:v>276.10000000000002</c:v>
                </c:pt>
                <c:pt idx="2856">
                  <c:v>273.8</c:v>
                </c:pt>
                <c:pt idx="2857">
                  <c:v>269.5</c:v>
                </c:pt>
                <c:pt idx="2858">
                  <c:v>266.89999999999998</c:v>
                </c:pt>
                <c:pt idx="2859">
                  <c:v>266.8</c:v>
                </c:pt>
                <c:pt idx="2860">
                  <c:v>262.3</c:v>
                </c:pt>
                <c:pt idx="2861">
                  <c:v>261.10000000000002</c:v>
                </c:pt>
                <c:pt idx="2862">
                  <c:v>257.7</c:v>
                </c:pt>
                <c:pt idx="2863">
                  <c:v>256.89999999999998</c:v>
                </c:pt>
                <c:pt idx="2864">
                  <c:v>253.1</c:v>
                </c:pt>
                <c:pt idx="2865">
                  <c:v>252.5</c:v>
                </c:pt>
                <c:pt idx="2866">
                  <c:v>255.9</c:v>
                </c:pt>
                <c:pt idx="2867">
                  <c:v>259.5</c:v>
                </c:pt>
                <c:pt idx="2868">
                  <c:v>261.10000000000002</c:v>
                </c:pt>
                <c:pt idx="2869">
                  <c:v>263.60000000000002</c:v>
                </c:pt>
                <c:pt idx="2870">
                  <c:v>266.60000000000002</c:v>
                </c:pt>
                <c:pt idx="2872">
                  <c:v>283.89999999999998</c:v>
                </c:pt>
                <c:pt idx="2873">
                  <c:v>284.60000000000002</c:v>
                </c:pt>
                <c:pt idx="2874">
                  <c:v>287.2</c:v>
                </c:pt>
                <c:pt idx="2875">
                  <c:v>289.10000000000002</c:v>
                </c:pt>
                <c:pt idx="2876">
                  <c:v>289.5</c:v>
                </c:pt>
                <c:pt idx="2877">
                  <c:v>294</c:v>
                </c:pt>
                <c:pt idx="2878">
                  <c:v>299.8</c:v>
                </c:pt>
                <c:pt idx="2879">
                  <c:v>301.60000000000002</c:v>
                </c:pt>
                <c:pt idx="2880">
                  <c:v>300.10000000000002</c:v>
                </c:pt>
                <c:pt idx="2881">
                  <c:v>302.60000000000002</c:v>
                </c:pt>
                <c:pt idx="2882">
                  <c:v>300.89999999999998</c:v>
                </c:pt>
                <c:pt idx="2883">
                  <c:v>298.39999999999998</c:v>
                </c:pt>
                <c:pt idx="2884">
                  <c:v>295.60000000000002</c:v>
                </c:pt>
                <c:pt idx="2885">
                  <c:v>297.3</c:v>
                </c:pt>
                <c:pt idx="2886">
                  <c:v>294.60000000000002</c:v>
                </c:pt>
                <c:pt idx="2887">
                  <c:v>294.10000000000002</c:v>
                </c:pt>
                <c:pt idx="2888">
                  <c:v>286.7</c:v>
                </c:pt>
                <c:pt idx="2889">
                  <c:v>284.2</c:v>
                </c:pt>
                <c:pt idx="2890">
                  <c:v>276.89999999999998</c:v>
                </c:pt>
                <c:pt idx="2891">
                  <c:v>276.60000000000002</c:v>
                </c:pt>
                <c:pt idx="2892">
                  <c:v>271.39999999999998</c:v>
                </c:pt>
                <c:pt idx="2893">
                  <c:v>270.2</c:v>
                </c:pt>
                <c:pt idx="2894">
                  <c:v>267.8</c:v>
                </c:pt>
                <c:pt idx="2895">
                  <c:v>261.60000000000002</c:v>
                </c:pt>
                <c:pt idx="2896">
                  <c:v>262</c:v>
                </c:pt>
                <c:pt idx="2897">
                  <c:v>266.8</c:v>
                </c:pt>
                <c:pt idx="2898">
                  <c:v>267.39999999999998</c:v>
                </c:pt>
                <c:pt idx="2899">
                  <c:v>269.5</c:v>
                </c:pt>
                <c:pt idx="2900">
                  <c:v>272.5</c:v>
                </c:pt>
                <c:pt idx="2901">
                  <c:v>276.10000000000002</c:v>
                </c:pt>
                <c:pt idx="2902">
                  <c:v>277.39999999999998</c:v>
                </c:pt>
                <c:pt idx="2903">
                  <c:v>283.89999999999998</c:v>
                </c:pt>
                <c:pt idx="2905">
                  <c:v>248.6</c:v>
                </c:pt>
                <c:pt idx="2906">
                  <c:v>250</c:v>
                </c:pt>
                <c:pt idx="2907">
                  <c:v>249.1</c:v>
                </c:pt>
                <c:pt idx="2908">
                  <c:v>254.8</c:v>
                </c:pt>
                <c:pt idx="2909">
                  <c:v>261.2</c:v>
                </c:pt>
                <c:pt idx="2910">
                  <c:v>259.8</c:v>
                </c:pt>
                <c:pt idx="2911">
                  <c:v>260.7</c:v>
                </c:pt>
                <c:pt idx="2912">
                  <c:v>257</c:v>
                </c:pt>
                <c:pt idx="2913">
                  <c:v>259.39999999999998</c:v>
                </c:pt>
                <c:pt idx="2914">
                  <c:v>254.5</c:v>
                </c:pt>
                <c:pt idx="2915">
                  <c:v>254.2</c:v>
                </c:pt>
                <c:pt idx="2916">
                  <c:v>252.2</c:v>
                </c:pt>
                <c:pt idx="2917">
                  <c:v>249.2</c:v>
                </c:pt>
                <c:pt idx="2918">
                  <c:v>246.7</c:v>
                </c:pt>
                <c:pt idx="2919">
                  <c:v>243.4</c:v>
                </c:pt>
                <c:pt idx="2920">
                  <c:v>239.3</c:v>
                </c:pt>
                <c:pt idx="2921">
                  <c:v>239.4</c:v>
                </c:pt>
                <c:pt idx="2922">
                  <c:v>236.9</c:v>
                </c:pt>
                <c:pt idx="2923">
                  <c:v>236.9</c:v>
                </c:pt>
                <c:pt idx="2924">
                  <c:v>235.2</c:v>
                </c:pt>
                <c:pt idx="2925">
                  <c:v>236.5</c:v>
                </c:pt>
                <c:pt idx="2926">
                  <c:v>235.9</c:v>
                </c:pt>
                <c:pt idx="2927">
                  <c:v>240.6</c:v>
                </c:pt>
                <c:pt idx="2928">
                  <c:v>242.9</c:v>
                </c:pt>
                <c:pt idx="2929">
                  <c:v>245.1</c:v>
                </c:pt>
                <c:pt idx="2930">
                  <c:v>243.7</c:v>
                </c:pt>
                <c:pt idx="2931">
                  <c:v>244.4</c:v>
                </c:pt>
                <c:pt idx="2932">
                  <c:v>248.6</c:v>
                </c:pt>
                <c:pt idx="2934">
                  <c:v>280.7</c:v>
                </c:pt>
                <c:pt idx="2935">
                  <c:v>282.89999999999998</c:v>
                </c:pt>
                <c:pt idx="2936">
                  <c:v>283.3</c:v>
                </c:pt>
                <c:pt idx="2937">
                  <c:v>285.60000000000002</c:v>
                </c:pt>
                <c:pt idx="2938">
                  <c:v>288.8</c:v>
                </c:pt>
                <c:pt idx="2939">
                  <c:v>290.3</c:v>
                </c:pt>
                <c:pt idx="2940">
                  <c:v>293.2</c:v>
                </c:pt>
                <c:pt idx="2941">
                  <c:v>292.7</c:v>
                </c:pt>
                <c:pt idx="2942">
                  <c:v>294.8</c:v>
                </c:pt>
                <c:pt idx="2943">
                  <c:v>296</c:v>
                </c:pt>
                <c:pt idx="2944">
                  <c:v>299</c:v>
                </c:pt>
                <c:pt idx="2945">
                  <c:v>299.60000000000002</c:v>
                </c:pt>
                <c:pt idx="2946">
                  <c:v>302.7</c:v>
                </c:pt>
                <c:pt idx="2947">
                  <c:v>300.3</c:v>
                </c:pt>
                <c:pt idx="2948">
                  <c:v>303.7</c:v>
                </c:pt>
                <c:pt idx="2949">
                  <c:v>298.8</c:v>
                </c:pt>
                <c:pt idx="2950">
                  <c:v>296.3</c:v>
                </c:pt>
                <c:pt idx="2951">
                  <c:v>294</c:v>
                </c:pt>
                <c:pt idx="2952">
                  <c:v>291.3</c:v>
                </c:pt>
                <c:pt idx="2953">
                  <c:v>288.2</c:v>
                </c:pt>
                <c:pt idx="2954">
                  <c:v>286.5</c:v>
                </c:pt>
                <c:pt idx="2955">
                  <c:v>289.89999999999998</c:v>
                </c:pt>
                <c:pt idx="2956">
                  <c:v>292.2</c:v>
                </c:pt>
                <c:pt idx="2957">
                  <c:v>290.5</c:v>
                </c:pt>
                <c:pt idx="2958">
                  <c:v>287</c:v>
                </c:pt>
                <c:pt idx="2959">
                  <c:v>284.10000000000002</c:v>
                </c:pt>
                <c:pt idx="2960">
                  <c:v>284.89999999999998</c:v>
                </c:pt>
                <c:pt idx="2961">
                  <c:v>277.3</c:v>
                </c:pt>
                <c:pt idx="2962">
                  <c:v>272.10000000000002</c:v>
                </c:pt>
                <c:pt idx="2963">
                  <c:v>273.60000000000002</c:v>
                </c:pt>
                <c:pt idx="2964">
                  <c:v>271.39999999999998</c:v>
                </c:pt>
                <c:pt idx="2965">
                  <c:v>266</c:v>
                </c:pt>
                <c:pt idx="2966">
                  <c:v>264.60000000000002</c:v>
                </c:pt>
                <c:pt idx="2967">
                  <c:v>266.2</c:v>
                </c:pt>
                <c:pt idx="2968">
                  <c:v>269.3</c:v>
                </c:pt>
                <c:pt idx="2969">
                  <c:v>270.7</c:v>
                </c:pt>
                <c:pt idx="2970">
                  <c:v>278.89999999999998</c:v>
                </c:pt>
                <c:pt idx="2971">
                  <c:v>278.7</c:v>
                </c:pt>
                <c:pt idx="2972">
                  <c:v>279.89999999999998</c:v>
                </c:pt>
                <c:pt idx="2973">
                  <c:v>278.39999999999998</c:v>
                </c:pt>
                <c:pt idx="2974">
                  <c:v>279.60000000000002</c:v>
                </c:pt>
                <c:pt idx="2975">
                  <c:v>280.7</c:v>
                </c:pt>
                <c:pt idx="2977">
                  <c:v>267.89999999999998</c:v>
                </c:pt>
                <c:pt idx="2978">
                  <c:v>271.8</c:v>
                </c:pt>
                <c:pt idx="2979">
                  <c:v>273.3</c:v>
                </c:pt>
                <c:pt idx="2980">
                  <c:v>269.8</c:v>
                </c:pt>
                <c:pt idx="2981">
                  <c:v>270.5</c:v>
                </c:pt>
                <c:pt idx="2982">
                  <c:v>268.10000000000002</c:v>
                </c:pt>
                <c:pt idx="2983">
                  <c:v>267</c:v>
                </c:pt>
                <c:pt idx="2984">
                  <c:v>270.10000000000002</c:v>
                </c:pt>
                <c:pt idx="2985">
                  <c:v>272.7</c:v>
                </c:pt>
                <c:pt idx="2986">
                  <c:v>275.89999999999998</c:v>
                </c:pt>
                <c:pt idx="2987">
                  <c:v>277.7</c:v>
                </c:pt>
                <c:pt idx="2988">
                  <c:v>279</c:v>
                </c:pt>
                <c:pt idx="2989">
                  <c:v>278.39999999999998</c:v>
                </c:pt>
                <c:pt idx="2990">
                  <c:v>279.89999999999998</c:v>
                </c:pt>
                <c:pt idx="2991">
                  <c:v>278.7</c:v>
                </c:pt>
                <c:pt idx="2992">
                  <c:v>278.89999999999998</c:v>
                </c:pt>
                <c:pt idx="2993">
                  <c:v>270.7</c:v>
                </c:pt>
                <c:pt idx="2994">
                  <c:v>269.3</c:v>
                </c:pt>
                <c:pt idx="2995">
                  <c:v>267.10000000000002</c:v>
                </c:pt>
                <c:pt idx="2996">
                  <c:v>263.89999999999998</c:v>
                </c:pt>
                <c:pt idx="2997">
                  <c:v>264</c:v>
                </c:pt>
                <c:pt idx="2998">
                  <c:v>260.60000000000002</c:v>
                </c:pt>
                <c:pt idx="2999">
                  <c:v>261.2</c:v>
                </c:pt>
                <c:pt idx="3000">
                  <c:v>254.8</c:v>
                </c:pt>
                <c:pt idx="3001">
                  <c:v>249.1</c:v>
                </c:pt>
                <c:pt idx="3002">
                  <c:v>249.1</c:v>
                </c:pt>
                <c:pt idx="3003">
                  <c:v>251</c:v>
                </c:pt>
                <c:pt idx="3004">
                  <c:v>253.7</c:v>
                </c:pt>
                <c:pt idx="3005">
                  <c:v>255.3</c:v>
                </c:pt>
                <c:pt idx="3006">
                  <c:v>258.7</c:v>
                </c:pt>
                <c:pt idx="3007">
                  <c:v>260.60000000000002</c:v>
                </c:pt>
                <c:pt idx="3008">
                  <c:v>262.89999999999998</c:v>
                </c:pt>
                <c:pt idx="3009">
                  <c:v>262.10000000000002</c:v>
                </c:pt>
                <c:pt idx="3010">
                  <c:v>265.5</c:v>
                </c:pt>
                <c:pt idx="3011">
                  <c:v>265</c:v>
                </c:pt>
                <c:pt idx="3012">
                  <c:v>267.89999999999998</c:v>
                </c:pt>
                <c:pt idx="3014">
                  <c:v>331.8</c:v>
                </c:pt>
                <c:pt idx="3015">
                  <c:v>332.2</c:v>
                </c:pt>
                <c:pt idx="3016">
                  <c:v>334.7</c:v>
                </c:pt>
                <c:pt idx="3017">
                  <c:v>339.3</c:v>
                </c:pt>
                <c:pt idx="3018">
                  <c:v>341</c:v>
                </c:pt>
                <c:pt idx="3019">
                  <c:v>344.6</c:v>
                </c:pt>
                <c:pt idx="3020">
                  <c:v>350.6</c:v>
                </c:pt>
                <c:pt idx="3021">
                  <c:v>352</c:v>
                </c:pt>
                <c:pt idx="3022">
                  <c:v>354.6</c:v>
                </c:pt>
                <c:pt idx="3023">
                  <c:v>352.9</c:v>
                </c:pt>
                <c:pt idx="3024">
                  <c:v>350.7</c:v>
                </c:pt>
                <c:pt idx="3025">
                  <c:v>348.6</c:v>
                </c:pt>
                <c:pt idx="3026">
                  <c:v>346</c:v>
                </c:pt>
                <c:pt idx="3027">
                  <c:v>338.4</c:v>
                </c:pt>
                <c:pt idx="3028">
                  <c:v>336.2</c:v>
                </c:pt>
                <c:pt idx="3029">
                  <c:v>334.6</c:v>
                </c:pt>
                <c:pt idx="3030">
                  <c:v>336.8</c:v>
                </c:pt>
                <c:pt idx="3031">
                  <c:v>336.6</c:v>
                </c:pt>
                <c:pt idx="3032">
                  <c:v>334.4</c:v>
                </c:pt>
                <c:pt idx="3033">
                  <c:v>329.4</c:v>
                </c:pt>
                <c:pt idx="3034">
                  <c:v>325.2</c:v>
                </c:pt>
                <c:pt idx="3035">
                  <c:v>322.2</c:v>
                </c:pt>
                <c:pt idx="3036">
                  <c:v>318.7</c:v>
                </c:pt>
                <c:pt idx="3037">
                  <c:v>318.2</c:v>
                </c:pt>
                <c:pt idx="3038">
                  <c:v>320.7</c:v>
                </c:pt>
                <c:pt idx="3039">
                  <c:v>319.89999999999998</c:v>
                </c:pt>
                <c:pt idx="3040">
                  <c:v>317.2</c:v>
                </c:pt>
                <c:pt idx="3041">
                  <c:v>316.60000000000002</c:v>
                </c:pt>
                <c:pt idx="3042">
                  <c:v>321.10000000000002</c:v>
                </c:pt>
                <c:pt idx="3043">
                  <c:v>319.89999999999998</c:v>
                </c:pt>
                <c:pt idx="3044">
                  <c:v>321.2</c:v>
                </c:pt>
                <c:pt idx="3045">
                  <c:v>324.10000000000002</c:v>
                </c:pt>
                <c:pt idx="3046">
                  <c:v>324.60000000000002</c:v>
                </c:pt>
                <c:pt idx="3047">
                  <c:v>327.10000000000002</c:v>
                </c:pt>
                <c:pt idx="3048">
                  <c:v>331.8</c:v>
                </c:pt>
                <c:pt idx="3050">
                  <c:v>261.10000000000002</c:v>
                </c:pt>
                <c:pt idx="3051">
                  <c:v>264</c:v>
                </c:pt>
                <c:pt idx="3052">
                  <c:v>263.89999999999998</c:v>
                </c:pt>
                <c:pt idx="3053">
                  <c:v>265.89999999999998</c:v>
                </c:pt>
                <c:pt idx="3054">
                  <c:v>265.10000000000002</c:v>
                </c:pt>
                <c:pt idx="3055">
                  <c:v>266.2</c:v>
                </c:pt>
                <c:pt idx="3056">
                  <c:v>264.3</c:v>
                </c:pt>
                <c:pt idx="3057">
                  <c:v>265.89999999999998</c:v>
                </c:pt>
                <c:pt idx="3058">
                  <c:v>268.10000000000002</c:v>
                </c:pt>
                <c:pt idx="3059">
                  <c:v>267</c:v>
                </c:pt>
                <c:pt idx="3060">
                  <c:v>264.10000000000002</c:v>
                </c:pt>
                <c:pt idx="3061">
                  <c:v>263</c:v>
                </c:pt>
                <c:pt idx="3062">
                  <c:v>257</c:v>
                </c:pt>
                <c:pt idx="3063">
                  <c:v>260.2</c:v>
                </c:pt>
                <c:pt idx="3064">
                  <c:v>261.10000000000002</c:v>
                </c:pt>
                <c:pt idx="3066">
                  <c:v>235.9</c:v>
                </c:pt>
                <c:pt idx="3067">
                  <c:v>236.9</c:v>
                </c:pt>
                <c:pt idx="3068">
                  <c:v>239.4</c:v>
                </c:pt>
                <c:pt idx="3069">
                  <c:v>239.3</c:v>
                </c:pt>
                <c:pt idx="3070">
                  <c:v>245.1</c:v>
                </c:pt>
                <c:pt idx="3071">
                  <c:v>244.6</c:v>
                </c:pt>
                <c:pt idx="3072">
                  <c:v>246.7</c:v>
                </c:pt>
                <c:pt idx="3073">
                  <c:v>245.4</c:v>
                </c:pt>
                <c:pt idx="3074">
                  <c:v>242.2</c:v>
                </c:pt>
                <c:pt idx="3075">
                  <c:v>239.4</c:v>
                </c:pt>
                <c:pt idx="3076">
                  <c:v>240</c:v>
                </c:pt>
                <c:pt idx="3077">
                  <c:v>237.2</c:v>
                </c:pt>
                <c:pt idx="3078">
                  <c:v>237</c:v>
                </c:pt>
                <c:pt idx="3079">
                  <c:v>234.9</c:v>
                </c:pt>
                <c:pt idx="3080">
                  <c:v>224</c:v>
                </c:pt>
                <c:pt idx="3081">
                  <c:v>221.2</c:v>
                </c:pt>
                <c:pt idx="3082">
                  <c:v>222.4</c:v>
                </c:pt>
                <c:pt idx="3083">
                  <c:v>224.1</c:v>
                </c:pt>
                <c:pt idx="3084">
                  <c:v>223.2</c:v>
                </c:pt>
                <c:pt idx="3085">
                  <c:v>222.3</c:v>
                </c:pt>
                <c:pt idx="3086">
                  <c:v>219.7</c:v>
                </c:pt>
                <c:pt idx="3087">
                  <c:v>217.1</c:v>
                </c:pt>
                <c:pt idx="3088">
                  <c:v>210.8</c:v>
                </c:pt>
                <c:pt idx="3089">
                  <c:v>212.6</c:v>
                </c:pt>
                <c:pt idx="3090">
                  <c:v>216.9</c:v>
                </c:pt>
                <c:pt idx="3091">
                  <c:v>218.1</c:v>
                </c:pt>
                <c:pt idx="3092">
                  <c:v>220.3</c:v>
                </c:pt>
                <c:pt idx="3093">
                  <c:v>219.9</c:v>
                </c:pt>
                <c:pt idx="3094">
                  <c:v>221.9</c:v>
                </c:pt>
                <c:pt idx="3095">
                  <c:v>220.9</c:v>
                </c:pt>
                <c:pt idx="3096">
                  <c:v>222.8</c:v>
                </c:pt>
                <c:pt idx="3097">
                  <c:v>225</c:v>
                </c:pt>
                <c:pt idx="3098">
                  <c:v>229.5</c:v>
                </c:pt>
                <c:pt idx="3099">
                  <c:v>232.1</c:v>
                </c:pt>
                <c:pt idx="3100">
                  <c:v>235.9</c:v>
                </c:pt>
                <c:pt idx="3102">
                  <c:v>223.2</c:v>
                </c:pt>
                <c:pt idx="3103">
                  <c:v>222.5</c:v>
                </c:pt>
                <c:pt idx="3104">
                  <c:v>220.9</c:v>
                </c:pt>
                <c:pt idx="3105">
                  <c:v>221.9</c:v>
                </c:pt>
                <c:pt idx="3106">
                  <c:v>220.9</c:v>
                </c:pt>
                <c:pt idx="3107">
                  <c:v>218.4</c:v>
                </c:pt>
                <c:pt idx="3108">
                  <c:v>219.7</c:v>
                </c:pt>
                <c:pt idx="3109">
                  <c:v>217.6</c:v>
                </c:pt>
                <c:pt idx="3110">
                  <c:v>218.2</c:v>
                </c:pt>
                <c:pt idx="3111">
                  <c:v>216.5</c:v>
                </c:pt>
                <c:pt idx="3112">
                  <c:v>218.4</c:v>
                </c:pt>
                <c:pt idx="3113">
                  <c:v>219.8</c:v>
                </c:pt>
                <c:pt idx="3114">
                  <c:v>225.6</c:v>
                </c:pt>
                <c:pt idx="3115">
                  <c:v>227.8</c:v>
                </c:pt>
                <c:pt idx="3116">
                  <c:v>228.4</c:v>
                </c:pt>
                <c:pt idx="3117">
                  <c:v>232.1</c:v>
                </c:pt>
                <c:pt idx="3118">
                  <c:v>235.4</c:v>
                </c:pt>
                <c:pt idx="3119">
                  <c:v>230.4</c:v>
                </c:pt>
                <c:pt idx="3120">
                  <c:v>229.5</c:v>
                </c:pt>
                <c:pt idx="3121">
                  <c:v>225</c:v>
                </c:pt>
                <c:pt idx="3122">
                  <c:v>223.2</c:v>
                </c:pt>
                <c:pt idx="3124">
                  <c:v>209.1</c:v>
                </c:pt>
                <c:pt idx="3125">
                  <c:v>213.2</c:v>
                </c:pt>
                <c:pt idx="3126">
                  <c:v>217.4</c:v>
                </c:pt>
                <c:pt idx="3127">
                  <c:v>220.5</c:v>
                </c:pt>
                <c:pt idx="3128">
                  <c:v>223.6</c:v>
                </c:pt>
                <c:pt idx="3129">
                  <c:v>228.1</c:v>
                </c:pt>
                <c:pt idx="3130">
                  <c:v>226.8</c:v>
                </c:pt>
                <c:pt idx="3131">
                  <c:v>225.2</c:v>
                </c:pt>
                <c:pt idx="3132">
                  <c:v>226</c:v>
                </c:pt>
                <c:pt idx="3133">
                  <c:v>224.9</c:v>
                </c:pt>
                <c:pt idx="3134">
                  <c:v>227</c:v>
                </c:pt>
                <c:pt idx="3135">
                  <c:v>227.4</c:v>
                </c:pt>
                <c:pt idx="3136">
                  <c:v>231.9</c:v>
                </c:pt>
                <c:pt idx="3137">
                  <c:v>234.7</c:v>
                </c:pt>
                <c:pt idx="3138">
                  <c:v>233.3</c:v>
                </c:pt>
                <c:pt idx="3139">
                  <c:v>228.6</c:v>
                </c:pt>
                <c:pt idx="3140">
                  <c:v>222.5</c:v>
                </c:pt>
                <c:pt idx="3141">
                  <c:v>219.3</c:v>
                </c:pt>
                <c:pt idx="3142">
                  <c:v>215.8</c:v>
                </c:pt>
                <c:pt idx="3143">
                  <c:v>209.2</c:v>
                </c:pt>
                <c:pt idx="3144">
                  <c:v>209.6</c:v>
                </c:pt>
                <c:pt idx="3145">
                  <c:v>208</c:v>
                </c:pt>
                <c:pt idx="3146">
                  <c:v>209.3</c:v>
                </c:pt>
                <c:pt idx="3147">
                  <c:v>212.3</c:v>
                </c:pt>
                <c:pt idx="3148">
                  <c:v>211.8</c:v>
                </c:pt>
                <c:pt idx="3149">
                  <c:v>207.8</c:v>
                </c:pt>
                <c:pt idx="3150">
                  <c:v>202.6</c:v>
                </c:pt>
                <c:pt idx="3151">
                  <c:v>199.8</c:v>
                </c:pt>
                <c:pt idx="3152">
                  <c:v>206.3</c:v>
                </c:pt>
                <c:pt idx="3153">
                  <c:v>207.2</c:v>
                </c:pt>
                <c:pt idx="3154">
                  <c:v>209.1</c:v>
                </c:pt>
                <c:pt idx="3156">
                  <c:v>130.6</c:v>
                </c:pt>
                <c:pt idx="3157">
                  <c:v>130.9</c:v>
                </c:pt>
                <c:pt idx="3158">
                  <c:v>128.4</c:v>
                </c:pt>
                <c:pt idx="3159">
                  <c:v>130.6</c:v>
                </c:pt>
                <c:pt idx="3161">
                  <c:v>153.6</c:v>
                </c:pt>
                <c:pt idx="3162">
                  <c:v>154.9</c:v>
                </c:pt>
                <c:pt idx="3163">
                  <c:v>152.5</c:v>
                </c:pt>
                <c:pt idx="3164">
                  <c:v>153.6</c:v>
                </c:pt>
                <c:pt idx="3166">
                  <c:v>162.6</c:v>
                </c:pt>
                <c:pt idx="3167">
                  <c:v>156.4</c:v>
                </c:pt>
                <c:pt idx="3168">
                  <c:v>156.1</c:v>
                </c:pt>
                <c:pt idx="3169">
                  <c:v>158.80000000000001</c:v>
                </c:pt>
                <c:pt idx="3170">
                  <c:v>158.69999999999999</c:v>
                </c:pt>
                <c:pt idx="3171">
                  <c:v>160.6</c:v>
                </c:pt>
                <c:pt idx="3172">
                  <c:v>160.30000000000001</c:v>
                </c:pt>
                <c:pt idx="3173">
                  <c:v>162.6</c:v>
                </c:pt>
                <c:pt idx="3175">
                  <c:v>167.1</c:v>
                </c:pt>
                <c:pt idx="3176">
                  <c:v>169.8</c:v>
                </c:pt>
                <c:pt idx="3177">
                  <c:v>174.1</c:v>
                </c:pt>
                <c:pt idx="3178">
                  <c:v>175.2</c:v>
                </c:pt>
                <c:pt idx="3179">
                  <c:v>174.1</c:v>
                </c:pt>
                <c:pt idx="3180">
                  <c:v>171.6</c:v>
                </c:pt>
                <c:pt idx="3181">
                  <c:v>168.6</c:v>
                </c:pt>
                <c:pt idx="3182">
                  <c:v>169.2</c:v>
                </c:pt>
                <c:pt idx="3183">
                  <c:v>170.7</c:v>
                </c:pt>
                <c:pt idx="3184">
                  <c:v>172</c:v>
                </c:pt>
                <c:pt idx="3185">
                  <c:v>172.2</c:v>
                </c:pt>
                <c:pt idx="3186">
                  <c:v>174.3</c:v>
                </c:pt>
                <c:pt idx="3187">
                  <c:v>176.3</c:v>
                </c:pt>
                <c:pt idx="3188">
                  <c:v>182.7</c:v>
                </c:pt>
                <c:pt idx="3189">
                  <c:v>183</c:v>
                </c:pt>
                <c:pt idx="3190">
                  <c:v>185.9</c:v>
                </c:pt>
                <c:pt idx="3191">
                  <c:v>181.9</c:v>
                </c:pt>
                <c:pt idx="3192">
                  <c:v>183.2</c:v>
                </c:pt>
                <c:pt idx="3193">
                  <c:v>187.1</c:v>
                </c:pt>
                <c:pt idx="3194">
                  <c:v>187</c:v>
                </c:pt>
                <c:pt idx="3195">
                  <c:v>180.9</c:v>
                </c:pt>
                <c:pt idx="3196">
                  <c:v>168.4</c:v>
                </c:pt>
                <c:pt idx="3197">
                  <c:v>169.6</c:v>
                </c:pt>
                <c:pt idx="3198">
                  <c:v>168.8</c:v>
                </c:pt>
                <c:pt idx="3199">
                  <c:v>170.5</c:v>
                </c:pt>
                <c:pt idx="3200">
                  <c:v>166.6</c:v>
                </c:pt>
                <c:pt idx="3201">
                  <c:v>171.5</c:v>
                </c:pt>
                <c:pt idx="3202">
                  <c:v>166.3</c:v>
                </c:pt>
                <c:pt idx="3203">
                  <c:v>167</c:v>
                </c:pt>
                <c:pt idx="3204">
                  <c:v>164.5</c:v>
                </c:pt>
                <c:pt idx="3205">
                  <c:v>165.8</c:v>
                </c:pt>
                <c:pt idx="3206">
                  <c:v>169</c:v>
                </c:pt>
                <c:pt idx="3207">
                  <c:v>166.1</c:v>
                </c:pt>
                <c:pt idx="3208">
                  <c:v>165.1</c:v>
                </c:pt>
                <c:pt idx="3209">
                  <c:v>164.8</c:v>
                </c:pt>
                <c:pt idx="3210">
                  <c:v>167.1</c:v>
                </c:pt>
                <c:pt idx="3212">
                  <c:v>216.8</c:v>
                </c:pt>
                <c:pt idx="3213">
                  <c:v>218.2</c:v>
                </c:pt>
                <c:pt idx="3214">
                  <c:v>217.6</c:v>
                </c:pt>
                <c:pt idx="3215">
                  <c:v>219.7</c:v>
                </c:pt>
                <c:pt idx="3216">
                  <c:v>218.4</c:v>
                </c:pt>
                <c:pt idx="3217">
                  <c:v>219.7</c:v>
                </c:pt>
                <c:pt idx="3218">
                  <c:v>220.4</c:v>
                </c:pt>
                <c:pt idx="3219">
                  <c:v>218.1</c:v>
                </c:pt>
                <c:pt idx="3220">
                  <c:v>216.9</c:v>
                </c:pt>
                <c:pt idx="3221">
                  <c:v>214.3</c:v>
                </c:pt>
                <c:pt idx="3222">
                  <c:v>209.1</c:v>
                </c:pt>
                <c:pt idx="3223">
                  <c:v>207.3</c:v>
                </c:pt>
                <c:pt idx="3224">
                  <c:v>201.4</c:v>
                </c:pt>
                <c:pt idx="3225">
                  <c:v>201</c:v>
                </c:pt>
                <c:pt idx="3226">
                  <c:v>198.3</c:v>
                </c:pt>
                <c:pt idx="3227">
                  <c:v>195.2</c:v>
                </c:pt>
                <c:pt idx="3228">
                  <c:v>195.6</c:v>
                </c:pt>
                <c:pt idx="3229">
                  <c:v>197.7</c:v>
                </c:pt>
                <c:pt idx="3230">
                  <c:v>195.7</c:v>
                </c:pt>
                <c:pt idx="3231">
                  <c:v>196.4</c:v>
                </c:pt>
                <c:pt idx="3232">
                  <c:v>201.8</c:v>
                </c:pt>
                <c:pt idx="3233">
                  <c:v>202.7</c:v>
                </c:pt>
                <c:pt idx="3234">
                  <c:v>209.6</c:v>
                </c:pt>
                <c:pt idx="3235">
                  <c:v>216.8</c:v>
                </c:pt>
                <c:pt idx="3237">
                  <c:v>157.1</c:v>
                </c:pt>
                <c:pt idx="3238">
                  <c:v>158.1</c:v>
                </c:pt>
                <c:pt idx="3239">
                  <c:v>160.30000000000001</c:v>
                </c:pt>
                <c:pt idx="3240">
                  <c:v>157.9</c:v>
                </c:pt>
                <c:pt idx="3241">
                  <c:v>159.19999999999999</c:v>
                </c:pt>
                <c:pt idx="3242">
                  <c:v>156.5</c:v>
                </c:pt>
                <c:pt idx="3243">
                  <c:v>155.80000000000001</c:v>
                </c:pt>
                <c:pt idx="3244">
                  <c:v>154</c:v>
                </c:pt>
                <c:pt idx="3245">
                  <c:v>151.80000000000001</c:v>
                </c:pt>
                <c:pt idx="3246">
                  <c:v>154.9</c:v>
                </c:pt>
                <c:pt idx="3247">
                  <c:v>156.4</c:v>
                </c:pt>
                <c:pt idx="3248">
                  <c:v>151.4</c:v>
                </c:pt>
                <c:pt idx="3249">
                  <c:v>151.19999999999999</c:v>
                </c:pt>
                <c:pt idx="3250">
                  <c:v>159.30000000000001</c:v>
                </c:pt>
                <c:pt idx="3251">
                  <c:v>163</c:v>
                </c:pt>
                <c:pt idx="3252">
                  <c:v>165.4</c:v>
                </c:pt>
                <c:pt idx="3253">
                  <c:v>164</c:v>
                </c:pt>
                <c:pt idx="3254">
                  <c:v>167.1</c:v>
                </c:pt>
                <c:pt idx="3255">
                  <c:v>168.5</c:v>
                </c:pt>
                <c:pt idx="3256">
                  <c:v>172.8</c:v>
                </c:pt>
                <c:pt idx="3257">
                  <c:v>174.3</c:v>
                </c:pt>
                <c:pt idx="3258">
                  <c:v>175.1</c:v>
                </c:pt>
                <c:pt idx="3259">
                  <c:v>177.8</c:v>
                </c:pt>
                <c:pt idx="3260">
                  <c:v>179.7</c:v>
                </c:pt>
                <c:pt idx="3261">
                  <c:v>179.7</c:v>
                </c:pt>
                <c:pt idx="3262">
                  <c:v>177.9</c:v>
                </c:pt>
                <c:pt idx="3263">
                  <c:v>177.9</c:v>
                </c:pt>
                <c:pt idx="3264">
                  <c:v>175.8</c:v>
                </c:pt>
                <c:pt idx="3265">
                  <c:v>175.8</c:v>
                </c:pt>
                <c:pt idx="3266">
                  <c:v>173.2</c:v>
                </c:pt>
                <c:pt idx="3267">
                  <c:v>162.1</c:v>
                </c:pt>
                <c:pt idx="3268">
                  <c:v>161.1</c:v>
                </c:pt>
                <c:pt idx="3269">
                  <c:v>154</c:v>
                </c:pt>
                <c:pt idx="3270">
                  <c:v>152</c:v>
                </c:pt>
                <c:pt idx="3271">
                  <c:v>153.6</c:v>
                </c:pt>
                <c:pt idx="3272">
                  <c:v>150.30000000000001</c:v>
                </c:pt>
                <c:pt idx="3273">
                  <c:v>151.19999999999999</c:v>
                </c:pt>
                <c:pt idx="3274">
                  <c:v>152.80000000000001</c:v>
                </c:pt>
                <c:pt idx="3275">
                  <c:v>152.5</c:v>
                </c:pt>
                <c:pt idx="3276">
                  <c:v>154.4</c:v>
                </c:pt>
                <c:pt idx="3277">
                  <c:v>154.4</c:v>
                </c:pt>
                <c:pt idx="3278">
                  <c:v>157.1</c:v>
                </c:pt>
                <c:pt idx="3280">
                  <c:v>220.3</c:v>
                </c:pt>
                <c:pt idx="3281">
                  <c:v>222.5</c:v>
                </c:pt>
                <c:pt idx="3282">
                  <c:v>227.2</c:v>
                </c:pt>
                <c:pt idx="3283">
                  <c:v>227.6</c:v>
                </c:pt>
                <c:pt idx="3284">
                  <c:v>229.4</c:v>
                </c:pt>
                <c:pt idx="3285">
                  <c:v>231.6</c:v>
                </c:pt>
                <c:pt idx="3286">
                  <c:v>234.6</c:v>
                </c:pt>
                <c:pt idx="3287">
                  <c:v>239.2</c:v>
                </c:pt>
                <c:pt idx="3288">
                  <c:v>237.9</c:v>
                </c:pt>
                <c:pt idx="3289">
                  <c:v>232.1</c:v>
                </c:pt>
                <c:pt idx="3290">
                  <c:v>231.8</c:v>
                </c:pt>
                <c:pt idx="3291">
                  <c:v>228</c:v>
                </c:pt>
                <c:pt idx="3292">
                  <c:v>227.3</c:v>
                </c:pt>
                <c:pt idx="3293">
                  <c:v>226</c:v>
                </c:pt>
                <c:pt idx="3294">
                  <c:v>224.8</c:v>
                </c:pt>
                <c:pt idx="3295">
                  <c:v>222.2</c:v>
                </c:pt>
                <c:pt idx="3296">
                  <c:v>220.7</c:v>
                </c:pt>
                <c:pt idx="3297">
                  <c:v>217.9</c:v>
                </c:pt>
                <c:pt idx="3298">
                  <c:v>215.4</c:v>
                </c:pt>
                <c:pt idx="3299">
                  <c:v>215.5</c:v>
                </c:pt>
                <c:pt idx="3300">
                  <c:v>213.9</c:v>
                </c:pt>
                <c:pt idx="3301">
                  <c:v>212.1</c:v>
                </c:pt>
                <c:pt idx="3302">
                  <c:v>210</c:v>
                </c:pt>
                <c:pt idx="3303">
                  <c:v>208.6</c:v>
                </c:pt>
                <c:pt idx="3304">
                  <c:v>211.3</c:v>
                </c:pt>
                <c:pt idx="3305">
                  <c:v>215.6</c:v>
                </c:pt>
                <c:pt idx="3306">
                  <c:v>215.9</c:v>
                </c:pt>
                <c:pt idx="3307">
                  <c:v>219.3</c:v>
                </c:pt>
                <c:pt idx="3308">
                  <c:v>220.3</c:v>
                </c:pt>
                <c:pt idx="3310">
                  <c:v>229</c:v>
                </c:pt>
                <c:pt idx="3311">
                  <c:v>232.2</c:v>
                </c:pt>
                <c:pt idx="3312">
                  <c:v>232.7</c:v>
                </c:pt>
                <c:pt idx="3313">
                  <c:v>231.6</c:v>
                </c:pt>
                <c:pt idx="3314">
                  <c:v>235.5</c:v>
                </c:pt>
                <c:pt idx="3315">
                  <c:v>231.6</c:v>
                </c:pt>
                <c:pt idx="3316">
                  <c:v>230.7</c:v>
                </c:pt>
                <c:pt idx="3317">
                  <c:v>229.3</c:v>
                </c:pt>
                <c:pt idx="3318">
                  <c:v>227.6</c:v>
                </c:pt>
                <c:pt idx="3319">
                  <c:v>227.3</c:v>
                </c:pt>
                <c:pt idx="3320">
                  <c:v>227.2</c:v>
                </c:pt>
                <c:pt idx="3321">
                  <c:v>229</c:v>
                </c:pt>
                <c:pt idx="3323">
                  <c:v>183.3</c:v>
                </c:pt>
                <c:pt idx="3324">
                  <c:v>191</c:v>
                </c:pt>
                <c:pt idx="3325">
                  <c:v>194</c:v>
                </c:pt>
                <c:pt idx="3326">
                  <c:v>196.4</c:v>
                </c:pt>
                <c:pt idx="3327">
                  <c:v>195.7</c:v>
                </c:pt>
                <c:pt idx="3328">
                  <c:v>197.6</c:v>
                </c:pt>
                <c:pt idx="3329">
                  <c:v>194</c:v>
                </c:pt>
                <c:pt idx="3330">
                  <c:v>194.7</c:v>
                </c:pt>
                <c:pt idx="3331">
                  <c:v>192.6</c:v>
                </c:pt>
                <c:pt idx="3332">
                  <c:v>190.1</c:v>
                </c:pt>
                <c:pt idx="3333">
                  <c:v>184.9</c:v>
                </c:pt>
                <c:pt idx="3334">
                  <c:v>180.5</c:v>
                </c:pt>
                <c:pt idx="3335">
                  <c:v>174.3</c:v>
                </c:pt>
                <c:pt idx="3336">
                  <c:v>172.8</c:v>
                </c:pt>
                <c:pt idx="3337">
                  <c:v>168.5</c:v>
                </c:pt>
                <c:pt idx="3338">
                  <c:v>167.1</c:v>
                </c:pt>
                <c:pt idx="3339">
                  <c:v>164</c:v>
                </c:pt>
                <c:pt idx="3340">
                  <c:v>165.4</c:v>
                </c:pt>
                <c:pt idx="3341">
                  <c:v>162.80000000000001</c:v>
                </c:pt>
                <c:pt idx="3342">
                  <c:v>166.1</c:v>
                </c:pt>
                <c:pt idx="3343">
                  <c:v>177.8</c:v>
                </c:pt>
                <c:pt idx="3344">
                  <c:v>183.3</c:v>
                </c:pt>
                <c:pt idx="3346">
                  <c:v>160</c:v>
                </c:pt>
                <c:pt idx="3347">
                  <c:v>161.80000000000001</c:v>
                </c:pt>
                <c:pt idx="3348">
                  <c:v>159.30000000000001</c:v>
                </c:pt>
                <c:pt idx="3349">
                  <c:v>160</c:v>
                </c:pt>
                <c:pt idx="3351">
                  <c:v>243</c:v>
                </c:pt>
                <c:pt idx="3352">
                  <c:v>243.9</c:v>
                </c:pt>
                <c:pt idx="3353">
                  <c:v>248.6</c:v>
                </c:pt>
                <c:pt idx="3354">
                  <c:v>251.8</c:v>
                </c:pt>
                <c:pt idx="3355">
                  <c:v>256.60000000000002</c:v>
                </c:pt>
                <c:pt idx="3356">
                  <c:v>257.7</c:v>
                </c:pt>
                <c:pt idx="3357">
                  <c:v>260.7</c:v>
                </c:pt>
                <c:pt idx="3358">
                  <c:v>262.3</c:v>
                </c:pt>
                <c:pt idx="3359">
                  <c:v>261.60000000000002</c:v>
                </c:pt>
                <c:pt idx="3360">
                  <c:v>265.89999999999998</c:v>
                </c:pt>
                <c:pt idx="3361">
                  <c:v>264.3</c:v>
                </c:pt>
                <c:pt idx="3362">
                  <c:v>264.2</c:v>
                </c:pt>
                <c:pt idx="3363">
                  <c:v>266</c:v>
                </c:pt>
                <c:pt idx="3364">
                  <c:v>263.39999999999998</c:v>
                </c:pt>
                <c:pt idx="3365">
                  <c:v>263.7</c:v>
                </c:pt>
                <c:pt idx="3366">
                  <c:v>261.60000000000002</c:v>
                </c:pt>
                <c:pt idx="3367">
                  <c:v>256.5</c:v>
                </c:pt>
                <c:pt idx="3368">
                  <c:v>256.89999999999998</c:v>
                </c:pt>
                <c:pt idx="3369">
                  <c:v>252.7</c:v>
                </c:pt>
                <c:pt idx="3370">
                  <c:v>249.9</c:v>
                </c:pt>
                <c:pt idx="3371">
                  <c:v>248</c:v>
                </c:pt>
                <c:pt idx="3372">
                  <c:v>245.1</c:v>
                </c:pt>
                <c:pt idx="3373">
                  <c:v>242.9</c:v>
                </c:pt>
                <c:pt idx="3374">
                  <c:v>240.9</c:v>
                </c:pt>
                <c:pt idx="3375">
                  <c:v>238.2</c:v>
                </c:pt>
                <c:pt idx="3376">
                  <c:v>237.9</c:v>
                </c:pt>
                <c:pt idx="3377">
                  <c:v>241.9</c:v>
                </c:pt>
                <c:pt idx="3378">
                  <c:v>241.8</c:v>
                </c:pt>
                <c:pt idx="3379">
                  <c:v>243</c:v>
                </c:pt>
                <c:pt idx="3381">
                  <c:v>196.9</c:v>
                </c:pt>
                <c:pt idx="3382">
                  <c:v>195.3</c:v>
                </c:pt>
                <c:pt idx="3383">
                  <c:v>197.9</c:v>
                </c:pt>
                <c:pt idx="3384">
                  <c:v>201.3</c:v>
                </c:pt>
                <c:pt idx="3385">
                  <c:v>203.6</c:v>
                </c:pt>
                <c:pt idx="3386">
                  <c:v>208.8</c:v>
                </c:pt>
                <c:pt idx="3387">
                  <c:v>209.4</c:v>
                </c:pt>
                <c:pt idx="3388">
                  <c:v>216.2</c:v>
                </c:pt>
                <c:pt idx="3389">
                  <c:v>211.3</c:v>
                </c:pt>
                <c:pt idx="3390">
                  <c:v>208.6</c:v>
                </c:pt>
                <c:pt idx="3391">
                  <c:v>210.6</c:v>
                </c:pt>
                <c:pt idx="3392">
                  <c:v>206.2</c:v>
                </c:pt>
                <c:pt idx="3393">
                  <c:v>203</c:v>
                </c:pt>
                <c:pt idx="3394">
                  <c:v>200.3</c:v>
                </c:pt>
                <c:pt idx="3395">
                  <c:v>198.7</c:v>
                </c:pt>
                <c:pt idx="3396">
                  <c:v>196.2</c:v>
                </c:pt>
                <c:pt idx="3397">
                  <c:v>196</c:v>
                </c:pt>
                <c:pt idx="3398">
                  <c:v>194.2</c:v>
                </c:pt>
                <c:pt idx="3399">
                  <c:v>192</c:v>
                </c:pt>
                <c:pt idx="3400">
                  <c:v>192.1</c:v>
                </c:pt>
                <c:pt idx="3401">
                  <c:v>184.9</c:v>
                </c:pt>
                <c:pt idx="3402">
                  <c:v>183.1</c:v>
                </c:pt>
                <c:pt idx="3403">
                  <c:v>187.1</c:v>
                </c:pt>
                <c:pt idx="3404">
                  <c:v>183.2</c:v>
                </c:pt>
                <c:pt idx="3405">
                  <c:v>181.9</c:v>
                </c:pt>
                <c:pt idx="3406">
                  <c:v>183.4</c:v>
                </c:pt>
                <c:pt idx="3407">
                  <c:v>184.2</c:v>
                </c:pt>
                <c:pt idx="3408">
                  <c:v>186.1</c:v>
                </c:pt>
                <c:pt idx="3409">
                  <c:v>188.4</c:v>
                </c:pt>
                <c:pt idx="3410">
                  <c:v>191.7</c:v>
                </c:pt>
                <c:pt idx="3411">
                  <c:v>193.3</c:v>
                </c:pt>
                <c:pt idx="3412">
                  <c:v>196.9</c:v>
                </c:pt>
                <c:pt idx="3414">
                  <c:v>179</c:v>
                </c:pt>
                <c:pt idx="3415">
                  <c:v>176.7</c:v>
                </c:pt>
                <c:pt idx="3416">
                  <c:v>178.9</c:v>
                </c:pt>
                <c:pt idx="3417">
                  <c:v>176</c:v>
                </c:pt>
                <c:pt idx="3418">
                  <c:v>172.9</c:v>
                </c:pt>
                <c:pt idx="3419">
                  <c:v>171.1</c:v>
                </c:pt>
                <c:pt idx="3420">
                  <c:v>167.9</c:v>
                </c:pt>
                <c:pt idx="3421">
                  <c:v>166.3</c:v>
                </c:pt>
                <c:pt idx="3422">
                  <c:v>167</c:v>
                </c:pt>
                <c:pt idx="3423">
                  <c:v>165.7</c:v>
                </c:pt>
                <c:pt idx="3424">
                  <c:v>165.6</c:v>
                </c:pt>
                <c:pt idx="3425">
                  <c:v>167.9</c:v>
                </c:pt>
                <c:pt idx="3426">
                  <c:v>168.4</c:v>
                </c:pt>
                <c:pt idx="3427">
                  <c:v>172</c:v>
                </c:pt>
                <c:pt idx="3428">
                  <c:v>176.3</c:v>
                </c:pt>
                <c:pt idx="3429">
                  <c:v>183.1</c:v>
                </c:pt>
                <c:pt idx="3430">
                  <c:v>184.9</c:v>
                </c:pt>
                <c:pt idx="3431">
                  <c:v>191.9</c:v>
                </c:pt>
                <c:pt idx="3432">
                  <c:v>192</c:v>
                </c:pt>
                <c:pt idx="3433">
                  <c:v>194.2</c:v>
                </c:pt>
                <c:pt idx="3434">
                  <c:v>196</c:v>
                </c:pt>
                <c:pt idx="3435">
                  <c:v>196.2</c:v>
                </c:pt>
                <c:pt idx="3436">
                  <c:v>198.7</c:v>
                </c:pt>
                <c:pt idx="3437">
                  <c:v>193</c:v>
                </c:pt>
                <c:pt idx="3438">
                  <c:v>188</c:v>
                </c:pt>
                <c:pt idx="3439">
                  <c:v>186.9</c:v>
                </c:pt>
                <c:pt idx="3440">
                  <c:v>180.8</c:v>
                </c:pt>
                <c:pt idx="3441">
                  <c:v>181</c:v>
                </c:pt>
                <c:pt idx="3442">
                  <c:v>179</c:v>
                </c:pt>
                <c:pt idx="3444">
                  <c:v>196.9</c:v>
                </c:pt>
                <c:pt idx="3445">
                  <c:v>201.2</c:v>
                </c:pt>
                <c:pt idx="3446">
                  <c:v>199.8</c:v>
                </c:pt>
                <c:pt idx="3447">
                  <c:v>202.6</c:v>
                </c:pt>
                <c:pt idx="3448">
                  <c:v>207.8</c:v>
                </c:pt>
                <c:pt idx="3449">
                  <c:v>211.8</c:v>
                </c:pt>
                <c:pt idx="3450">
                  <c:v>212.5</c:v>
                </c:pt>
                <c:pt idx="3451">
                  <c:v>209.3</c:v>
                </c:pt>
                <c:pt idx="3452">
                  <c:v>209.1</c:v>
                </c:pt>
                <c:pt idx="3453">
                  <c:v>203.6</c:v>
                </c:pt>
                <c:pt idx="3454">
                  <c:v>201.3</c:v>
                </c:pt>
                <c:pt idx="3455">
                  <c:v>197.9</c:v>
                </c:pt>
                <c:pt idx="3456">
                  <c:v>195.3</c:v>
                </c:pt>
                <c:pt idx="3457">
                  <c:v>196.8</c:v>
                </c:pt>
                <c:pt idx="3458">
                  <c:v>193.3</c:v>
                </c:pt>
                <c:pt idx="3459">
                  <c:v>192</c:v>
                </c:pt>
                <c:pt idx="3460">
                  <c:v>188.4</c:v>
                </c:pt>
                <c:pt idx="3461">
                  <c:v>183</c:v>
                </c:pt>
                <c:pt idx="3462">
                  <c:v>182.8</c:v>
                </c:pt>
                <c:pt idx="3463">
                  <c:v>181.3</c:v>
                </c:pt>
                <c:pt idx="3464">
                  <c:v>185.3</c:v>
                </c:pt>
                <c:pt idx="3465">
                  <c:v>186.9</c:v>
                </c:pt>
                <c:pt idx="3466">
                  <c:v>190.1</c:v>
                </c:pt>
                <c:pt idx="3467">
                  <c:v>194.7</c:v>
                </c:pt>
                <c:pt idx="3468">
                  <c:v>196.9</c:v>
                </c:pt>
                <c:pt idx="3470">
                  <c:v>186</c:v>
                </c:pt>
                <c:pt idx="3471">
                  <c:v>187.7</c:v>
                </c:pt>
                <c:pt idx="3472">
                  <c:v>186.9</c:v>
                </c:pt>
                <c:pt idx="3473">
                  <c:v>188.3</c:v>
                </c:pt>
                <c:pt idx="3474">
                  <c:v>190</c:v>
                </c:pt>
                <c:pt idx="3475">
                  <c:v>187</c:v>
                </c:pt>
                <c:pt idx="3476">
                  <c:v>187.8</c:v>
                </c:pt>
                <c:pt idx="3477">
                  <c:v>190.2</c:v>
                </c:pt>
                <c:pt idx="3478">
                  <c:v>186.9</c:v>
                </c:pt>
                <c:pt idx="3479">
                  <c:v>185.3</c:v>
                </c:pt>
                <c:pt idx="3480">
                  <c:v>180.1</c:v>
                </c:pt>
                <c:pt idx="3481">
                  <c:v>178</c:v>
                </c:pt>
                <c:pt idx="3482">
                  <c:v>176.6</c:v>
                </c:pt>
                <c:pt idx="3483">
                  <c:v>174.9</c:v>
                </c:pt>
                <c:pt idx="3484">
                  <c:v>174.4</c:v>
                </c:pt>
                <c:pt idx="3485">
                  <c:v>172</c:v>
                </c:pt>
                <c:pt idx="3486">
                  <c:v>171.4</c:v>
                </c:pt>
                <c:pt idx="3487">
                  <c:v>171.2</c:v>
                </c:pt>
                <c:pt idx="3488">
                  <c:v>166.6</c:v>
                </c:pt>
                <c:pt idx="3489">
                  <c:v>164.7</c:v>
                </c:pt>
                <c:pt idx="3490">
                  <c:v>165</c:v>
                </c:pt>
                <c:pt idx="3491">
                  <c:v>163.30000000000001</c:v>
                </c:pt>
                <c:pt idx="3492">
                  <c:v>163.1</c:v>
                </c:pt>
                <c:pt idx="3493">
                  <c:v>161.1</c:v>
                </c:pt>
                <c:pt idx="3494">
                  <c:v>162.1</c:v>
                </c:pt>
                <c:pt idx="3495">
                  <c:v>171.5</c:v>
                </c:pt>
                <c:pt idx="3496">
                  <c:v>173.7</c:v>
                </c:pt>
                <c:pt idx="3497">
                  <c:v>173.7</c:v>
                </c:pt>
                <c:pt idx="3498">
                  <c:v>176.4</c:v>
                </c:pt>
                <c:pt idx="3499">
                  <c:v>177.1</c:v>
                </c:pt>
                <c:pt idx="3500">
                  <c:v>177.5</c:v>
                </c:pt>
                <c:pt idx="3501">
                  <c:v>186</c:v>
                </c:pt>
                <c:pt idx="3503">
                  <c:v>185.1</c:v>
                </c:pt>
                <c:pt idx="3504">
                  <c:v>190.1</c:v>
                </c:pt>
                <c:pt idx="3505">
                  <c:v>192.6</c:v>
                </c:pt>
                <c:pt idx="3506">
                  <c:v>194.7</c:v>
                </c:pt>
                <c:pt idx="3507">
                  <c:v>193.8</c:v>
                </c:pt>
                <c:pt idx="3508">
                  <c:v>195.6</c:v>
                </c:pt>
                <c:pt idx="3509">
                  <c:v>195.2</c:v>
                </c:pt>
                <c:pt idx="3510">
                  <c:v>198.3</c:v>
                </c:pt>
                <c:pt idx="3511">
                  <c:v>201</c:v>
                </c:pt>
                <c:pt idx="3512">
                  <c:v>201.4</c:v>
                </c:pt>
                <c:pt idx="3513">
                  <c:v>205.6</c:v>
                </c:pt>
                <c:pt idx="3514">
                  <c:v>207.6</c:v>
                </c:pt>
                <c:pt idx="3515">
                  <c:v>203</c:v>
                </c:pt>
                <c:pt idx="3516">
                  <c:v>201.1</c:v>
                </c:pt>
                <c:pt idx="3517">
                  <c:v>196.9</c:v>
                </c:pt>
                <c:pt idx="3518">
                  <c:v>194.7</c:v>
                </c:pt>
                <c:pt idx="3519">
                  <c:v>187.3</c:v>
                </c:pt>
                <c:pt idx="3520">
                  <c:v>188</c:v>
                </c:pt>
                <c:pt idx="3521">
                  <c:v>190.1</c:v>
                </c:pt>
                <c:pt idx="3522">
                  <c:v>188.3</c:v>
                </c:pt>
                <c:pt idx="3523">
                  <c:v>186.9</c:v>
                </c:pt>
                <c:pt idx="3524">
                  <c:v>187.7</c:v>
                </c:pt>
                <c:pt idx="3525">
                  <c:v>177.5</c:v>
                </c:pt>
                <c:pt idx="3526">
                  <c:v>177.1</c:v>
                </c:pt>
                <c:pt idx="3527">
                  <c:v>176.4</c:v>
                </c:pt>
                <c:pt idx="3528">
                  <c:v>173.7</c:v>
                </c:pt>
                <c:pt idx="3529">
                  <c:v>175.8</c:v>
                </c:pt>
                <c:pt idx="3530">
                  <c:v>177.9</c:v>
                </c:pt>
                <c:pt idx="3531">
                  <c:v>177.9</c:v>
                </c:pt>
                <c:pt idx="3532">
                  <c:v>179.7</c:v>
                </c:pt>
                <c:pt idx="3533">
                  <c:v>179.7</c:v>
                </c:pt>
                <c:pt idx="3534">
                  <c:v>185.1</c:v>
                </c:pt>
                <c:pt idx="3536">
                  <c:v>155.30000000000001</c:v>
                </c:pt>
                <c:pt idx="3537">
                  <c:v>155.30000000000001</c:v>
                </c:pt>
                <c:pt idx="3538">
                  <c:v>153.9</c:v>
                </c:pt>
                <c:pt idx="3539">
                  <c:v>155.30000000000001</c:v>
                </c:pt>
                <c:pt idx="3540">
                  <c:v>155.6</c:v>
                </c:pt>
                <c:pt idx="3541">
                  <c:v>157.69999999999999</c:v>
                </c:pt>
                <c:pt idx="3542">
                  <c:v>157.4</c:v>
                </c:pt>
                <c:pt idx="3543">
                  <c:v>158.4</c:v>
                </c:pt>
                <c:pt idx="3544">
                  <c:v>158.1</c:v>
                </c:pt>
                <c:pt idx="3545">
                  <c:v>160.30000000000001</c:v>
                </c:pt>
                <c:pt idx="3546">
                  <c:v>159.9</c:v>
                </c:pt>
                <c:pt idx="3547">
                  <c:v>156.6</c:v>
                </c:pt>
                <c:pt idx="3548">
                  <c:v>154.19999999999999</c:v>
                </c:pt>
                <c:pt idx="3549">
                  <c:v>153.19999999999999</c:v>
                </c:pt>
                <c:pt idx="3550">
                  <c:v>154.4</c:v>
                </c:pt>
                <c:pt idx="3551">
                  <c:v>151.4</c:v>
                </c:pt>
                <c:pt idx="3552">
                  <c:v>152.1</c:v>
                </c:pt>
                <c:pt idx="3553">
                  <c:v>149.80000000000001</c:v>
                </c:pt>
                <c:pt idx="3554">
                  <c:v>153.9</c:v>
                </c:pt>
                <c:pt idx="3555">
                  <c:v>155.30000000000001</c:v>
                </c:pt>
                <c:pt idx="3557">
                  <c:v>134.30000000000001</c:v>
                </c:pt>
                <c:pt idx="3558">
                  <c:v>135.80000000000001</c:v>
                </c:pt>
                <c:pt idx="3559">
                  <c:v>134</c:v>
                </c:pt>
                <c:pt idx="3560">
                  <c:v>134.30000000000001</c:v>
                </c:pt>
                <c:pt idx="3562">
                  <c:v>129.69999999999999</c:v>
                </c:pt>
                <c:pt idx="3563">
                  <c:v>129.6</c:v>
                </c:pt>
                <c:pt idx="3564">
                  <c:v>126.9</c:v>
                </c:pt>
                <c:pt idx="3565">
                  <c:v>129.69999999999999</c:v>
                </c:pt>
                <c:pt idx="3567">
                  <c:v>134.9</c:v>
                </c:pt>
                <c:pt idx="3568">
                  <c:v>133</c:v>
                </c:pt>
                <c:pt idx="3569">
                  <c:v>134.19999999999999</c:v>
                </c:pt>
                <c:pt idx="3570">
                  <c:v>132.30000000000001</c:v>
                </c:pt>
                <c:pt idx="3571">
                  <c:v>135.30000000000001</c:v>
                </c:pt>
                <c:pt idx="3572">
                  <c:v>136.6</c:v>
                </c:pt>
                <c:pt idx="3573">
                  <c:v>135.5</c:v>
                </c:pt>
                <c:pt idx="3574">
                  <c:v>137.5</c:v>
                </c:pt>
                <c:pt idx="3575">
                  <c:v>137.5</c:v>
                </c:pt>
                <c:pt idx="3576">
                  <c:v>138.6</c:v>
                </c:pt>
                <c:pt idx="3577">
                  <c:v>137.9</c:v>
                </c:pt>
                <c:pt idx="3578">
                  <c:v>139.9</c:v>
                </c:pt>
                <c:pt idx="3579">
                  <c:v>138.1</c:v>
                </c:pt>
                <c:pt idx="3580">
                  <c:v>144.19999999999999</c:v>
                </c:pt>
                <c:pt idx="3581">
                  <c:v>148.1</c:v>
                </c:pt>
                <c:pt idx="3582">
                  <c:v>147.4</c:v>
                </c:pt>
                <c:pt idx="3583">
                  <c:v>149.19999999999999</c:v>
                </c:pt>
                <c:pt idx="3584">
                  <c:v>148.1</c:v>
                </c:pt>
                <c:pt idx="3585">
                  <c:v>149.6</c:v>
                </c:pt>
                <c:pt idx="3586">
                  <c:v>148.80000000000001</c:v>
                </c:pt>
                <c:pt idx="3587">
                  <c:v>151.4</c:v>
                </c:pt>
                <c:pt idx="3588">
                  <c:v>148.4</c:v>
                </c:pt>
                <c:pt idx="3589">
                  <c:v>150.1</c:v>
                </c:pt>
                <c:pt idx="3590">
                  <c:v>147.1</c:v>
                </c:pt>
                <c:pt idx="3591">
                  <c:v>148</c:v>
                </c:pt>
                <c:pt idx="3592">
                  <c:v>150.69999999999999</c:v>
                </c:pt>
                <c:pt idx="3593">
                  <c:v>153.6</c:v>
                </c:pt>
                <c:pt idx="3594">
                  <c:v>152</c:v>
                </c:pt>
                <c:pt idx="3595">
                  <c:v>154</c:v>
                </c:pt>
                <c:pt idx="3596">
                  <c:v>148.1</c:v>
                </c:pt>
                <c:pt idx="3597">
                  <c:v>147.30000000000001</c:v>
                </c:pt>
                <c:pt idx="3598">
                  <c:v>148.6</c:v>
                </c:pt>
                <c:pt idx="3599">
                  <c:v>148.80000000000001</c:v>
                </c:pt>
                <c:pt idx="3600">
                  <c:v>145.4</c:v>
                </c:pt>
                <c:pt idx="3601">
                  <c:v>146.9</c:v>
                </c:pt>
                <c:pt idx="3602">
                  <c:v>143.1</c:v>
                </c:pt>
                <c:pt idx="3603">
                  <c:v>143.4</c:v>
                </c:pt>
                <c:pt idx="3604">
                  <c:v>139.69999999999999</c:v>
                </c:pt>
                <c:pt idx="3605">
                  <c:v>135.80000000000001</c:v>
                </c:pt>
                <c:pt idx="3606">
                  <c:v>135.30000000000001</c:v>
                </c:pt>
                <c:pt idx="3607">
                  <c:v>137.1</c:v>
                </c:pt>
                <c:pt idx="3608">
                  <c:v>141.5</c:v>
                </c:pt>
                <c:pt idx="3609">
                  <c:v>141.30000000000001</c:v>
                </c:pt>
                <c:pt idx="3610">
                  <c:v>139.9</c:v>
                </c:pt>
                <c:pt idx="3611">
                  <c:v>141</c:v>
                </c:pt>
                <c:pt idx="3612">
                  <c:v>137.6</c:v>
                </c:pt>
                <c:pt idx="3613">
                  <c:v>134.80000000000001</c:v>
                </c:pt>
                <c:pt idx="3614">
                  <c:v>135.80000000000001</c:v>
                </c:pt>
                <c:pt idx="3615">
                  <c:v>134.9</c:v>
                </c:pt>
                <c:pt idx="3617">
                  <c:v>219.7</c:v>
                </c:pt>
                <c:pt idx="3618">
                  <c:v>221.6</c:v>
                </c:pt>
                <c:pt idx="3619">
                  <c:v>223.7</c:v>
                </c:pt>
                <c:pt idx="3620">
                  <c:v>225.8</c:v>
                </c:pt>
                <c:pt idx="3621">
                  <c:v>229</c:v>
                </c:pt>
                <c:pt idx="3622">
                  <c:v>227.4</c:v>
                </c:pt>
                <c:pt idx="3623">
                  <c:v>224.2</c:v>
                </c:pt>
                <c:pt idx="3624">
                  <c:v>222.8</c:v>
                </c:pt>
                <c:pt idx="3625">
                  <c:v>219</c:v>
                </c:pt>
                <c:pt idx="3626">
                  <c:v>217.4</c:v>
                </c:pt>
                <c:pt idx="3627">
                  <c:v>214.4</c:v>
                </c:pt>
                <c:pt idx="3628">
                  <c:v>216.5</c:v>
                </c:pt>
                <c:pt idx="3629">
                  <c:v>215.7</c:v>
                </c:pt>
                <c:pt idx="3630">
                  <c:v>214.4</c:v>
                </c:pt>
                <c:pt idx="3631">
                  <c:v>219.7</c:v>
                </c:pt>
                <c:pt idx="3633">
                  <c:v>220.6</c:v>
                </c:pt>
                <c:pt idx="3634">
                  <c:v>222.7</c:v>
                </c:pt>
                <c:pt idx="3635">
                  <c:v>224.7</c:v>
                </c:pt>
                <c:pt idx="3636">
                  <c:v>227.2</c:v>
                </c:pt>
                <c:pt idx="3637">
                  <c:v>228.4</c:v>
                </c:pt>
                <c:pt idx="3638">
                  <c:v>230.5</c:v>
                </c:pt>
                <c:pt idx="3639">
                  <c:v>230</c:v>
                </c:pt>
                <c:pt idx="3640">
                  <c:v>225.8</c:v>
                </c:pt>
                <c:pt idx="3641">
                  <c:v>222.8</c:v>
                </c:pt>
                <c:pt idx="3642">
                  <c:v>221.6</c:v>
                </c:pt>
                <c:pt idx="3643">
                  <c:v>219.1</c:v>
                </c:pt>
                <c:pt idx="3644">
                  <c:v>216.2</c:v>
                </c:pt>
                <c:pt idx="3645">
                  <c:v>212.4</c:v>
                </c:pt>
                <c:pt idx="3646">
                  <c:v>210.6</c:v>
                </c:pt>
                <c:pt idx="3647">
                  <c:v>210.1</c:v>
                </c:pt>
                <c:pt idx="3648">
                  <c:v>217.6</c:v>
                </c:pt>
                <c:pt idx="3649">
                  <c:v>220.6</c:v>
                </c:pt>
                <c:pt idx="3651">
                  <c:v>157.9</c:v>
                </c:pt>
                <c:pt idx="3652">
                  <c:v>159.80000000000001</c:v>
                </c:pt>
                <c:pt idx="3653">
                  <c:v>158.6</c:v>
                </c:pt>
                <c:pt idx="3654">
                  <c:v>157.69999999999999</c:v>
                </c:pt>
                <c:pt idx="3655">
                  <c:v>157.9</c:v>
                </c:pt>
                <c:pt idx="3657">
                  <c:v>199.8</c:v>
                </c:pt>
                <c:pt idx="3658">
                  <c:v>202.6</c:v>
                </c:pt>
                <c:pt idx="3659">
                  <c:v>199.9</c:v>
                </c:pt>
                <c:pt idx="3660">
                  <c:v>200.7</c:v>
                </c:pt>
                <c:pt idx="3661">
                  <c:v>197.7</c:v>
                </c:pt>
                <c:pt idx="3662">
                  <c:v>191.7</c:v>
                </c:pt>
                <c:pt idx="3663">
                  <c:v>191.7</c:v>
                </c:pt>
                <c:pt idx="3664">
                  <c:v>181.7</c:v>
                </c:pt>
                <c:pt idx="3665">
                  <c:v>181.5</c:v>
                </c:pt>
                <c:pt idx="3666">
                  <c:v>176.1</c:v>
                </c:pt>
                <c:pt idx="3667">
                  <c:v>176.5</c:v>
                </c:pt>
                <c:pt idx="3668">
                  <c:v>174</c:v>
                </c:pt>
                <c:pt idx="3669">
                  <c:v>174</c:v>
                </c:pt>
                <c:pt idx="3670">
                  <c:v>172.9</c:v>
                </c:pt>
                <c:pt idx="3671">
                  <c:v>174</c:v>
                </c:pt>
                <c:pt idx="3672">
                  <c:v>173.9</c:v>
                </c:pt>
                <c:pt idx="3673">
                  <c:v>171.9</c:v>
                </c:pt>
                <c:pt idx="3674">
                  <c:v>171.9</c:v>
                </c:pt>
                <c:pt idx="3675">
                  <c:v>169.3</c:v>
                </c:pt>
                <c:pt idx="3676">
                  <c:v>166.1</c:v>
                </c:pt>
                <c:pt idx="3677">
                  <c:v>163.9</c:v>
                </c:pt>
                <c:pt idx="3678">
                  <c:v>161.30000000000001</c:v>
                </c:pt>
                <c:pt idx="3679">
                  <c:v>161.30000000000001</c:v>
                </c:pt>
                <c:pt idx="3680">
                  <c:v>164.1</c:v>
                </c:pt>
                <c:pt idx="3681">
                  <c:v>165.9</c:v>
                </c:pt>
                <c:pt idx="3682">
                  <c:v>169.1</c:v>
                </c:pt>
                <c:pt idx="3683">
                  <c:v>167.4</c:v>
                </c:pt>
                <c:pt idx="3684">
                  <c:v>177.1</c:v>
                </c:pt>
                <c:pt idx="3685">
                  <c:v>184.3</c:v>
                </c:pt>
                <c:pt idx="3686">
                  <c:v>186.9</c:v>
                </c:pt>
                <c:pt idx="3687">
                  <c:v>188.6</c:v>
                </c:pt>
                <c:pt idx="3688">
                  <c:v>187.4</c:v>
                </c:pt>
                <c:pt idx="3689">
                  <c:v>188</c:v>
                </c:pt>
                <c:pt idx="3690">
                  <c:v>198.2</c:v>
                </c:pt>
                <c:pt idx="3691">
                  <c:v>199.8</c:v>
                </c:pt>
                <c:pt idx="3693">
                  <c:v>121.3</c:v>
                </c:pt>
                <c:pt idx="3694">
                  <c:v>121.8</c:v>
                </c:pt>
                <c:pt idx="3695">
                  <c:v>121.2</c:v>
                </c:pt>
                <c:pt idx="3696">
                  <c:v>120.6</c:v>
                </c:pt>
                <c:pt idx="3697">
                  <c:v>119.6</c:v>
                </c:pt>
                <c:pt idx="3698">
                  <c:v>121.3</c:v>
                </c:pt>
                <c:pt idx="3700">
                  <c:v>209.6</c:v>
                </c:pt>
                <c:pt idx="3701">
                  <c:v>211.4</c:v>
                </c:pt>
                <c:pt idx="3702">
                  <c:v>212.1</c:v>
                </c:pt>
                <c:pt idx="3703">
                  <c:v>213.9</c:v>
                </c:pt>
                <c:pt idx="3704">
                  <c:v>215.5</c:v>
                </c:pt>
                <c:pt idx="3705">
                  <c:v>215.4</c:v>
                </c:pt>
                <c:pt idx="3706">
                  <c:v>222.2</c:v>
                </c:pt>
                <c:pt idx="3707">
                  <c:v>220.2</c:v>
                </c:pt>
                <c:pt idx="3708">
                  <c:v>221</c:v>
                </c:pt>
                <c:pt idx="3709">
                  <c:v>219.4</c:v>
                </c:pt>
                <c:pt idx="3710">
                  <c:v>218.1</c:v>
                </c:pt>
                <c:pt idx="3711">
                  <c:v>215.8</c:v>
                </c:pt>
                <c:pt idx="3712">
                  <c:v>213.6</c:v>
                </c:pt>
                <c:pt idx="3713">
                  <c:v>212.5</c:v>
                </c:pt>
                <c:pt idx="3714">
                  <c:v>213.4</c:v>
                </c:pt>
                <c:pt idx="3715">
                  <c:v>209.7</c:v>
                </c:pt>
                <c:pt idx="3716">
                  <c:v>206.2</c:v>
                </c:pt>
                <c:pt idx="3717">
                  <c:v>202.2</c:v>
                </c:pt>
                <c:pt idx="3718">
                  <c:v>200.6</c:v>
                </c:pt>
                <c:pt idx="3719">
                  <c:v>197.6</c:v>
                </c:pt>
                <c:pt idx="3720">
                  <c:v>197</c:v>
                </c:pt>
                <c:pt idx="3721">
                  <c:v>199.4</c:v>
                </c:pt>
                <c:pt idx="3722">
                  <c:v>202.6</c:v>
                </c:pt>
                <c:pt idx="3723">
                  <c:v>198.7</c:v>
                </c:pt>
                <c:pt idx="3724">
                  <c:v>198.2</c:v>
                </c:pt>
                <c:pt idx="3725">
                  <c:v>199.7</c:v>
                </c:pt>
                <c:pt idx="3726">
                  <c:v>206.2</c:v>
                </c:pt>
                <c:pt idx="3727">
                  <c:v>209.6</c:v>
                </c:pt>
                <c:pt idx="3729">
                  <c:v>199.8</c:v>
                </c:pt>
                <c:pt idx="3730">
                  <c:v>202.6</c:v>
                </c:pt>
                <c:pt idx="3731">
                  <c:v>204.4</c:v>
                </c:pt>
                <c:pt idx="3732">
                  <c:v>208.4</c:v>
                </c:pt>
                <c:pt idx="3733">
                  <c:v>212.1</c:v>
                </c:pt>
                <c:pt idx="3734">
                  <c:v>215.6</c:v>
                </c:pt>
                <c:pt idx="3735">
                  <c:v>217.2</c:v>
                </c:pt>
                <c:pt idx="3736">
                  <c:v>219.2</c:v>
                </c:pt>
                <c:pt idx="3737">
                  <c:v>217.3</c:v>
                </c:pt>
                <c:pt idx="3738">
                  <c:v>217.3</c:v>
                </c:pt>
                <c:pt idx="3739">
                  <c:v>220.2</c:v>
                </c:pt>
                <c:pt idx="3740">
                  <c:v>218.2</c:v>
                </c:pt>
                <c:pt idx="3741">
                  <c:v>219.6</c:v>
                </c:pt>
                <c:pt idx="3742">
                  <c:v>214.8</c:v>
                </c:pt>
                <c:pt idx="3743">
                  <c:v>211.7</c:v>
                </c:pt>
                <c:pt idx="3744">
                  <c:v>209.4</c:v>
                </c:pt>
                <c:pt idx="3745">
                  <c:v>207.8</c:v>
                </c:pt>
                <c:pt idx="3746">
                  <c:v>204</c:v>
                </c:pt>
                <c:pt idx="3747">
                  <c:v>204.2</c:v>
                </c:pt>
                <c:pt idx="3748">
                  <c:v>199.6</c:v>
                </c:pt>
                <c:pt idx="3749">
                  <c:v>197.7</c:v>
                </c:pt>
                <c:pt idx="3750">
                  <c:v>198.5</c:v>
                </c:pt>
                <c:pt idx="3751">
                  <c:v>196</c:v>
                </c:pt>
                <c:pt idx="3752">
                  <c:v>196.3</c:v>
                </c:pt>
                <c:pt idx="3753">
                  <c:v>194.5</c:v>
                </c:pt>
                <c:pt idx="3754">
                  <c:v>193.7</c:v>
                </c:pt>
                <c:pt idx="3755">
                  <c:v>190.1</c:v>
                </c:pt>
                <c:pt idx="3756">
                  <c:v>189</c:v>
                </c:pt>
                <c:pt idx="3757">
                  <c:v>190.2</c:v>
                </c:pt>
                <c:pt idx="3758">
                  <c:v>189.1</c:v>
                </c:pt>
                <c:pt idx="3759">
                  <c:v>189.8</c:v>
                </c:pt>
                <c:pt idx="3760">
                  <c:v>188.5</c:v>
                </c:pt>
                <c:pt idx="3761">
                  <c:v>185.1</c:v>
                </c:pt>
                <c:pt idx="3762">
                  <c:v>186.1</c:v>
                </c:pt>
                <c:pt idx="3763">
                  <c:v>187.6</c:v>
                </c:pt>
                <c:pt idx="3764">
                  <c:v>189.3</c:v>
                </c:pt>
                <c:pt idx="3765">
                  <c:v>190.1</c:v>
                </c:pt>
                <c:pt idx="3766">
                  <c:v>194.9</c:v>
                </c:pt>
                <c:pt idx="3767">
                  <c:v>196.1</c:v>
                </c:pt>
                <c:pt idx="3768">
                  <c:v>194.9</c:v>
                </c:pt>
                <c:pt idx="3769">
                  <c:v>198.4</c:v>
                </c:pt>
                <c:pt idx="3770">
                  <c:v>199.7</c:v>
                </c:pt>
                <c:pt idx="3771">
                  <c:v>198.9</c:v>
                </c:pt>
                <c:pt idx="3772">
                  <c:v>199.8</c:v>
                </c:pt>
                <c:pt idx="3774">
                  <c:v>247.2</c:v>
                </c:pt>
                <c:pt idx="3775">
                  <c:v>253.1</c:v>
                </c:pt>
                <c:pt idx="3776">
                  <c:v>256.10000000000002</c:v>
                </c:pt>
                <c:pt idx="3777">
                  <c:v>255</c:v>
                </c:pt>
                <c:pt idx="3778">
                  <c:v>257.7</c:v>
                </c:pt>
                <c:pt idx="3779">
                  <c:v>260.8</c:v>
                </c:pt>
                <c:pt idx="3780">
                  <c:v>260.10000000000002</c:v>
                </c:pt>
                <c:pt idx="3781">
                  <c:v>261.60000000000002</c:v>
                </c:pt>
                <c:pt idx="3782">
                  <c:v>265</c:v>
                </c:pt>
                <c:pt idx="3783">
                  <c:v>267.10000000000002</c:v>
                </c:pt>
                <c:pt idx="3784">
                  <c:v>265.7</c:v>
                </c:pt>
                <c:pt idx="3785">
                  <c:v>269</c:v>
                </c:pt>
                <c:pt idx="3786">
                  <c:v>263.39999999999998</c:v>
                </c:pt>
                <c:pt idx="3787">
                  <c:v>264.3</c:v>
                </c:pt>
                <c:pt idx="3788">
                  <c:v>260.5</c:v>
                </c:pt>
                <c:pt idx="3789">
                  <c:v>251.2</c:v>
                </c:pt>
                <c:pt idx="3790">
                  <c:v>247.7</c:v>
                </c:pt>
                <c:pt idx="3791">
                  <c:v>243.6</c:v>
                </c:pt>
                <c:pt idx="3792">
                  <c:v>241</c:v>
                </c:pt>
                <c:pt idx="3793">
                  <c:v>237</c:v>
                </c:pt>
                <c:pt idx="3794">
                  <c:v>232.5</c:v>
                </c:pt>
                <c:pt idx="3795">
                  <c:v>230.3</c:v>
                </c:pt>
                <c:pt idx="3796">
                  <c:v>228.4</c:v>
                </c:pt>
                <c:pt idx="3797">
                  <c:v>226.4</c:v>
                </c:pt>
                <c:pt idx="3798">
                  <c:v>226.5</c:v>
                </c:pt>
                <c:pt idx="3799">
                  <c:v>229.8</c:v>
                </c:pt>
                <c:pt idx="3800">
                  <c:v>231.6</c:v>
                </c:pt>
                <c:pt idx="3801">
                  <c:v>232.8</c:v>
                </c:pt>
                <c:pt idx="3802">
                  <c:v>235.5</c:v>
                </c:pt>
                <c:pt idx="3803">
                  <c:v>237.5</c:v>
                </c:pt>
                <c:pt idx="3804">
                  <c:v>237.3</c:v>
                </c:pt>
                <c:pt idx="3805">
                  <c:v>241.2</c:v>
                </c:pt>
                <c:pt idx="3806">
                  <c:v>239.3</c:v>
                </c:pt>
                <c:pt idx="3807">
                  <c:v>244.9</c:v>
                </c:pt>
                <c:pt idx="3808">
                  <c:v>245.9</c:v>
                </c:pt>
                <c:pt idx="3809">
                  <c:v>247.2</c:v>
                </c:pt>
                <c:pt idx="3811">
                  <c:v>196.4</c:v>
                </c:pt>
                <c:pt idx="3812">
                  <c:v>202.1</c:v>
                </c:pt>
                <c:pt idx="3813">
                  <c:v>206.2</c:v>
                </c:pt>
                <c:pt idx="3814">
                  <c:v>206.7</c:v>
                </c:pt>
                <c:pt idx="3815">
                  <c:v>209.7</c:v>
                </c:pt>
                <c:pt idx="3816">
                  <c:v>210.8</c:v>
                </c:pt>
                <c:pt idx="3817">
                  <c:v>209.8</c:v>
                </c:pt>
                <c:pt idx="3818">
                  <c:v>215.6</c:v>
                </c:pt>
                <c:pt idx="3819">
                  <c:v>216.5</c:v>
                </c:pt>
                <c:pt idx="3820">
                  <c:v>214.4</c:v>
                </c:pt>
                <c:pt idx="3821">
                  <c:v>217.6</c:v>
                </c:pt>
                <c:pt idx="3822">
                  <c:v>215.4</c:v>
                </c:pt>
                <c:pt idx="3823">
                  <c:v>215.3</c:v>
                </c:pt>
                <c:pt idx="3824">
                  <c:v>212.1</c:v>
                </c:pt>
                <c:pt idx="3825">
                  <c:v>208.4</c:v>
                </c:pt>
                <c:pt idx="3826">
                  <c:v>204.4</c:v>
                </c:pt>
                <c:pt idx="3827">
                  <c:v>202.6</c:v>
                </c:pt>
                <c:pt idx="3828">
                  <c:v>199.5</c:v>
                </c:pt>
                <c:pt idx="3829">
                  <c:v>198.4</c:v>
                </c:pt>
                <c:pt idx="3830">
                  <c:v>193.6</c:v>
                </c:pt>
                <c:pt idx="3831">
                  <c:v>193.1</c:v>
                </c:pt>
                <c:pt idx="3832">
                  <c:v>191</c:v>
                </c:pt>
                <c:pt idx="3833">
                  <c:v>189.3</c:v>
                </c:pt>
                <c:pt idx="3834">
                  <c:v>183.6</c:v>
                </c:pt>
                <c:pt idx="3835">
                  <c:v>181.7</c:v>
                </c:pt>
                <c:pt idx="3836">
                  <c:v>191.7</c:v>
                </c:pt>
                <c:pt idx="3837">
                  <c:v>191.7</c:v>
                </c:pt>
                <c:pt idx="3838">
                  <c:v>196.4</c:v>
                </c:pt>
                <c:pt idx="3840">
                  <c:v>212.5</c:v>
                </c:pt>
                <c:pt idx="3841">
                  <c:v>215.1</c:v>
                </c:pt>
                <c:pt idx="3842">
                  <c:v>215.7</c:v>
                </c:pt>
                <c:pt idx="3843">
                  <c:v>209.8</c:v>
                </c:pt>
                <c:pt idx="3844">
                  <c:v>210.6</c:v>
                </c:pt>
                <c:pt idx="3845">
                  <c:v>212.5</c:v>
                </c:pt>
                <c:pt idx="3847">
                  <c:v>218.1</c:v>
                </c:pt>
                <c:pt idx="3848">
                  <c:v>215.4</c:v>
                </c:pt>
                <c:pt idx="3849">
                  <c:v>219</c:v>
                </c:pt>
                <c:pt idx="3850">
                  <c:v>222.8</c:v>
                </c:pt>
                <c:pt idx="3851">
                  <c:v>224.2</c:v>
                </c:pt>
                <c:pt idx="3852">
                  <c:v>227.4</c:v>
                </c:pt>
                <c:pt idx="3853">
                  <c:v>230.5</c:v>
                </c:pt>
                <c:pt idx="3854">
                  <c:v>228.4</c:v>
                </c:pt>
                <c:pt idx="3855">
                  <c:v>227.2</c:v>
                </c:pt>
                <c:pt idx="3856">
                  <c:v>224.7</c:v>
                </c:pt>
                <c:pt idx="3857">
                  <c:v>222</c:v>
                </c:pt>
                <c:pt idx="3858">
                  <c:v>214.3</c:v>
                </c:pt>
                <c:pt idx="3859">
                  <c:v>212.5</c:v>
                </c:pt>
                <c:pt idx="3860">
                  <c:v>213.7</c:v>
                </c:pt>
                <c:pt idx="3861">
                  <c:v>215.8</c:v>
                </c:pt>
                <c:pt idx="3862">
                  <c:v>218.1</c:v>
                </c:pt>
                <c:pt idx="3863">
                  <c:v>219.4</c:v>
                </c:pt>
                <c:pt idx="3864">
                  <c:v>221</c:v>
                </c:pt>
                <c:pt idx="3865">
                  <c:v>220.2</c:v>
                </c:pt>
                <c:pt idx="3866">
                  <c:v>222.2</c:v>
                </c:pt>
                <c:pt idx="3867">
                  <c:v>222</c:v>
                </c:pt>
                <c:pt idx="3868">
                  <c:v>226</c:v>
                </c:pt>
                <c:pt idx="3869">
                  <c:v>227.3</c:v>
                </c:pt>
                <c:pt idx="3870">
                  <c:v>228.5</c:v>
                </c:pt>
                <c:pt idx="3871">
                  <c:v>231.8</c:v>
                </c:pt>
                <c:pt idx="3872">
                  <c:v>232.1</c:v>
                </c:pt>
                <c:pt idx="3873">
                  <c:v>234</c:v>
                </c:pt>
                <c:pt idx="3874">
                  <c:v>239.6</c:v>
                </c:pt>
                <c:pt idx="3875">
                  <c:v>243.1</c:v>
                </c:pt>
                <c:pt idx="3876">
                  <c:v>241.5</c:v>
                </c:pt>
                <c:pt idx="3877">
                  <c:v>241.9</c:v>
                </c:pt>
                <c:pt idx="3878">
                  <c:v>240</c:v>
                </c:pt>
                <c:pt idx="3879">
                  <c:v>241</c:v>
                </c:pt>
                <c:pt idx="3880">
                  <c:v>239.1</c:v>
                </c:pt>
                <c:pt idx="3881">
                  <c:v>239.2</c:v>
                </c:pt>
                <c:pt idx="3882">
                  <c:v>236</c:v>
                </c:pt>
                <c:pt idx="3883">
                  <c:v>236.5</c:v>
                </c:pt>
                <c:pt idx="3884">
                  <c:v>234</c:v>
                </c:pt>
                <c:pt idx="3885">
                  <c:v>231.4</c:v>
                </c:pt>
                <c:pt idx="3886">
                  <c:v>232.7</c:v>
                </c:pt>
                <c:pt idx="3887">
                  <c:v>231</c:v>
                </c:pt>
                <c:pt idx="3888">
                  <c:v>225.5</c:v>
                </c:pt>
                <c:pt idx="3889">
                  <c:v>222.2</c:v>
                </c:pt>
                <c:pt idx="3890">
                  <c:v>221</c:v>
                </c:pt>
                <c:pt idx="3891">
                  <c:v>221.6</c:v>
                </c:pt>
                <c:pt idx="3892">
                  <c:v>218.1</c:v>
                </c:pt>
                <c:pt idx="3894">
                  <c:v>248.1</c:v>
                </c:pt>
                <c:pt idx="3895">
                  <c:v>250</c:v>
                </c:pt>
                <c:pt idx="3896">
                  <c:v>257</c:v>
                </c:pt>
                <c:pt idx="3897">
                  <c:v>258.5</c:v>
                </c:pt>
                <c:pt idx="3898">
                  <c:v>261.2</c:v>
                </c:pt>
                <c:pt idx="3899">
                  <c:v>260.3</c:v>
                </c:pt>
                <c:pt idx="3900">
                  <c:v>262.8</c:v>
                </c:pt>
                <c:pt idx="3901">
                  <c:v>264.7</c:v>
                </c:pt>
                <c:pt idx="3902">
                  <c:v>260.7</c:v>
                </c:pt>
                <c:pt idx="3903">
                  <c:v>255.5</c:v>
                </c:pt>
                <c:pt idx="3904">
                  <c:v>254.7</c:v>
                </c:pt>
                <c:pt idx="3905">
                  <c:v>255.7</c:v>
                </c:pt>
                <c:pt idx="3906">
                  <c:v>251.7</c:v>
                </c:pt>
                <c:pt idx="3907">
                  <c:v>250.2</c:v>
                </c:pt>
                <c:pt idx="3908">
                  <c:v>251.8</c:v>
                </c:pt>
                <c:pt idx="3909">
                  <c:v>251</c:v>
                </c:pt>
                <c:pt idx="3910">
                  <c:v>249.7</c:v>
                </c:pt>
                <c:pt idx="3911">
                  <c:v>243</c:v>
                </c:pt>
                <c:pt idx="3912">
                  <c:v>238.7</c:v>
                </c:pt>
                <c:pt idx="3913">
                  <c:v>235.2</c:v>
                </c:pt>
                <c:pt idx="3914">
                  <c:v>235.7</c:v>
                </c:pt>
                <c:pt idx="3915">
                  <c:v>233.2</c:v>
                </c:pt>
                <c:pt idx="3916">
                  <c:v>234</c:v>
                </c:pt>
                <c:pt idx="3917">
                  <c:v>236.5</c:v>
                </c:pt>
                <c:pt idx="3918">
                  <c:v>236</c:v>
                </c:pt>
                <c:pt idx="3919">
                  <c:v>239.2</c:v>
                </c:pt>
                <c:pt idx="3920">
                  <c:v>239.1</c:v>
                </c:pt>
                <c:pt idx="3921">
                  <c:v>241</c:v>
                </c:pt>
                <c:pt idx="3922">
                  <c:v>239.9</c:v>
                </c:pt>
                <c:pt idx="3923">
                  <c:v>241.9</c:v>
                </c:pt>
                <c:pt idx="3924">
                  <c:v>241.9</c:v>
                </c:pt>
                <c:pt idx="3925">
                  <c:v>245.1</c:v>
                </c:pt>
                <c:pt idx="3926">
                  <c:v>248</c:v>
                </c:pt>
                <c:pt idx="3927">
                  <c:v>248.1</c:v>
                </c:pt>
                <c:pt idx="3929">
                  <c:v>266.39999999999998</c:v>
                </c:pt>
                <c:pt idx="3930">
                  <c:v>267.8</c:v>
                </c:pt>
                <c:pt idx="3931">
                  <c:v>270.3</c:v>
                </c:pt>
                <c:pt idx="3932">
                  <c:v>271.39999999999998</c:v>
                </c:pt>
                <c:pt idx="3933">
                  <c:v>276.60000000000002</c:v>
                </c:pt>
                <c:pt idx="3934">
                  <c:v>276.89999999999998</c:v>
                </c:pt>
                <c:pt idx="3935">
                  <c:v>284.60000000000002</c:v>
                </c:pt>
                <c:pt idx="3936">
                  <c:v>286.7</c:v>
                </c:pt>
                <c:pt idx="3937">
                  <c:v>286.60000000000002</c:v>
                </c:pt>
                <c:pt idx="3938">
                  <c:v>289.7</c:v>
                </c:pt>
                <c:pt idx="3939">
                  <c:v>287.2</c:v>
                </c:pt>
                <c:pt idx="3940">
                  <c:v>287.39999999999998</c:v>
                </c:pt>
                <c:pt idx="3941">
                  <c:v>285.2</c:v>
                </c:pt>
                <c:pt idx="3942">
                  <c:v>283.7</c:v>
                </c:pt>
                <c:pt idx="3943">
                  <c:v>277.3</c:v>
                </c:pt>
                <c:pt idx="3944">
                  <c:v>275.10000000000002</c:v>
                </c:pt>
                <c:pt idx="3945">
                  <c:v>272.89999999999998</c:v>
                </c:pt>
                <c:pt idx="3946">
                  <c:v>271.2</c:v>
                </c:pt>
                <c:pt idx="3947">
                  <c:v>268.10000000000002</c:v>
                </c:pt>
                <c:pt idx="3948">
                  <c:v>264.7</c:v>
                </c:pt>
                <c:pt idx="3949">
                  <c:v>264</c:v>
                </c:pt>
                <c:pt idx="3950">
                  <c:v>262.60000000000002</c:v>
                </c:pt>
                <c:pt idx="3951">
                  <c:v>260.3</c:v>
                </c:pt>
                <c:pt idx="3952">
                  <c:v>261.2</c:v>
                </c:pt>
                <c:pt idx="3953">
                  <c:v>258.5</c:v>
                </c:pt>
                <c:pt idx="3954">
                  <c:v>258.60000000000002</c:v>
                </c:pt>
                <c:pt idx="3955">
                  <c:v>255.9</c:v>
                </c:pt>
                <c:pt idx="3956">
                  <c:v>257.2</c:v>
                </c:pt>
                <c:pt idx="3957">
                  <c:v>256.5</c:v>
                </c:pt>
                <c:pt idx="3958">
                  <c:v>261.60000000000002</c:v>
                </c:pt>
                <c:pt idx="3959">
                  <c:v>263.7</c:v>
                </c:pt>
                <c:pt idx="3960">
                  <c:v>263.39999999999998</c:v>
                </c:pt>
                <c:pt idx="3961">
                  <c:v>266</c:v>
                </c:pt>
                <c:pt idx="3962">
                  <c:v>264.2</c:v>
                </c:pt>
                <c:pt idx="3963">
                  <c:v>264.3</c:v>
                </c:pt>
                <c:pt idx="3964">
                  <c:v>266.39999999999998</c:v>
                </c:pt>
                <c:pt idx="3966">
                  <c:v>264.7</c:v>
                </c:pt>
                <c:pt idx="3967">
                  <c:v>268.10000000000002</c:v>
                </c:pt>
                <c:pt idx="3968">
                  <c:v>271.2</c:v>
                </c:pt>
                <c:pt idx="3969">
                  <c:v>268.10000000000002</c:v>
                </c:pt>
                <c:pt idx="3970">
                  <c:v>267.8</c:v>
                </c:pt>
                <c:pt idx="3971">
                  <c:v>264.3</c:v>
                </c:pt>
                <c:pt idx="3972">
                  <c:v>265.60000000000002</c:v>
                </c:pt>
                <c:pt idx="3973">
                  <c:v>263.60000000000002</c:v>
                </c:pt>
                <c:pt idx="3974">
                  <c:v>263.5</c:v>
                </c:pt>
                <c:pt idx="3975">
                  <c:v>260.10000000000002</c:v>
                </c:pt>
                <c:pt idx="3976">
                  <c:v>260.8</c:v>
                </c:pt>
                <c:pt idx="3977">
                  <c:v>257.7</c:v>
                </c:pt>
                <c:pt idx="3978">
                  <c:v>255</c:v>
                </c:pt>
                <c:pt idx="3979">
                  <c:v>256.10000000000002</c:v>
                </c:pt>
                <c:pt idx="3980">
                  <c:v>252.7</c:v>
                </c:pt>
                <c:pt idx="3981">
                  <c:v>246</c:v>
                </c:pt>
                <c:pt idx="3982">
                  <c:v>243.6</c:v>
                </c:pt>
                <c:pt idx="3983">
                  <c:v>241.7</c:v>
                </c:pt>
                <c:pt idx="3984">
                  <c:v>243.2</c:v>
                </c:pt>
                <c:pt idx="3985">
                  <c:v>243.4</c:v>
                </c:pt>
                <c:pt idx="3986">
                  <c:v>251</c:v>
                </c:pt>
                <c:pt idx="3987">
                  <c:v>251.8</c:v>
                </c:pt>
                <c:pt idx="3988">
                  <c:v>250.2</c:v>
                </c:pt>
                <c:pt idx="3989">
                  <c:v>251.7</c:v>
                </c:pt>
                <c:pt idx="3990">
                  <c:v>255.7</c:v>
                </c:pt>
                <c:pt idx="3991">
                  <c:v>254.7</c:v>
                </c:pt>
                <c:pt idx="3992">
                  <c:v>255.6</c:v>
                </c:pt>
                <c:pt idx="3993">
                  <c:v>260.60000000000002</c:v>
                </c:pt>
                <c:pt idx="3994">
                  <c:v>264</c:v>
                </c:pt>
                <c:pt idx="3995">
                  <c:v>264.7</c:v>
                </c:pt>
                <c:pt idx="3997">
                  <c:v>233.8</c:v>
                </c:pt>
                <c:pt idx="3998">
                  <c:v>233.2</c:v>
                </c:pt>
                <c:pt idx="3999">
                  <c:v>235.7</c:v>
                </c:pt>
                <c:pt idx="4000">
                  <c:v>235.2</c:v>
                </c:pt>
                <c:pt idx="4001">
                  <c:v>238.7</c:v>
                </c:pt>
                <c:pt idx="4002">
                  <c:v>243</c:v>
                </c:pt>
                <c:pt idx="4003">
                  <c:v>243.1</c:v>
                </c:pt>
                <c:pt idx="4004">
                  <c:v>247.5</c:v>
                </c:pt>
                <c:pt idx="4005">
                  <c:v>248.2</c:v>
                </c:pt>
                <c:pt idx="4006">
                  <c:v>243.4</c:v>
                </c:pt>
                <c:pt idx="4007">
                  <c:v>243.2</c:v>
                </c:pt>
                <c:pt idx="4008">
                  <c:v>241.8</c:v>
                </c:pt>
                <c:pt idx="4009">
                  <c:v>239.3</c:v>
                </c:pt>
                <c:pt idx="4010">
                  <c:v>240.9</c:v>
                </c:pt>
                <c:pt idx="4011">
                  <c:v>237.4</c:v>
                </c:pt>
                <c:pt idx="4012">
                  <c:v>237</c:v>
                </c:pt>
                <c:pt idx="4013">
                  <c:v>234</c:v>
                </c:pt>
                <c:pt idx="4014">
                  <c:v>231.4</c:v>
                </c:pt>
                <c:pt idx="4015">
                  <c:v>230.1</c:v>
                </c:pt>
                <c:pt idx="4016">
                  <c:v>227.8</c:v>
                </c:pt>
                <c:pt idx="4017">
                  <c:v>225.1</c:v>
                </c:pt>
                <c:pt idx="4018">
                  <c:v>222.6</c:v>
                </c:pt>
                <c:pt idx="4019">
                  <c:v>221.3</c:v>
                </c:pt>
                <c:pt idx="4020">
                  <c:v>218.3</c:v>
                </c:pt>
                <c:pt idx="4021">
                  <c:v>220.2</c:v>
                </c:pt>
                <c:pt idx="4022">
                  <c:v>217.3</c:v>
                </c:pt>
                <c:pt idx="4023">
                  <c:v>217.3</c:v>
                </c:pt>
                <c:pt idx="4024">
                  <c:v>219.2</c:v>
                </c:pt>
                <c:pt idx="4025">
                  <c:v>218</c:v>
                </c:pt>
                <c:pt idx="4026">
                  <c:v>221.6</c:v>
                </c:pt>
                <c:pt idx="4027">
                  <c:v>221</c:v>
                </c:pt>
                <c:pt idx="4028">
                  <c:v>222.2</c:v>
                </c:pt>
                <c:pt idx="4029">
                  <c:v>225.5</c:v>
                </c:pt>
                <c:pt idx="4030">
                  <c:v>231</c:v>
                </c:pt>
                <c:pt idx="4031">
                  <c:v>232.7</c:v>
                </c:pt>
                <c:pt idx="4032">
                  <c:v>231.4</c:v>
                </c:pt>
                <c:pt idx="4033">
                  <c:v>233.8</c:v>
                </c:pt>
                <c:pt idx="4035">
                  <c:v>198.5</c:v>
                </c:pt>
                <c:pt idx="4036">
                  <c:v>197.9</c:v>
                </c:pt>
                <c:pt idx="4037">
                  <c:v>204.4</c:v>
                </c:pt>
                <c:pt idx="4038">
                  <c:v>204</c:v>
                </c:pt>
                <c:pt idx="4039">
                  <c:v>207.8</c:v>
                </c:pt>
                <c:pt idx="4040">
                  <c:v>209.4</c:v>
                </c:pt>
                <c:pt idx="4041">
                  <c:v>211.7</c:v>
                </c:pt>
                <c:pt idx="4042">
                  <c:v>214.8</c:v>
                </c:pt>
                <c:pt idx="4043">
                  <c:v>221.3</c:v>
                </c:pt>
                <c:pt idx="4044">
                  <c:v>222.6</c:v>
                </c:pt>
                <c:pt idx="4045">
                  <c:v>225.1</c:v>
                </c:pt>
                <c:pt idx="4046">
                  <c:v>228.5</c:v>
                </c:pt>
                <c:pt idx="4047">
                  <c:v>230.1</c:v>
                </c:pt>
                <c:pt idx="4048">
                  <c:v>231.8</c:v>
                </c:pt>
                <c:pt idx="4049">
                  <c:v>233.8</c:v>
                </c:pt>
                <c:pt idx="4050">
                  <c:v>237</c:v>
                </c:pt>
                <c:pt idx="4051">
                  <c:v>237.5</c:v>
                </c:pt>
                <c:pt idx="4052">
                  <c:v>235.5</c:v>
                </c:pt>
                <c:pt idx="4053">
                  <c:v>232.8</c:v>
                </c:pt>
                <c:pt idx="4054">
                  <c:v>231.6</c:v>
                </c:pt>
                <c:pt idx="4055">
                  <c:v>229.8</c:v>
                </c:pt>
                <c:pt idx="4056">
                  <c:v>226.5</c:v>
                </c:pt>
                <c:pt idx="4057">
                  <c:v>227</c:v>
                </c:pt>
                <c:pt idx="4058">
                  <c:v>219.2</c:v>
                </c:pt>
                <c:pt idx="4059">
                  <c:v>213.8</c:v>
                </c:pt>
                <c:pt idx="4060">
                  <c:v>214.6</c:v>
                </c:pt>
                <c:pt idx="4061">
                  <c:v>216.1</c:v>
                </c:pt>
                <c:pt idx="4062">
                  <c:v>216.2</c:v>
                </c:pt>
                <c:pt idx="4063">
                  <c:v>212.4</c:v>
                </c:pt>
                <c:pt idx="4064">
                  <c:v>214.1</c:v>
                </c:pt>
                <c:pt idx="4065">
                  <c:v>214.6</c:v>
                </c:pt>
                <c:pt idx="4066">
                  <c:v>213.3</c:v>
                </c:pt>
                <c:pt idx="4067">
                  <c:v>213</c:v>
                </c:pt>
                <c:pt idx="4068">
                  <c:v>210</c:v>
                </c:pt>
                <c:pt idx="4069">
                  <c:v>209.5</c:v>
                </c:pt>
                <c:pt idx="4070">
                  <c:v>207.5</c:v>
                </c:pt>
                <c:pt idx="4071">
                  <c:v>207.9</c:v>
                </c:pt>
                <c:pt idx="4072">
                  <c:v>204.9</c:v>
                </c:pt>
                <c:pt idx="4073">
                  <c:v>204.2</c:v>
                </c:pt>
                <c:pt idx="4074">
                  <c:v>202.8</c:v>
                </c:pt>
                <c:pt idx="4075">
                  <c:v>201.7</c:v>
                </c:pt>
                <c:pt idx="4076">
                  <c:v>198.5</c:v>
                </c:pt>
                <c:pt idx="4078">
                  <c:v>160.1</c:v>
                </c:pt>
                <c:pt idx="4079">
                  <c:v>164.9</c:v>
                </c:pt>
                <c:pt idx="4080">
                  <c:v>166</c:v>
                </c:pt>
                <c:pt idx="4081">
                  <c:v>166.5</c:v>
                </c:pt>
                <c:pt idx="4082">
                  <c:v>168.6</c:v>
                </c:pt>
                <c:pt idx="4083">
                  <c:v>170.1</c:v>
                </c:pt>
                <c:pt idx="4084">
                  <c:v>171.5</c:v>
                </c:pt>
                <c:pt idx="4085">
                  <c:v>174.5</c:v>
                </c:pt>
                <c:pt idx="4086">
                  <c:v>174.6</c:v>
                </c:pt>
                <c:pt idx="4087">
                  <c:v>176.2</c:v>
                </c:pt>
                <c:pt idx="4088">
                  <c:v>179.2</c:v>
                </c:pt>
                <c:pt idx="4089">
                  <c:v>181.6</c:v>
                </c:pt>
                <c:pt idx="4090">
                  <c:v>180.6</c:v>
                </c:pt>
                <c:pt idx="4091">
                  <c:v>181.8</c:v>
                </c:pt>
                <c:pt idx="4092">
                  <c:v>188.5</c:v>
                </c:pt>
                <c:pt idx="4093">
                  <c:v>189.8</c:v>
                </c:pt>
                <c:pt idx="4094">
                  <c:v>189.1</c:v>
                </c:pt>
                <c:pt idx="4095">
                  <c:v>190.2</c:v>
                </c:pt>
                <c:pt idx="4096">
                  <c:v>189</c:v>
                </c:pt>
                <c:pt idx="4097">
                  <c:v>190.1</c:v>
                </c:pt>
                <c:pt idx="4098">
                  <c:v>187.1</c:v>
                </c:pt>
                <c:pt idx="4099">
                  <c:v>188.5</c:v>
                </c:pt>
                <c:pt idx="4100">
                  <c:v>185.7</c:v>
                </c:pt>
                <c:pt idx="4101">
                  <c:v>185.7</c:v>
                </c:pt>
                <c:pt idx="4102">
                  <c:v>182.5</c:v>
                </c:pt>
                <c:pt idx="4103">
                  <c:v>180.8</c:v>
                </c:pt>
                <c:pt idx="4104">
                  <c:v>178.9</c:v>
                </c:pt>
                <c:pt idx="4105">
                  <c:v>175.4</c:v>
                </c:pt>
                <c:pt idx="4106">
                  <c:v>173.6</c:v>
                </c:pt>
                <c:pt idx="4107">
                  <c:v>173.7</c:v>
                </c:pt>
                <c:pt idx="4108">
                  <c:v>170.7</c:v>
                </c:pt>
                <c:pt idx="4109">
                  <c:v>169.1</c:v>
                </c:pt>
                <c:pt idx="4110">
                  <c:v>167.5</c:v>
                </c:pt>
                <c:pt idx="4111">
                  <c:v>167.4</c:v>
                </c:pt>
                <c:pt idx="4112">
                  <c:v>165.7</c:v>
                </c:pt>
                <c:pt idx="4113">
                  <c:v>166</c:v>
                </c:pt>
                <c:pt idx="4114">
                  <c:v>164.3</c:v>
                </c:pt>
                <c:pt idx="4115">
                  <c:v>165.5</c:v>
                </c:pt>
                <c:pt idx="4116">
                  <c:v>164.2</c:v>
                </c:pt>
                <c:pt idx="4117">
                  <c:v>160.1</c:v>
                </c:pt>
                <c:pt idx="4118">
                  <c:v>160.1</c:v>
                </c:pt>
                <c:pt idx="4120">
                  <c:v>149.1</c:v>
                </c:pt>
                <c:pt idx="4121">
                  <c:v>150.1</c:v>
                </c:pt>
                <c:pt idx="4122">
                  <c:v>145.69999999999999</c:v>
                </c:pt>
                <c:pt idx="4123">
                  <c:v>144.19999999999999</c:v>
                </c:pt>
                <c:pt idx="4124">
                  <c:v>146.19999999999999</c:v>
                </c:pt>
                <c:pt idx="4125">
                  <c:v>145</c:v>
                </c:pt>
                <c:pt idx="4126">
                  <c:v>147.19999999999999</c:v>
                </c:pt>
                <c:pt idx="4127">
                  <c:v>146.6</c:v>
                </c:pt>
                <c:pt idx="4128">
                  <c:v>148.19999999999999</c:v>
                </c:pt>
                <c:pt idx="4129">
                  <c:v>149.1</c:v>
                </c:pt>
                <c:pt idx="4131">
                  <c:v>188.3</c:v>
                </c:pt>
                <c:pt idx="4132">
                  <c:v>196.1</c:v>
                </c:pt>
                <c:pt idx="4133">
                  <c:v>194.9</c:v>
                </c:pt>
                <c:pt idx="4134">
                  <c:v>190.1</c:v>
                </c:pt>
                <c:pt idx="4135">
                  <c:v>189.3</c:v>
                </c:pt>
                <c:pt idx="4136">
                  <c:v>187.6</c:v>
                </c:pt>
                <c:pt idx="4137">
                  <c:v>185.5</c:v>
                </c:pt>
                <c:pt idx="4138">
                  <c:v>185.3</c:v>
                </c:pt>
                <c:pt idx="4139">
                  <c:v>181.4</c:v>
                </c:pt>
                <c:pt idx="4140">
                  <c:v>180</c:v>
                </c:pt>
                <c:pt idx="4141">
                  <c:v>174.4</c:v>
                </c:pt>
                <c:pt idx="4142">
                  <c:v>167</c:v>
                </c:pt>
                <c:pt idx="4143">
                  <c:v>163.30000000000001</c:v>
                </c:pt>
                <c:pt idx="4144">
                  <c:v>162.6</c:v>
                </c:pt>
                <c:pt idx="4145">
                  <c:v>171.2</c:v>
                </c:pt>
                <c:pt idx="4146">
                  <c:v>168.4</c:v>
                </c:pt>
                <c:pt idx="4147">
                  <c:v>172.3</c:v>
                </c:pt>
                <c:pt idx="4148">
                  <c:v>177.5</c:v>
                </c:pt>
                <c:pt idx="4149">
                  <c:v>177.8</c:v>
                </c:pt>
                <c:pt idx="4150">
                  <c:v>184.3</c:v>
                </c:pt>
                <c:pt idx="4151">
                  <c:v>183.6</c:v>
                </c:pt>
                <c:pt idx="4152">
                  <c:v>188.3</c:v>
                </c:pt>
                <c:pt idx="4154">
                  <c:v>153.80000000000001</c:v>
                </c:pt>
                <c:pt idx="4155">
                  <c:v>155.4</c:v>
                </c:pt>
                <c:pt idx="4156">
                  <c:v>154</c:v>
                </c:pt>
                <c:pt idx="4157">
                  <c:v>153.80000000000001</c:v>
                </c:pt>
                <c:pt idx="4159">
                  <c:v>151.19999999999999</c:v>
                </c:pt>
                <c:pt idx="4160">
                  <c:v>150.4</c:v>
                </c:pt>
                <c:pt idx="4161">
                  <c:v>149.5</c:v>
                </c:pt>
                <c:pt idx="4162">
                  <c:v>149.5</c:v>
                </c:pt>
                <c:pt idx="4163">
                  <c:v>151.19999999999999</c:v>
                </c:pt>
                <c:pt idx="4165">
                  <c:v>151.1</c:v>
                </c:pt>
                <c:pt idx="4166">
                  <c:v>151.6</c:v>
                </c:pt>
                <c:pt idx="4167">
                  <c:v>150</c:v>
                </c:pt>
                <c:pt idx="4168">
                  <c:v>151.1</c:v>
                </c:pt>
                <c:pt idx="4170">
                  <c:v>159.1</c:v>
                </c:pt>
                <c:pt idx="4171">
                  <c:v>162.30000000000001</c:v>
                </c:pt>
                <c:pt idx="4172">
                  <c:v>162.6</c:v>
                </c:pt>
                <c:pt idx="4173">
                  <c:v>154.80000000000001</c:v>
                </c:pt>
                <c:pt idx="4174">
                  <c:v>153.1</c:v>
                </c:pt>
                <c:pt idx="4175">
                  <c:v>156.5</c:v>
                </c:pt>
                <c:pt idx="4176">
                  <c:v>159.1</c:v>
                </c:pt>
                <c:pt idx="4178">
                  <c:v>236.8</c:v>
                </c:pt>
                <c:pt idx="4179">
                  <c:v>239.2</c:v>
                </c:pt>
                <c:pt idx="4180">
                  <c:v>237.1</c:v>
                </c:pt>
                <c:pt idx="4181">
                  <c:v>236.8</c:v>
                </c:pt>
                <c:pt idx="4183">
                  <c:v>236.2</c:v>
                </c:pt>
                <c:pt idx="4184">
                  <c:v>236</c:v>
                </c:pt>
                <c:pt idx="4185">
                  <c:v>238.3</c:v>
                </c:pt>
                <c:pt idx="4186">
                  <c:v>235.8</c:v>
                </c:pt>
                <c:pt idx="4187">
                  <c:v>234.6</c:v>
                </c:pt>
                <c:pt idx="4188">
                  <c:v>234.1</c:v>
                </c:pt>
                <c:pt idx="4189">
                  <c:v>236.2</c:v>
                </c:pt>
                <c:pt idx="4191">
                  <c:v>232.7</c:v>
                </c:pt>
                <c:pt idx="4192">
                  <c:v>232.6</c:v>
                </c:pt>
                <c:pt idx="4193">
                  <c:v>229.8</c:v>
                </c:pt>
                <c:pt idx="4194">
                  <c:v>231.3</c:v>
                </c:pt>
                <c:pt idx="4195">
                  <c:v>232.7</c:v>
                </c:pt>
                <c:pt idx="4197">
                  <c:v>241.3</c:v>
                </c:pt>
                <c:pt idx="4198">
                  <c:v>242.5</c:v>
                </c:pt>
                <c:pt idx="4199">
                  <c:v>240.5</c:v>
                </c:pt>
                <c:pt idx="4200">
                  <c:v>241.3</c:v>
                </c:pt>
                <c:pt idx="4202">
                  <c:v>280.2</c:v>
                </c:pt>
                <c:pt idx="4203">
                  <c:v>281.5</c:v>
                </c:pt>
                <c:pt idx="4204">
                  <c:v>280.5</c:v>
                </c:pt>
                <c:pt idx="4205">
                  <c:v>278.8</c:v>
                </c:pt>
                <c:pt idx="4206">
                  <c:v>280.2</c:v>
                </c:pt>
                <c:pt idx="4208">
                  <c:v>282.3</c:v>
                </c:pt>
                <c:pt idx="4209">
                  <c:v>281.10000000000002</c:v>
                </c:pt>
                <c:pt idx="4210">
                  <c:v>281.89999999999998</c:v>
                </c:pt>
                <c:pt idx="4211">
                  <c:v>280.39999999999998</c:v>
                </c:pt>
                <c:pt idx="4212">
                  <c:v>279.7</c:v>
                </c:pt>
                <c:pt idx="4213">
                  <c:v>279.8</c:v>
                </c:pt>
                <c:pt idx="4214">
                  <c:v>282.3</c:v>
                </c:pt>
                <c:pt idx="4216">
                  <c:v>277.3</c:v>
                </c:pt>
                <c:pt idx="4217">
                  <c:v>278.39999999999998</c:v>
                </c:pt>
                <c:pt idx="4218">
                  <c:v>277.10000000000002</c:v>
                </c:pt>
                <c:pt idx="4219">
                  <c:v>279.89999999999998</c:v>
                </c:pt>
                <c:pt idx="4220">
                  <c:v>277.5</c:v>
                </c:pt>
                <c:pt idx="4221">
                  <c:v>277.60000000000002</c:v>
                </c:pt>
                <c:pt idx="4222">
                  <c:v>274.3</c:v>
                </c:pt>
                <c:pt idx="4223">
                  <c:v>274</c:v>
                </c:pt>
                <c:pt idx="4224">
                  <c:v>270.89999999999998</c:v>
                </c:pt>
                <c:pt idx="4225">
                  <c:v>276.3</c:v>
                </c:pt>
                <c:pt idx="4226">
                  <c:v>277.3</c:v>
                </c:pt>
                <c:pt idx="4228">
                  <c:v>268.10000000000002</c:v>
                </c:pt>
                <c:pt idx="4229">
                  <c:v>271.60000000000002</c:v>
                </c:pt>
                <c:pt idx="4230">
                  <c:v>270.10000000000002</c:v>
                </c:pt>
                <c:pt idx="4231">
                  <c:v>270.2</c:v>
                </c:pt>
                <c:pt idx="4232">
                  <c:v>267.60000000000002</c:v>
                </c:pt>
                <c:pt idx="4233">
                  <c:v>266.2</c:v>
                </c:pt>
                <c:pt idx="4234">
                  <c:v>265.89999999999998</c:v>
                </c:pt>
                <c:pt idx="4235">
                  <c:v>265.89999999999998</c:v>
                </c:pt>
                <c:pt idx="4236">
                  <c:v>268.10000000000002</c:v>
                </c:pt>
                <c:pt idx="4238">
                  <c:v>274.2</c:v>
                </c:pt>
                <c:pt idx="4239">
                  <c:v>275.10000000000002</c:v>
                </c:pt>
                <c:pt idx="4240">
                  <c:v>274.10000000000002</c:v>
                </c:pt>
                <c:pt idx="4241">
                  <c:v>272.3</c:v>
                </c:pt>
                <c:pt idx="4242">
                  <c:v>274.2</c:v>
                </c:pt>
                <c:pt idx="4244">
                  <c:v>256.8</c:v>
                </c:pt>
                <c:pt idx="4245">
                  <c:v>257.3</c:v>
                </c:pt>
                <c:pt idx="4246">
                  <c:v>256</c:v>
                </c:pt>
                <c:pt idx="4247">
                  <c:v>255.7</c:v>
                </c:pt>
                <c:pt idx="4248">
                  <c:v>259.39999999999998</c:v>
                </c:pt>
                <c:pt idx="4249">
                  <c:v>259.5</c:v>
                </c:pt>
                <c:pt idx="4250">
                  <c:v>256.8</c:v>
                </c:pt>
                <c:pt idx="4252">
                  <c:v>266.3</c:v>
                </c:pt>
                <c:pt idx="4253">
                  <c:v>267.3</c:v>
                </c:pt>
                <c:pt idx="4254">
                  <c:v>266.10000000000002</c:v>
                </c:pt>
                <c:pt idx="4255">
                  <c:v>264.7</c:v>
                </c:pt>
                <c:pt idx="4256">
                  <c:v>266.3</c:v>
                </c:pt>
                <c:pt idx="4258">
                  <c:v>273.39999999999998</c:v>
                </c:pt>
                <c:pt idx="4259">
                  <c:v>274.3</c:v>
                </c:pt>
                <c:pt idx="4260">
                  <c:v>273</c:v>
                </c:pt>
                <c:pt idx="4261">
                  <c:v>273.39999999999998</c:v>
                </c:pt>
                <c:pt idx="4263">
                  <c:v>278.8</c:v>
                </c:pt>
                <c:pt idx="4264">
                  <c:v>279</c:v>
                </c:pt>
                <c:pt idx="4265">
                  <c:v>278.10000000000002</c:v>
                </c:pt>
                <c:pt idx="4266">
                  <c:v>276.39999999999998</c:v>
                </c:pt>
                <c:pt idx="4267">
                  <c:v>280.60000000000002</c:v>
                </c:pt>
                <c:pt idx="4268">
                  <c:v>278.89999999999998</c:v>
                </c:pt>
                <c:pt idx="4269">
                  <c:v>280.7</c:v>
                </c:pt>
                <c:pt idx="4270">
                  <c:v>279.10000000000002</c:v>
                </c:pt>
                <c:pt idx="4271">
                  <c:v>275.60000000000002</c:v>
                </c:pt>
                <c:pt idx="4272">
                  <c:v>272.3</c:v>
                </c:pt>
                <c:pt idx="4273">
                  <c:v>273.39999999999998</c:v>
                </c:pt>
                <c:pt idx="4274">
                  <c:v>272.3</c:v>
                </c:pt>
                <c:pt idx="4275">
                  <c:v>276.8</c:v>
                </c:pt>
                <c:pt idx="4276">
                  <c:v>274.5</c:v>
                </c:pt>
                <c:pt idx="4277">
                  <c:v>278.8</c:v>
                </c:pt>
                <c:pt idx="4279">
                  <c:v>262.39999999999998</c:v>
                </c:pt>
                <c:pt idx="4280">
                  <c:v>261.8</c:v>
                </c:pt>
                <c:pt idx="4281">
                  <c:v>263.3</c:v>
                </c:pt>
                <c:pt idx="4282">
                  <c:v>265.7</c:v>
                </c:pt>
                <c:pt idx="4283">
                  <c:v>265.7</c:v>
                </c:pt>
                <c:pt idx="4284">
                  <c:v>267.89999999999998</c:v>
                </c:pt>
                <c:pt idx="4285">
                  <c:v>268.7</c:v>
                </c:pt>
                <c:pt idx="4286">
                  <c:v>270.8</c:v>
                </c:pt>
                <c:pt idx="4287">
                  <c:v>275</c:v>
                </c:pt>
                <c:pt idx="4288">
                  <c:v>274.7</c:v>
                </c:pt>
                <c:pt idx="4289">
                  <c:v>277.89999999999998</c:v>
                </c:pt>
                <c:pt idx="4290">
                  <c:v>277.3</c:v>
                </c:pt>
                <c:pt idx="4291">
                  <c:v>275.2</c:v>
                </c:pt>
                <c:pt idx="4292">
                  <c:v>276</c:v>
                </c:pt>
                <c:pt idx="4293">
                  <c:v>271.10000000000002</c:v>
                </c:pt>
                <c:pt idx="4294">
                  <c:v>268</c:v>
                </c:pt>
                <c:pt idx="4295">
                  <c:v>266.2</c:v>
                </c:pt>
                <c:pt idx="4296">
                  <c:v>264.7</c:v>
                </c:pt>
                <c:pt idx="4297">
                  <c:v>263.7</c:v>
                </c:pt>
                <c:pt idx="4298">
                  <c:v>266</c:v>
                </c:pt>
                <c:pt idx="4299">
                  <c:v>264</c:v>
                </c:pt>
                <c:pt idx="4300">
                  <c:v>265.39999999999998</c:v>
                </c:pt>
                <c:pt idx="4301">
                  <c:v>265.10000000000002</c:v>
                </c:pt>
                <c:pt idx="4302">
                  <c:v>266.2</c:v>
                </c:pt>
                <c:pt idx="4303">
                  <c:v>265.8</c:v>
                </c:pt>
                <c:pt idx="4304">
                  <c:v>261.5</c:v>
                </c:pt>
                <c:pt idx="4305">
                  <c:v>260.3</c:v>
                </c:pt>
                <c:pt idx="4306">
                  <c:v>260.8</c:v>
                </c:pt>
                <c:pt idx="4307">
                  <c:v>258.39999999999998</c:v>
                </c:pt>
                <c:pt idx="4308">
                  <c:v>259.3</c:v>
                </c:pt>
                <c:pt idx="4309">
                  <c:v>258.39999999999998</c:v>
                </c:pt>
                <c:pt idx="4310">
                  <c:v>260.89999999999998</c:v>
                </c:pt>
                <c:pt idx="4311">
                  <c:v>258</c:v>
                </c:pt>
                <c:pt idx="4312">
                  <c:v>262</c:v>
                </c:pt>
                <c:pt idx="4313">
                  <c:v>259</c:v>
                </c:pt>
                <c:pt idx="4314">
                  <c:v>260</c:v>
                </c:pt>
                <c:pt idx="4315">
                  <c:v>258.8</c:v>
                </c:pt>
                <c:pt idx="4316">
                  <c:v>255.8</c:v>
                </c:pt>
                <c:pt idx="4317">
                  <c:v>258.10000000000002</c:v>
                </c:pt>
                <c:pt idx="4318">
                  <c:v>257.10000000000002</c:v>
                </c:pt>
                <c:pt idx="4319">
                  <c:v>261.8</c:v>
                </c:pt>
                <c:pt idx="4320">
                  <c:v>262.5</c:v>
                </c:pt>
                <c:pt idx="4321">
                  <c:v>263.7</c:v>
                </c:pt>
                <c:pt idx="4322">
                  <c:v>262.39999999999998</c:v>
                </c:pt>
                <c:pt idx="4324">
                  <c:v>273.5</c:v>
                </c:pt>
                <c:pt idx="4325">
                  <c:v>275.2</c:v>
                </c:pt>
                <c:pt idx="4326">
                  <c:v>275.3</c:v>
                </c:pt>
                <c:pt idx="4327">
                  <c:v>271.10000000000002</c:v>
                </c:pt>
                <c:pt idx="4328">
                  <c:v>271.2</c:v>
                </c:pt>
                <c:pt idx="4329">
                  <c:v>273.5</c:v>
                </c:pt>
                <c:pt idx="4331">
                  <c:v>260.60000000000002</c:v>
                </c:pt>
                <c:pt idx="4332">
                  <c:v>261.8</c:v>
                </c:pt>
                <c:pt idx="4333">
                  <c:v>257.10000000000002</c:v>
                </c:pt>
                <c:pt idx="4334">
                  <c:v>258.2</c:v>
                </c:pt>
                <c:pt idx="4335">
                  <c:v>257.2</c:v>
                </c:pt>
                <c:pt idx="4336">
                  <c:v>256</c:v>
                </c:pt>
                <c:pt idx="4337">
                  <c:v>255.3</c:v>
                </c:pt>
                <c:pt idx="4338">
                  <c:v>252.9</c:v>
                </c:pt>
                <c:pt idx="4339">
                  <c:v>252.5</c:v>
                </c:pt>
                <c:pt idx="4340">
                  <c:v>248.5</c:v>
                </c:pt>
                <c:pt idx="4341">
                  <c:v>248.4</c:v>
                </c:pt>
                <c:pt idx="4342">
                  <c:v>247.1</c:v>
                </c:pt>
                <c:pt idx="4343">
                  <c:v>243.3</c:v>
                </c:pt>
                <c:pt idx="4344">
                  <c:v>242.1</c:v>
                </c:pt>
                <c:pt idx="4345">
                  <c:v>239.6</c:v>
                </c:pt>
                <c:pt idx="4346">
                  <c:v>239.4</c:v>
                </c:pt>
                <c:pt idx="4347">
                  <c:v>238.4</c:v>
                </c:pt>
                <c:pt idx="4348">
                  <c:v>236.8</c:v>
                </c:pt>
                <c:pt idx="4349">
                  <c:v>232.1</c:v>
                </c:pt>
                <c:pt idx="4350">
                  <c:v>229.9</c:v>
                </c:pt>
                <c:pt idx="4351">
                  <c:v>231</c:v>
                </c:pt>
                <c:pt idx="4352">
                  <c:v>229.4</c:v>
                </c:pt>
                <c:pt idx="4353">
                  <c:v>227.3</c:v>
                </c:pt>
                <c:pt idx="4354">
                  <c:v>226.5</c:v>
                </c:pt>
                <c:pt idx="4355">
                  <c:v>225.3</c:v>
                </c:pt>
                <c:pt idx="4356">
                  <c:v>226.8</c:v>
                </c:pt>
                <c:pt idx="4357">
                  <c:v>229.2</c:v>
                </c:pt>
                <c:pt idx="4358">
                  <c:v>232.9</c:v>
                </c:pt>
                <c:pt idx="4359">
                  <c:v>234.4</c:v>
                </c:pt>
                <c:pt idx="4360">
                  <c:v>238.2</c:v>
                </c:pt>
                <c:pt idx="4361">
                  <c:v>240.2</c:v>
                </c:pt>
                <c:pt idx="4362">
                  <c:v>242.9</c:v>
                </c:pt>
                <c:pt idx="4363">
                  <c:v>245.9</c:v>
                </c:pt>
                <c:pt idx="4364">
                  <c:v>245.8</c:v>
                </c:pt>
                <c:pt idx="4365">
                  <c:v>246.9</c:v>
                </c:pt>
                <c:pt idx="4366">
                  <c:v>256.5</c:v>
                </c:pt>
                <c:pt idx="4367">
                  <c:v>256</c:v>
                </c:pt>
                <c:pt idx="4368">
                  <c:v>258.8</c:v>
                </c:pt>
                <c:pt idx="4369">
                  <c:v>259.7</c:v>
                </c:pt>
                <c:pt idx="4370">
                  <c:v>258.10000000000002</c:v>
                </c:pt>
                <c:pt idx="4371">
                  <c:v>257.89999999999998</c:v>
                </c:pt>
                <c:pt idx="4372">
                  <c:v>260.60000000000002</c:v>
                </c:pt>
                <c:pt idx="4373">
                  <c:v>260.60000000000002</c:v>
                </c:pt>
                <c:pt idx="4375">
                  <c:v>180</c:v>
                </c:pt>
                <c:pt idx="4376">
                  <c:v>181.1</c:v>
                </c:pt>
                <c:pt idx="4377">
                  <c:v>186.6</c:v>
                </c:pt>
                <c:pt idx="4378">
                  <c:v>189.2</c:v>
                </c:pt>
                <c:pt idx="4379">
                  <c:v>190</c:v>
                </c:pt>
                <c:pt idx="4380">
                  <c:v>188.4</c:v>
                </c:pt>
                <c:pt idx="4381">
                  <c:v>190.1</c:v>
                </c:pt>
                <c:pt idx="4382">
                  <c:v>194.1</c:v>
                </c:pt>
                <c:pt idx="4383">
                  <c:v>197.4</c:v>
                </c:pt>
                <c:pt idx="4384">
                  <c:v>200.5</c:v>
                </c:pt>
                <c:pt idx="4385">
                  <c:v>201.2</c:v>
                </c:pt>
                <c:pt idx="4386">
                  <c:v>198.5</c:v>
                </c:pt>
                <c:pt idx="4387">
                  <c:v>200.8</c:v>
                </c:pt>
                <c:pt idx="4388">
                  <c:v>198.3</c:v>
                </c:pt>
                <c:pt idx="4389">
                  <c:v>198.7</c:v>
                </c:pt>
                <c:pt idx="4390">
                  <c:v>193</c:v>
                </c:pt>
                <c:pt idx="4391">
                  <c:v>189.5</c:v>
                </c:pt>
                <c:pt idx="4392">
                  <c:v>186</c:v>
                </c:pt>
                <c:pt idx="4393">
                  <c:v>183.7</c:v>
                </c:pt>
                <c:pt idx="4394">
                  <c:v>181.7</c:v>
                </c:pt>
                <c:pt idx="4395">
                  <c:v>180.4</c:v>
                </c:pt>
                <c:pt idx="4396">
                  <c:v>181.6</c:v>
                </c:pt>
                <c:pt idx="4397">
                  <c:v>180.4</c:v>
                </c:pt>
                <c:pt idx="4398">
                  <c:v>177.8</c:v>
                </c:pt>
                <c:pt idx="4399">
                  <c:v>177.5</c:v>
                </c:pt>
                <c:pt idx="4400">
                  <c:v>175.4</c:v>
                </c:pt>
                <c:pt idx="4401">
                  <c:v>174.6</c:v>
                </c:pt>
                <c:pt idx="4402">
                  <c:v>172.8</c:v>
                </c:pt>
                <c:pt idx="4403">
                  <c:v>173.2</c:v>
                </c:pt>
                <c:pt idx="4404">
                  <c:v>171.1</c:v>
                </c:pt>
                <c:pt idx="4405">
                  <c:v>167.5</c:v>
                </c:pt>
                <c:pt idx="4406">
                  <c:v>170</c:v>
                </c:pt>
                <c:pt idx="4407">
                  <c:v>168.8</c:v>
                </c:pt>
                <c:pt idx="4408">
                  <c:v>170.3</c:v>
                </c:pt>
                <c:pt idx="4409">
                  <c:v>171.5</c:v>
                </c:pt>
                <c:pt idx="4410">
                  <c:v>172.7</c:v>
                </c:pt>
                <c:pt idx="4411">
                  <c:v>174.9</c:v>
                </c:pt>
                <c:pt idx="4412">
                  <c:v>173.8</c:v>
                </c:pt>
                <c:pt idx="4413">
                  <c:v>174.6</c:v>
                </c:pt>
                <c:pt idx="4414">
                  <c:v>177</c:v>
                </c:pt>
                <c:pt idx="4415">
                  <c:v>180</c:v>
                </c:pt>
                <c:pt idx="4417">
                  <c:v>261.7</c:v>
                </c:pt>
                <c:pt idx="4418">
                  <c:v>263.60000000000002</c:v>
                </c:pt>
                <c:pt idx="4419">
                  <c:v>261.89999999999998</c:v>
                </c:pt>
                <c:pt idx="4420">
                  <c:v>261.7</c:v>
                </c:pt>
                <c:pt idx="4422">
                  <c:v>270</c:v>
                </c:pt>
                <c:pt idx="4423">
                  <c:v>268.10000000000002</c:v>
                </c:pt>
                <c:pt idx="4424">
                  <c:v>268.8</c:v>
                </c:pt>
                <c:pt idx="4425">
                  <c:v>270</c:v>
                </c:pt>
                <c:pt idx="4427">
                  <c:v>274.60000000000002</c:v>
                </c:pt>
                <c:pt idx="4428">
                  <c:v>278.60000000000002</c:v>
                </c:pt>
                <c:pt idx="4429">
                  <c:v>278.60000000000002</c:v>
                </c:pt>
                <c:pt idx="4430">
                  <c:v>274.89999999999998</c:v>
                </c:pt>
                <c:pt idx="4431">
                  <c:v>276.60000000000002</c:v>
                </c:pt>
                <c:pt idx="4432">
                  <c:v>271.7</c:v>
                </c:pt>
                <c:pt idx="4433">
                  <c:v>273.39999999999998</c:v>
                </c:pt>
                <c:pt idx="4434">
                  <c:v>274.60000000000002</c:v>
                </c:pt>
                <c:pt idx="4436">
                  <c:v>267</c:v>
                </c:pt>
                <c:pt idx="4437">
                  <c:v>270.3</c:v>
                </c:pt>
                <c:pt idx="4438">
                  <c:v>272.7</c:v>
                </c:pt>
                <c:pt idx="4439">
                  <c:v>277</c:v>
                </c:pt>
                <c:pt idx="4440">
                  <c:v>278.8</c:v>
                </c:pt>
                <c:pt idx="4441">
                  <c:v>275.89999999999998</c:v>
                </c:pt>
                <c:pt idx="4442">
                  <c:v>277.2</c:v>
                </c:pt>
                <c:pt idx="4443">
                  <c:v>275.2</c:v>
                </c:pt>
                <c:pt idx="4444">
                  <c:v>275.8</c:v>
                </c:pt>
                <c:pt idx="4445">
                  <c:v>274</c:v>
                </c:pt>
                <c:pt idx="4446">
                  <c:v>270.89999999999998</c:v>
                </c:pt>
                <c:pt idx="4447">
                  <c:v>268.8</c:v>
                </c:pt>
                <c:pt idx="4448">
                  <c:v>268.7</c:v>
                </c:pt>
                <c:pt idx="4449">
                  <c:v>265.89999999999998</c:v>
                </c:pt>
                <c:pt idx="4450">
                  <c:v>264.60000000000002</c:v>
                </c:pt>
                <c:pt idx="4451">
                  <c:v>267.39999999999998</c:v>
                </c:pt>
                <c:pt idx="4452">
                  <c:v>264.5</c:v>
                </c:pt>
                <c:pt idx="4453">
                  <c:v>262.39999999999998</c:v>
                </c:pt>
                <c:pt idx="4454">
                  <c:v>260.60000000000002</c:v>
                </c:pt>
                <c:pt idx="4455">
                  <c:v>260.60000000000002</c:v>
                </c:pt>
                <c:pt idx="4456">
                  <c:v>257.89999999999998</c:v>
                </c:pt>
                <c:pt idx="4457">
                  <c:v>259.60000000000002</c:v>
                </c:pt>
                <c:pt idx="4458">
                  <c:v>256</c:v>
                </c:pt>
                <c:pt idx="4459">
                  <c:v>256.7</c:v>
                </c:pt>
                <c:pt idx="4460">
                  <c:v>258.89999999999998</c:v>
                </c:pt>
                <c:pt idx="4461">
                  <c:v>261.10000000000002</c:v>
                </c:pt>
                <c:pt idx="4462">
                  <c:v>262.89999999999998</c:v>
                </c:pt>
                <c:pt idx="4463">
                  <c:v>264.3</c:v>
                </c:pt>
                <c:pt idx="4464">
                  <c:v>267</c:v>
                </c:pt>
                <c:pt idx="4466">
                  <c:v>213.1</c:v>
                </c:pt>
                <c:pt idx="4467">
                  <c:v>213.3</c:v>
                </c:pt>
                <c:pt idx="4468">
                  <c:v>214.6</c:v>
                </c:pt>
                <c:pt idx="4469">
                  <c:v>214.1</c:v>
                </c:pt>
                <c:pt idx="4470">
                  <c:v>212.4</c:v>
                </c:pt>
                <c:pt idx="4471">
                  <c:v>216.2</c:v>
                </c:pt>
                <c:pt idx="4472">
                  <c:v>216.1</c:v>
                </c:pt>
                <c:pt idx="4473">
                  <c:v>214.6</c:v>
                </c:pt>
                <c:pt idx="4474">
                  <c:v>213.8</c:v>
                </c:pt>
                <c:pt idx="4475">
                  <c:v>218.5</c:v>
                </c:pt>
                <c:pt idx="4476">
                  <c:v>218.7</c:v>
                </c:pt>
                <c:pt idx="4477">
                  <c:v>217.1</c:v>
                </c:pt>
                <c:pt idx="4478">
                  <c:v>220.3</c:v>
                </c:pt>
                <c:pt idx="4479">
                  <c:v>215.8</c:v>
                </c:pt>
                <c:pt idx="4480">
                  <c:v>217.8</c:v>
                </c:pt>
                <c:pt idx="4481">
                  <c:v>216.2</c:v>
                </c:pt>
                <c:pt idx="4482">
                  <c:v>210.8</c:v>
                </c:pt>
                <c:pt idx="4483">
                  <c:v>211.9</c:v>
                </c:pt>
                <c:pt idx="4484">
                  <c:v>210</c:v>
                </c:pt>
                <c:pt idx="4485">
                  <c:v>207.2</c:v>
                </c:pt>
                <c:pt idx="4486">
                  <c:v>204</c:v>
                </c:pt>
                <c:pt idx="4487">
                  <c:v>201.7</c:v>
                </c:pt>
                <c:pt idx="4488">
                  <c:v>199.4</c:v>
                </c:pt>
                <c:pt idx="4489">
                  <c:v>197.2</c:v>
                </c:pt>
                <c:pt idx="4490">
                  <c:v>197.9</c:v>
                </c:pt>
                <c:pt idx="4491">
                  <c:v>200.2</c:v>
                </c:pt>
                <c:pt idx="4492">
                  <c:v>199.1</c:v>
                </c:pt>
                <c:pt idx="4493">
                  <c:v>199.9</c:v>
                </c:pt>
                <c:pt idx="4494">
                  <c:v>202.6</c:v>
                </c:pt>
                <c:pt idx="4495">
                  <c:v>203.4</c:v>
                </c:pt>
                <c:pt idx="4496">
                  <c:v>203</c:v>
                </c:pt>
                <c:pt idx="4497">
                  <c:v>207.9</c:v>
                </c:pt>
                <c:pt idx="4498">
                  <c:v>207.5</c:v>
                </c:pt>
                <c:pt idx="4499">
                  <c:v>209.5</c:v>
                </c:pt>
                <c:pt idx="4500">
                  <c:v>210</c:v>
                </c:pt>
                <c:pt idx="4501">
                  <c:v>213.1</c:v>
                </c:pt>
                <c:pt idx="4503">
                  <c:v>226.1</c:v>
                </c:pt>
                <c:pt idx="4504">
                  <c:v>228.2</c:v>
                </c:pt>
                <c:pt idx="4505">
                  <c:v>230.3</c:v>
                </c:pt>
                <c:pt idx="4506">
                  <c:v>232.5</c:v>
                </c:pt>
                <c:pt idx="4507">
                  <c:v>236.9</c:v>
                </c:pt>
                <c:pt idx="4508">
                  <c:v>241</c:v>
                </c:pt>
                <c:pt idx="4509">
                  <c:v>243.8</c:v>
                </c:pt>
                <c:pt idx="4510">
                  <c:v>243.3</c:v>
                </c:pt>
                <c:pt idx="4511">
                  <c:v>245.2</c:v>
                </c:pt>
                <c:pt idx="4512">
                  <c:v>242.1</c:v>
                </c:pt>
                <c:pt idx="4513">
                  <c:v>243</c:v>
                </c:pt>
                <c:pt idx="4514">
                  <c:v>245.8</c:v>
                </c:pt>
                <c:pt idx="4515">
                  <c:v>245.9</c:v>
                </c:pt>
                <c:pt idx="4516">
                  <c:v>242.9</c:v>
                </c:pt>
                <c:pt idx="4517">
                  <c:v>240.2</c:v>
                </c:pt>
                <c:pt idx="4518">
                  <c:v>238.2</c:v>
                </c:pt>
                <c:pt idx="4519">
                  <c:v>234.4</c:v>
                </c:pt>
                <c:pt idx="4520">
                  <c:v>232.9</c:v>
                </c:pt>
                <c:pt idx="4521">
                  <c:v>231.6</c:v>
                </c:pt>
                <c:pt idx="4522">
                  <c:v>231.2</c:v>
                </c:pt>
                <c:pt idx="4523">
                  <c:v>228.8</c:v>
                </c:pt>
                <c:pt idx="4524">
                  <c:v>227.3</c:v>
                </c:pt>
                <c:pt idx="4525">
                  <c:v>226.5</c:v>
                </c:pt>
                <c:pt idx="4526">
                  <c:v>227.6</c:v>
                </c:pt>
                <c:pt idx="4527">
                  <c:v>226.3</c:v>
                </c:pt>
                <c:pt idx="4528">
                  <c:v>222.7</c:v>
                </c:pt>
                <c:pt idx="4529">
                  <c:v>219.2</c:v>
                </c:pt>
                <c:pt idx="4530">
                  <c:v>217.1</c:v>
                </c:pt>
                <c:pt idx="4531">
                  <c:v>218.7</c:v>
                </c:pt>
                <c:pt idx="4532">
                  <c:v>218.3</c:v>
                </c:pt>
                <c:pt idx="4533">
                  <c:v>226.1</c:v>
                </c:pt>
                <c:pt idx="4535">
                  <c:v>251.5</c:v>
                </c:pt>
                <c:pt idx="4536">
                  <c:v>259.7</c:v>
                </c:pt>
                <c:pt idx="4537">
                  <c:v>263.8</c:v>
                </c:pt>
                <c:pt idx="4538">
                  <c:v>264.7</c:v>
                </c:pt>
                <c:pt idx="4539">
                  <c:v>262.89999999999998</c:v>
                </c:pt>
                <c:pt idx="4540">
                  <c:v>261.10000000000002</c:v>
                </c:pt>
                <c:pt idx="4541">
                  <c:v>258.89999999999998</c:v>
                </c:pt>
                <c:pt idx="4542">
                  <c:v>253.4</c:v>
                </c:pt>
                <c:pt idx="4543">
                  <c:v>250.8</c:v>
                </c:pt>
                <c:pt idx="4544">
                  <c:v>246.5</c:v>
                </c:pt>
                <c:pt idx="4545">
                  <c:v>243.2</c:v>
                </c:pt>
                <c:pt idx="4546">
                  <c:v>242.6</c:v>
                </c:pt>
                <c:pt idx="4547">
                  <c:v>242.2</c:v>
                </c:pt>
                <c:pt idx="4548">
                  <c:v>245.2</c:v>
                </c:pt>
                <c:pt idx="4549">
                  <c:v>243.6</c:v>
                </c:pt>
                <c:pt idx="4550">
                  <c:v>247.7</c:v>
                </c:pt>
                <c:pt idx="4551">
                  <c:v>251.5</c:v>
                </c:pt>
                <c:pt idx="4553">
                  <c:v>231.4</c:v>
                </c:pt>
                <c:pt idx="4554">
                  <c:v>233.8</c:v>
                </c:pt>
                <c:pt idx="4555">
                  <c:v>231.7</c:v>
                </c:pt>
                <c:pt idx="4556">
                  <c:v>231.4</c:v>
                </c:pt>
                <c:pt idx="4558">
                  <c:v>251.9</c:v>
                </c:pt>
                <c:pt idx="4559">
                  <c:v>253.2</c:v>
                </c:pt>
                <c:pt idx="4560">
                  <c:v>254.1</c:v>
                </c:pt>
                <c:pt idx="4561">
                  <c:v>257</c:v>
                </c:pt>
                <c:pt idx="4562">
                  <c:v>256.5</c:v>
                </c:pt>
                <c:pt idx="4563">
                  <c:v>252.6</c:v>
                </c:pt>
                <c:pt idx="4564">
                  <c:v>253.1</c:v>
                </c:pt>
                <c:pt idx="4565">
                  <c:v>250.5</c:v>
                </c:pt>
                <c:pt idx="4566">
                  <c:v>252.5</c:v>
                </c:pt>
                <c:pt idx="4567">
                  <c:v>249.3</c:v>
                </c:pt>
                <c:pt idx="4568">
                  <c:v>249.8</c:v>
                </c:pt>
                <c:pt idx="4569">
                  <c:v>251.9</c:v>
                </c:pt>
                <c:pt idx="4571">
                  <c:v>229</c:v>
                </c:pt>
                <c:pt idx="4572">
                  <c:v>230.6</c:v>
                </c:pt>
                <c:pt idx="4573">
                  <c:v>228.2</c:v>
                </c:pt>
                <c:pt idx="4574">
                  <c:v>224.6</c:v>
                </c:pt>
                <c:pt idx="4575">
                  <c:v>222.4</c:v>
                </c:pt>
                <c:pt idx="4576">
                  <c:v>220.2</c:v>
                </c:pt>
                <c:pt idx="4577">
                  <c:v>218.7</c:v>
                </c:pt>
                <c:pt idx="4578">
                  <c:v>218.1</c:v>
                </c:pt>
                <c:pt idx="4579">
                  <c:v>220.6</c:v>
                </c:pt>
                <c:pt idx="4580">
                  <c:v>222.4</c:v>
                </c:pt>
                <c:pt idx="4581">
                  <c:v>229</c:v>
                </c:pt>
                <c:pt idx="4583">
                  <c:v>221.6</c:v>
                </c:pt>
                <c:pt idx="4584">
                  <c:v>219.9</c:v>
                </c:pt>
                <c:pt idx="4585">
                  <c:v>218.5</c:v>
                </c:pt>
                <c:pt idx="4586">
                  <c:v>221.2</c:v>
                </c:pt>
                <c:pt idx="4587">
                  <c:v>221.6</c:v>
                </c:pt>
                <c:pt idx="4589">
                  <c:v>250.8</c:v>
                </c:pt>
                <c:pt idx="4590">
                  <c:v>251.9</c:v>
                </c:pt>
                <c:pt idx="4591">
                  <c:v>250.1</c:v>
                </c:pt>
                <c:pt idx="4592">
                  <c:v>251.6</c:v>
                </c:pt>
                <c:pt idx="4593">
                  <c:v>250</c:v>
                </c:pt>
                <c:pt idx="4594">
                  <c:v>254.3</c:v>
                </c:pt>
                <c:pt idx="4595">
                  <c:v>249.6</c:v>
                </c:pt>
                <c:pt idx="4596">
                  <c:v>248.6</c:v>
                </c:pt>
                <c:pt idx="4597">
                  <c:v>249.9</c:v>
                </c:pt>
                <c:pt idx="4598">
                  <c:v>248</c:v>
                </c:pt>
                <c:pt idx="4599">
                  <c:v>250.8</c:v>
                </c:pt>
                <c:pt idx="4601">
                  <c:v>247.6</c:v>
                </c:pt>
                <c:pt idx="4602">
                  <c:v>249.5</c:v>
                </c:pt>
                <c:pt idx="4603">
                  <c:v>249</c:v>
                </c:pt>
                <c:pt idx="4604">
                  <c:v>247.6</c:v>
                </c:pt>
                <c:pt idx="4606">
                  <c:v>236.7</c:v>
                </c:pt>
                <c:pt idx="4607">
                  <c:v>240.2</c:v>
                </c:pt>
                <c:pt idx="4608">
                  <c:v>238.6</c:v>
                </c:pt>
                <c:pt idx="4609">
                  <c:v>236.6</c:v>
                </c:pt>
                <c:pt idx="4610">
                  <c:v>235.6</c:v>
                </c:pt>
                <c:pt idx="4611">
                  <c:v>233.8</c:v>
                </c:pt>
                <c:pt idx="4612">
                  <c:v>232.9</c:v>
                </c:pt>
                <c:pt idx="4613">
                  <c:v>231</c:v>
                </c:pt>
                <c:pt idx="4614">
                  <c:v>231.7</c:v>
                </c:pt>
                <c:pt idx="4615">
                  <c:v>233.3</c:v>
                </c:pt>
                <c:pt idx="4616">
                  <c:v>235.5</c:v>
                </c:pt>
                <c:pt idx="4617">
                  <c:v>240.8</c:v>
                </c:pt>
                <c:pt idx="4618">
                  <c:v>245.2</c:v>
                </c:pt>
                <c:pt idx="4619">
                  <c:v>242.6</c:v>
                </c:pt>
                <c:pt idx="4620">
                  <c:v>243.1</c:v>
                </c:pt>
                <c:pt idx="4621">
                  <c:v>247.5</c:v>
                </c:pt>
                <c:pt idx="4622">
                  <c:v>252.8</c:v>
                </c:pt>
                <c:pt idx="4623">
                  <c:v>250.1</c:v>
                </c:pt>
                <c:pt idx="4624">
                  <c:v>253.4</c:v>
                </c:pt>
                <c:pt idx="4625">
                  <c:v>254.5</c:v>
                </c:pt>
                <c:pt idx="4626">
                  <c:v>252.7</c:v>
                </c:pt>
                <c:pt idx="4627">
                  <c:v>250.1</c:v>
                </c:pt>
                <c:pt idx="4628">
                  <c:v>248.9</c:v>
                </c:pt>
                <c:pt idx="4629">
                  <c:v>247.9</c:v>
                </c:pt>
                <c:pt idx="4630">
                  <c:v>244.6</c:v>
                </c:pt>
                <c:pt idx="4631">
                  <c:v>245.8</c:v>
                </c:pt>
                <c:pt idx="4632">
                  <c:v>244.7</c:v>
                </c:pt>
                <c:pt idx="4633">
                  <c:v>248.4</c:v>
                </c:pt>
                <c:pt idx="4634">
                  <c:v>247.1</c:v>
                </c:pt>
                <c:pt idx="4635">
                  <c:v>247.7</c:v>
                </c:pt>
                <c:pt idx="4636">
                  <c:v>246.2</c:v>
                </c:pt>
                <c:pt idx="4637">
                  <c:v>245.4</c:v>
                </c:pt>
                <c:pt idx="4638">
                  <c:v>242.9</c:v>
                </c:pt>
                <c:pt idx="4639">
                  <c:v>243.8</c:v>
                </c:pt>
                <c:pt idx="4640">
                  <c:v>241.4</c:v>
                </c:pt>
                <c:pt idx="4641">
                  <c:v>240.5</c:v>
                </c:pt>
                <c:pt idx="4642">
                  <c:v>239.8</c:v>
                </c:pt>
                <c:pt idx="4643">
                  <c:v>238.4</c:v>
                </c:pt>
                <c:pt idx="4644">
                  <c:v>239.5</c:v>
                </c:pt>
                <c:pt idx="4645">
                  <c:v>237.8</c:v>
                </c:pt>
                <c:pt idx="4646">
                  <c:v>239.7</c:v>
                </c:pt>
                <c:pt idx="4647">
                  <c:v>238.7</c:v>
                </c:pt>
                <c:pt idx="4648">
                  <c:v>233.4</c:v>
                </c:pt>
                <c:pt idx="4649">
                  <c:v>234.8</c:v>
                </c:pt>
                <c:pt idx="4650">
                  <c:v>232.3</c:v>
                </c:pt>
                <c:pt idx="4651">
                  <c:v>230.3</c:v>
                </c:pt>
                <c:pt idx="4652">
                  <c:v>229.3</c:v>
                </c:pt>
                <c:pt idx="4653">
                  <c:v>228.6</c:v>
                </c:pt>
                <c:pt idx="4654">
                  <c:v>227</c:v>
                </c:pt>
                <c:pt idx="4655">
                  <c:v>222.8</c:v>
                </c:pt>
                <c:pt idx="4656">
                  <c:v>219.9</c:v>
                </c:pt>
                <c:pt idx="4657">
                  <c:v>223</c:v>
                </c:pt>
                <c:pt idx="4658">
                  <c:v>225</c:v>
                </c:pt>
                <c:pt idx="4659">
                  <c:v>225.1</c:v>
                </c:pt>
                <c:pt idx="4660">
                  <c:v>227.2</c:v>
                </c:pt>
                <c:pt idx="4661">
                  <c:v>229.9</c:v>
                </c:pt>
                <c:pt idx="4662">
                  <c:v>232</c:v>
                </c:pt>
                <c:pt idx="4663">
                  <c:v>234.6</c:v>
                </c:pt>
                <c:pt idx="4664">
                  <c:v>234.3</c:v>
                </c:pt>
                <c:pt idx="4665">
                  <c:v>236.7</c:v>
                </c:pt>
                <c:pt idx="4667">
                  <c:v>250.5</c:v>
                </c:pt>
                <c:pt idx="4668">
                  <c:v>251.1</c:v>
                </c:pt>
                <c:pt idx="4669">
                  <c:v>248.5</c:v>
                </c:pt>
                <c:pt idx="4670">
                  <c:v>250.5</c:v>
                </c:pt>
                <c:pt idx="4672">
                  <c:v>244.6</c:v>
                </c:pt>
                <c:pt idx="4673">
                  <c:v>240</c:v>
                </c:pt>
                <c:pt idx="4674">
                  <c:v>235.5</c:v>
                </c:pt>
                <c:pt idx="4675">
                  <c:v>233.3</c:v>
                </c:pt>
                <c:pt idx="4676">
                  <c:v>231.7</c:v>
                </c:pt>
                <c:pt idx="4677">
                  <c:v>231.1</c:v>
                </c:pt>
                <c:pt idx="4678">
                  <c:v>228.3</c:v>
                </c:pt>
                <c:pt idx="4679">
                  <c:v>226.2</c:v>
                </c:pt>
                <c:pt idx="4680">
                  <c:v>220.9</c:v>
                </c:pt>
                <c:pt idx="4681">
                  <c:v>214</c:v>
                </c:pt>
                <c:pt idx="4682">
                  <c:v>211.8</c:v>
                </c:pt>
                <c:pt idx="4683">
                  <c:v>208.2</c:v>
                </c:pt>
                <c:pt idx="4684">
                  <c:v>207.6</c:v>
                </c:pt>
                <c:pt idx="4685">
                  <c:v>211.8</c:v>
                </c:pt>
                <c:pt idx="4686">
                  <c:v>211.9</c:v>
                </c:pt>
                <c:pt idx="4687">
                  <c:v>217.9</c:v>
                </c:pt>
                <c:pt idx="4688">
                  <c:v>217.2</c:v>
                </c:pt>
                <c:pt idx="4689">
                  <c:v>221</c:v>
                </c:pt>
                <c:pt idx="4690">
                  <c:v>225.4</c:v>
                </c:pt>
                <c:pt idx="4691">
                  <c:v>226.5</c:v>
                </c:pt>
                <c:pt idx="4692">
                  <c:v>227.3</c:v>
                </c:pt>
                <c:pt idx="4693">
                  <c:v>231</c:v>
                </c:pt>
                <c:pt idx="4694">
                  <c:v>229.9</c:v>
                </c:pt>
                <c:pt idx="4695">
                  <c:v>232.1</c:v>
                </c:pt>
                <c:pt idx="4696">
                  <c:v>236.8</c:v>
                </c:pt>
                <c:pt idx="4697">
                  <c:v>238.4</c:v>
                </c:pt>
                <c:pt idx="4698">
                  <c:v>239.4</c:v>
                </c:pt>
                <c:pt idx="4699">
                  <c:v>239.6</c:v>
                </c:pt>
                <c:pt idx="4700">
                  <c:v>242.1</c:v>
                </c:pt>
                <c:pt idx="4701">
                  <c:v>243.3</c:v>
                </c:pt>
                <c:pt idx="4702">
                  <c:v>246.4</c:v>
                </c:pt>
                <c:pt idx="4703">
                  <c:v>244.7</c:v>
                </c:pt>
                <c:pt idx="4704">
                  <c:v>240.9</c:v>
                </c:pt>
                <c:pt idx="4705">
                  <c:v>244.3</c:v>
                </c:pt>
                <c:pt idx="4706">
                  <c:v>247.3</c:v>
                </c:pt>
                <c:pt idx="4707">
                  <c:v>244.6</c:v>
                </c:pt>
                <c:pt idx="4709">
                  <c:v>227.3</c:v>
                </c:pt>
                <c:pt idx="4710">
                  <c:v>225.7</c:v>
                </c:pt>
                <c:pt idx="4711">
                  <c:v>223.4</c:v>
                </c:pt>
                <c:pt idx="4712">
                  <c:v>221</c:v>
                </c:pt>
                <c:pt idx="4713">
                  <c:v>217.9</c:v>
                </c:pt>
                <c:pt idx="4714">
                  <c:v>217.9</c:v>
                </c:pt>
                <c:pt idx="4715">
                  <c:v>215.3</c:v>
                </c:pt>
                <c:pt idx="4716">
                  <c:v>209.7</c:v>
                </c:pt>
                <c:pt idx="4717">
                  <c:v>207.3</c:v>
                </c:pt>
                <c:pt idx="4718">
                  <c:v>204.8</c:v>
                </c:pt>
                <c:pt idx="4719">
                  <c:v>201.8</c:v>
                </c:pt>
                <c:pt idx="4720">
                  <c:v>201.2</c:v>
                </c:pt>
                <c:pt idx="4721">
                  <c:v>194.7</c:v>
                </c:pt>
                <c:pt idx="4722">
                  <c:v>199.2</c:v>
                </c:pt>
                <c:pt idx="4723">
                  <c:v>198.3</c:v>
                </c:pt>
                <c:pt idx="4724">
                  <c:v>200.8</c:v>
                </c:pt>
                <c:pt idx="4725">
                  <c:v>198.5</c:v>
                </c:pt>
                <c:pt idx="4726">
                  <c:v>201.2</c:v>
                </c:pt>
                <c:pt idx="4727">
                  <c:v>200.7</c:v>
                </c:pt>
                <c:pt idx="4728">
                  <c:v>203.1</c:v>
                </c:pt>
                <c:pt idx="4729">
                  <c:v>204.1</c:v>
                </c:pt>
                <c:pt idx="4730">
                  <c:v>205.8</c:v>
                </c:pt>
                <c:pt idx="4731">
                  <c:v>209</c:v>
                </c:pt>
                <c:pt idx="4732">
                  <c:v>211.7</c:v>
                </c:pt>
                <c:pt idx="4733">
                  <c:v>217</c:v>
                </c:pt>
                <c:pt idx="4734">
                  <c:v>217.8</c:v>
                </c:pt>
                <c:pt idx="4735">
                  <c:v>215.8</c:v>
                </c:pt>
                <c:pt idx="4736">
                  <c:v>222.7</c:v>
                </c:pt>
                <c:pt idx="4737">
                  <c:v>226.1</c:v>
                </c:pt>
                <c:pt idx="4738">
                  <c:v>227.3</c:v>
                </c:pt>
                <c:pt idx="4740">
                  <c:v>200.4</c:v>
                </c:pt>
                <c:pt idx="4741">
                  <c:v>198.7</c:v>
                </c:pt>
                <c:pt idx="4742">
                  <c:v>199.9</c:v>
                </c:pt>
                <c:pt idx="4743">
                  <c:v>196.4</c:v>
                </c:pt>
                <c:pt idx="4744">
                  <c:v>197.2</c:v>
                </c:pt>
                <c:pt idx="4745">
                  <c:v>196</c:v>
                </c:pt>
                <c:pt idx="4746">
                  <c:v>200</c:v>
                </c:pt>
                <c:pt idx="4747">
                  <c:v>196.8</c:v>
                </c:pt>
                <c:pt idx="4748">
                  <c:v>199.5</c:v>
                </c:pt>
                <c:pt idx="4749">
                  <c:v>196.8</c:v>
                </c:pt>
                <c:pt idx="4750">
                  <c:v>191.9</c:v>
                </c:pt>
                <c:pt idx="4751">
                  <c:v>193.1</c:v>
                </c:pt>
                <c:pt idx="4752">
                  <c:v>196.4</c:v>
                </c:pt>
                <c:pt idx="4753">
                  <c:v>199.2</c:v>
                </c:pt>
                <c:pt idx="4754">
                  <c:v>201.2</c:v>
                </c:pt>
                <c:pt idx="4755">
                  <c:v>201.8</c:v>
                </c:pt>
                <c:pt idx="4756">
                  <c:v>204.8</c:v>
                </c:pt>
                <c:pt idx="4757">
                  <c:v>207.3</c:v>
                </c:pt>
                <c:pt idx="4758">
                  <c:v>209.4</c:v>
                </c:pt>
                <c:pt idx="4759">
                  <c:v>213.3</c:v>
                </c:pt>
                <c:pt idx="4760">
                  <c:v>211.9</c:v>
                </c:pt>
                <c:pt idx="4761">
                  <c:v>211.3</c:v>
                </c:pt>
                <c:pt idx="4762">
                  <c:v>207.5</c:v>
                </c:pt>
                <c:pt idx="4763">
                  <c:v>208.2</c:v>
                </c:pt>
                <c:pt idx="4764">
                  <c:v>211.8</c:v>
                </c:pt>
                <c:pt idx="4765">
                  <c:v>214</c:v>
                </c:pt>
                <c:pt idx="4766">
                  <c:v>211.2</c:v>
                </c:pt>
                <c:pt idx="4767">
                  <c:v>206.2</c:v>
                </c:pt>
                <c:pt idx="4768">
                  <c:v>210.8</c:v>
                </c:pt>
                <c:pt idx="4769">
                  <c:v>208.2</c:v>
                </c:pt>
                <c:pt idx="4770">
                  <c:v>210.6</c:v>
                </c:pt>
                <c:pt idx="4771">
                  <c:v>210.3</c:v>
                </c:pt>
                <c:pt idx="4772">
                  <c:v>209</c:v>
                </c:pt>
                <c:pt idx="4773">
                  <c:v>206.8</c:v>
                </c:pt>
                <c:pt idx="4774">
                  <c:v>208.1</c:v>
                </c:pt>
                <c:pt idx="4775">
                  <c:v>206.2</c:v>
                </c:pt>
                <c:pt idx="4776">
                  <c:v>205.1</c:v>
                </c:pt>
                <c:pt idx="4777">
                  <c:v>204.6</c:v>
                </c:pt>
                <c:pt idx="4778">
                  <c:v>200.4</c:v>
                </c:pt>
                <c:pt idx="4780">
                  <c:v>192</c:v>
                </c:pt>
                <c:pt idx="4781">
                  <c:v>190.7</c:v>
                </c:pt>
                <c:pt idx="4782">
                  <c:v>189.8</c:v>
                </c:pt>
                <c:pt idx="4783">
                  <c:v>188.9</c:v>
                </c:pt>
                <c:pt idx="4784">
                  <c:v>189.5</c:v>
                </c:pt>
                <c:pt idx="4785">
                  <c:v>187.1</c:v>
                </c:pt>
                <c:pt idx="4786">
                  <c:v>188.5</c:v>
                </c:pt>
                <c:pt idx="4787">
                  <c:v>186.8</c:v>
                </c:pt>
                <c:pt idx="4788">
                  <c:v>185.2</c:v>
                </c:pt>
                <c:pt idx="4789">
                  <c:v>182.1</c:v>
                </c:pt>
                <c:pt idx="4790">
                  <c:v>182.6</c:v>
                </c:pt>
                <c:pt idx="4791">
                  <c:v>180.9</c:v>
                </c:pt>
                <c:pt idx="4792">
                  <c:v>183.3</c:v>
                </c:pt>
                <c:pt idx="4793">
                  <c:v>181.3</c:v>
                </c:pt>
                <c:pt idx="4794">
                  <c:v>183.8</c:v>
                </c:pt>
                <c:pt idx="4795">
                  <c:v>182.2</c:v>
                </c:pt>
                <c:pt idx="4796">
                  <c:v>184.2</c:v>
                </c:pt>
                <c:pt idx="4797">
                  <c:v>181.5</c:v>
                </c:pt>
                <c:pt idx="4798">
                  <c:v>182.1</c:v>
                </c:pt>
                <c:pt idx="4799">
                  <c:v>179.9</c:v>
                </c:pt>
                <c:pt idx="4800">
                  <c:v>184</c:v>
                </c:pt>
                <c:pt idx="4801">
                  <c:v>187.8</c:v>
                </c:pt>
                <c:pt idx="4802">
                  <c:v>190.9</c:v>
                </c:pt>
                <c:pt idx="4803">
                  <c:v>193.7</c:v>
                </c:pt>
                <c:pt idx="4804">
                  <c:v>196.8</c:v>
                </c:pt>
                <c:pt idx="4805">
                  <c:v>199.5</c:v>
                </c:pt>
                <c:pt idx="4806">
                  <c:v>196.8</c:v>
                </c:pt>
                <c:pt idx="4807">
                  <c:v>200</c:v>
                </c:pt>
                <c:pt idx="4808">
                  <c:v>196</c:v>
                </c:pt>
                <c:pt idx="4809">
                  <c:v>197.2</c:v>
                </c:pt>
                <c:pt idx="4810">
                  <c:v>195.1</c:v>
                </c:pt>
                <c:pt idx="4811">
                  <c:v>192.9</c:v>
                </c:pt>
                <c:pt idx="4812">
                  <c:v>193.2</c:v>
                </c:pt>
                <c:pt idx="4813">
                  <c:v>191.5</c:v>
                </c:pt>
                <c:pt idx="4814">
                  <c:v>192</c:v>
                </c:pt>
                <c:pt idx="4816">
                  <c:v>183.9</c:v>
                </c:pt>
                <c:pt idx="4817">
                  <c:v>181.4</c:v>
                </c:pt>
                <c:pt idx="4818">
                  <c:v>181.7</c:v>
                </c:pt>
                <c:pt idx="4819">
                  <c:v>180.6</c:v>
                </c:pt>
                <c:pt idx="4820">
                  <c:v>176.4</c:v>
                </c:pt>
                <c:pt idx="4821">
                  <c:v>175.5</c:v>
                </c:pt>
                <c:pt idx="4822">
                  <c:v>171.4</c:v>
                </c:pt>
                <c:pt idx="4823">
                  <c:v>168.1</c:v>
                </c:pt>
                <c:pt idx="4824">
                  <c:v>168</c:v>
                </c:pt>
                <c:pt idx="4825">
                  <c:v>166.4</c:v>
                </c:pt>
                <c:pt idx="4826">
                  <c:v>164.1</c:v>
                </c:pt>
                <c:pt idx="4827">
                  <c:v>163.19999999999999</c:v>
                </c:pt>
                <c:pt idx="4828">
                  <c:v>165.1</c:v>
                </c:pt>
                <c:pt idx="4829">
                  <c:v>163.80000000000001</c:v>
                </c:pt>
                <c:pt idx="4830">
                  <c:v>166</c:v>
                </c:pt>
                <c:pt idx="4831">
                  <c:v>165.1</c:v>
                </c:pt>
                <c:pt idx="4832">
                  <c:v>167.7</c:v>
                </c:pt>
                <c:pt idx="4833">
                  <c:v>166.9</c:v>
                </c:pt>
                <c:pt idx="4834">
                  <c:v>164.7</c:v>
                </c:pt>
                <c:pt idx="4835">
                  <c:v>162.4</c:v>
                </c:pt>
                <c:pt idx="4836">
                  <c:v>164.3</c:v>
                </c:pt>
                <c:pt idx="4837">
                  <c:v>162.4</c:v>
                </c:pt>
                <c:pt idx="4838">
                  <c:v>163.30000000000001</c:v>
                </c:pt>
                <c:pt idx="4839">
                  <c:v>162.4</c:v>
                </c:pt>
                <c:pt idx="4840">
                  <c:v>163.69999999999999</c:v>
                </c:pt>
                <c:pt idx="4841">
                  <c:v>161.19999999999999</c:v>
                </c:pt>
                <c:pt idx="4842">
                  <c:v>162.80000000000001</c:v>
                </c:pt>
                <c:pt idx="4843">
                  <c:v>160.5</c:v>
                </c:pt>
                <c:pt idx="4844">
                  <c:v>160.6</c:v>
                </c:pt>
                <c:pt idx="4845">
                  <c:v>158.80000000000001</c:v>
                </c:pt>
                <c:pt idx="4846">
                  <c:v>159</c:v>
                </c:pt>
                <c:pt idx="4847">
                  <c:v>156.30000000000001</c:v>
                </c:pt>
                <c:pt idx="4848">
                  <c:v>156</c:v>
                </c:pt>
                <c:pt idx="4849">
                  <c:v>149.9</c:v>
                </c:pt>
                <c:pt idx="4850">
                  <c:v>149.9</c:v>
                </c:pt>
                <c:pt idx="4851">
                  <c:v>145.19999999999999</c:v>
                </c:pt>
                <c:pt idx="4852">
                  <c:v>147</c:v>
                </c:pt>
                <c:pt idx="4853">
                  <c:v>148.19999999999999</c:v>
                </c:pt>
                <c:pt idx="4854">
                  <c:v>145.30000000000001</c:v>
                </c:pt>
                <c:pt idx="4855">
                  <c:v>144.80000000000001</c:v>
                </c:pt>
                <c:pt idx="4856">
                  <c:v>147.5</c:v>
                </c:pt>
                <c:pt idx="4857">
                  <c:v>151.6</c:v>
                </c:pt>
                <c:pt idx="4858">
                  <c:v>151.4</c:v>
                </c:pt>
                <c:pt idx="4859">
                  <c:v>153.6</c:v>
                </c:pt>
                <c:pt idx="4860">
                  <c:v>156.4</c:v>
                </c:pt>
                <c:pt idx="4861">
                  <c:v>157.9</c:v>
                </c:pt>
                <c:pt idx="4862">
                  <c:v>163.30000000000001</c:v>
                </c:pt>
                <c:pt idx="4863">
                  <c:v>170.1</c:v>
                </c:pt>
                <c:pt idx="4864">
                  <c:v>174.7</c:v>
                </c:pt>
                <c:pt idx="4865">
                  <c:v>178.3</c:v>
                </c:pt>
                <c:pt idx="4866">
                  <c:v>180.7</c:v>
                </c:pt>
                <c:pt idx="4867">
                  <c:v>184.2</c:v>
                </c:pt>
                <c:pt idx="4868">
                  <c:v>182.2</c:v>
                </c:pt>
                <c:pt idx="4869">
                  <c:v>183.8</c:v>
                </c:pt>
                <c:pt idx="4870">
                  <c:v>181.3</c:v>
                </c:pt>
                <c:pt idx="4871">
                  <c:v>183.3</c:v>
                </c:pt>
                <c:pt idx="4872">
                  <c:v>180.9</c:v>
                </c:pt>
                <c:pt idx="4873">
                  <c:v>182.6</c:v>
                </c:pt>
                <c:pt idx="4874">
                  <c:v>182.1</c:v>
                </c:pt>
                <c:pt idx="4875">
                  <c:v>185.2</c:v>
                </c:pt>
                <c:pt idx="4876">
                  <c:v>186.8</c:v>
                </c:pt>
                <c:pt idx="4877">
                  <c:v>183.9</c:v>
                </c:pt>
                <c:pt idx="4879">
                  <c:v>181.8</c:v>
                </c:pt>
                <c:pt idx="4880">
                  <c:v>183.7</c:v>
                </c:pt>
                <c:pt idx="4881">
                  <c:v>186</c:v>
                </c:pt>
                <c:pt idx="4882">
                  <c:v>189.5</c:v>
                </c:pt>
                <c:pt idx="4883">
                  <c:v>192.8</c:v>
                </c:pt>
                <c:pt idx="4884">
                  <c:v>197.7</c:v>
                </c:pt>
                <c:pt idx="4885">
                  <c:v>196.4</c:v>
                </c:pt>
                <c:pt idx="4886">
                  <c:v>193.1</c:v>
                </c:pt>
                <c:pt idx="4887">
                  <c:v>192.1</c:v>
                </c:pt>
                <c:pt idx="4888">
                  <c:v>189.8</c:v>
                </c:pt>
                <c:pt idx="4889">
                  <c:v>187.6</c:v>
                </c:pt>
                <c:pt idx="4890">
                  <c:v>184.1</c:v>
                </c:pt>
                <c:pt idx="4891">
                  <c:v>180</c:v>
                </c:pt>
                <c:pt idx="4892">
                  <c:v>182.1</c:v>
                </c:pt>
                <c:pt idx="4893">
                  <c:v>181.1</c:v>
                </c:pt>
                <c:pt idx="4894">
                  <c:v>178.3</c:v>
                </c:pt>
                <c:pt idx="4895">
                  <c:v>172.5</c:v>
                </c:pt>
                <c:pt idx="4896">
                  <c:v>170.1</c:v>
                </c:pt>
                <c:pt idx="4897">
                  <c:v>163</c:v>
                </c:pt>
                <c:pt idx="4898">
                  <c:v>164.3</c:v>
                </c:pt>
                <c:pt idx="4899">
                  <c:v>162.5</c:v>
                </c:pt>
                <c:pt idx="4900">
                  <c:v>161.9</c:v>
                </c:pt>
                <c:pt idx="4901">
                  <c:v>159.69999999999999</c:v>
                </c:pt>
                <c:pt idx="4902">
                  <c:v>159.6</c:v>
                </c:pt>
                <c:pt idx="4903">
                  <c:v>157.1</c:v>
                </c:pt>
                <c:pt idx="4904">
                  <c:v>156.5</c:v>
                </c:pt>
                <c:pt idx="4905">
                  <c:v>154</c:v>
                </c:pt>
                <c:pt idx="4906">
                  <c:v>155.9</c:v>
                </c:pt>
                <c:pt idx="4907">
                  <c:v>161.80000000000001</c:v>
                </c:pt>
                <c:pt idx="4908">
                  <c:v>161.69999999999999</c:v>
                </c:pt>
                <c:pt idx="4909">
                  <c:v>167.2</c:v>
                </c:pt>
                <c:pt idx="4910">
                  <c:v>173.2</c:v>
                </c:pt>
                <c:pt idx="4911">
                  <c:v>172.8</c:v>
                </c:pt>
                <c:pt idx="4912">
                  <c:v>176.6</c:v>
                </c:pt>
                <c:pt idx="4913">
                  <c:v>177.8</c:v>
                </c:pt>
                <c:pt idx="4914">
                  <c:v>180.4</c:v>
                </c:pt>
                <c:pt idx="4915">
                  <c:v>181.6</c:v>
                </c:pt>
                <c:pt idx="4916">
                  <c:v>180.4</c:v>
                </c:pt>
                <c:pt idx="4917">
                  <c:v>181.8</c:v>
                </c:pt>
                <c:pt idx="4919">
                  <c:v>152.80000000000001</c:v>
                </c:pt>
                <c:pt idx="4920">
                  <c:v>151.30000000000001</c:v>
                </c:pt>
                <c:pt idx="4921">
                  <c:v>151.80000000000001</c:v>
                </c:pt>
                <c:pt idx="4922">
                  <c:v>153.4</c:v>
                </c:pt>
                <c:pt idx="4923">
                  <c:v>152.69999999999999</c:v>
                </c:pt>
                <c:pt idx="4924">
                  <c:v>154.6</c:v>
                </c:pt>
                <c:pt idx="4925">
                  <c:v>154.9</c:v>
                </c:pt>
                <c:pt idx="4926">
                  <c:v>156.80000000000001</c:v>
                </c:pt>
                <c:pt idx="4927">
                  <c:v>156.1</c:v>
                </c:pt>
                <c:pt idx="4928">
                  <c:v>157.19999999999999</c:v>
                </c:pt>
                <c:pt idx="4929">
                  <c:v>158.30000000000001</c:v>
                </c:pt>
                <c:pt idx="4930">
                  <c:v>156.69999999999999</c:v>
                </c:pt>
                <c:pt idx="4931">
                  <c:v>157.80000000000001</c:v>
                </c:pt>
                <c:pt idx="4932">
                  <c:v>159.9</c:v>
                </c:pt>
                <c:pt idx="4933">
                  <c:v>159.19999999999999</c:v>
                </c:pt>
                <c:pt idx="4934">
                  <c:v>162</c:v>
                </c:pt>
                <c:pt idx="4935">
                  <c:v>164.4</c:v>
                </c:pt>
                <c:pt idx="4936">
                  <c:v>163.30000000000001</c:v>
                </c:pt>
                <c:pt idx="4937">
                  <c:v>166.3</c:v>
                </c:pt>
                <c:pt idx="4938">
                  <c:v>166.2</c:v>
                </c:pt>
                <c:pt idx="4939">
                  <c:v>169.9</c:v>
                </c:pt>
                <c:pt idx="4940">
                  <c:v>168.8</c:v>
                </c:pt>
                <c:pt idx="4941">
                  <c:v>170</c:v>
                </c:pt>
                <c:pt idx="4942">
                  <c:v>167.4</c:v>
                </c:pt>
                <c:pt idx="4943">
                  <c:v>171.2</c:v>
                </c:pt>
                <c:pt idx="4944">
                  <c:v>170</c:v>
                </c:pt>
                <c:pt idx="4945">
                  <c:v>167</c:v>
                </c:pt>
                <c:pt idx="4946">
                  <c:v>162.6</c:v>
                </c:pt>
                <c:pt idx="4947">
                  <c:v>160.80000000000001</c:v>
                </c:pt>
                <c:pt idx="4948">
                  <c:v>158</c:v>
                </c:pt>
                <c:pt idx="4949">
                  <c:v>157.6</c:v>
                </c:pt>
                <c:pt idx="4950">
                  <c:v>156.4</c:v>
                </c:pt>
                <c:pt idx="4951">
                  <c:v>157.9</c:v>
                </c:pt>
                <c:pt idx="4952">
                  <c:v>155.19999999999999</c:v>
                </c:pt>
                <c:pt idx="4953">
                  <c:v>153.9</c:v>
                </c:pt>
                <c:pt idx="4954">
                  <c:v>155.19999999999999</c:v>
                </c:pt>
                <c:pt idx="4955">
                  <c:v>154.69999999999999</c:v>
                </c:pt>
                <c:pt idx="4956">
                  <c:v>151.4</c:v>
                </c:pt>
                <c:pt idx="4957">
                  <c:v>151.1</c:v>
                </c:pt>
                <c:pt idx="4958">
                  <c:v>149.30000000000001</c:v>
                </c:pt>
                <c:pt idx="4959">
                  <c:v>150.6</c:v>
                </c:pt>
                <c:pt idx="4960">
                  <c:v>148.6</c:v>
                </c:pt>
                <c:pt idx="4961">
                  <c:v>149.9</c:v>
                </c:pt>
                <c:pt idx="4962">
                  <c:v>151.30000000000001</c:v>
                </c:pt>
                <c:pt idx="4963">
                  <c:v>153.80000000000001</c:v>
                </c:pt>
                <c:pt idx="4964">
                  <c:v>153.9</c:v>
                </c:pt>
                <c:pt idx="4965">
                  <c:v>151.6</c:v>
                </c:pt>
                <c:pt idx="4966">
                  <c:v>156.6</c:v>
                </c:pt>
                <c:pt idx="4967">
                  <c:v>155.9</c:v>
                </c:pt>
                <c:pt idx="4968">
                  <c:v>153.4</c:v>
                </c:pt>
                <c:pt idx="4969">
                  <c:v>153.1</c:v>
                </c:pt>
                <c:pt idx="4970">
                  <c:v>151.5</c:v>
                </c:pt>
                <c:pt idx="4971">
                  <c:v>152.69999999999999</c:v>
                </c:pt>
                <c:pt idx="4972">
                  <c:v>151.5</c:v>
                </c:pt>
                <c:pt idx="4973">
                  <c:v>150.19999999999999</c:v>
                </c:pt>
                <c:pt idx="4974">
                  <c:v>148.80000000000001</c:v>
                </c:pt>
                <c:pt idx="4975">
                  <c:v>150</c:v>
                </c:pt>
                <c:pt idx="4976">
                  <c:v>148.4</c:v>
                </c:pt>
                <c:pt idx="4977">
                  <c:v>148</c:v>
                </c:pt>
                <c:pt idx="4978">
                  <c:v>145.4</c:v>
                </c:pt>
                <c:pt idx="4979">
                  <c:v>143.9</c:v>
                </c:pt>
                <c:pt idx="4980">
                  <c:v>144.19999999999999</c:v>
                </c:pt>
                <c:pt idx="4981">
                  <c:v>145.5</c:v>
                </c:pt>
                <c:pt idx="4982">
                  <c:v>143.80000000000001</c:v>
                </c:pt>
                <c:pt idx="4983">
                  <c:v>145.19999999999999</c:v>
                </c:pt>
                <c:pt idx="4984">
                  <c:v>146.4</c:v>
                </c:pt>
                <c:pt idx="4985">
                  <c:v>146.9</c:v>
                </c:pt>
                <c:pt idx="4986">
                  <c:v>150.6</c:v>
                </c:pt>
                <c:pt idx="4987">
                  <c:v>152.80000000000001</c:v>
                </c:pt>
                <c:pt idx="4989">
                  <c:v>178.1</c:v>
                </c:pt>
                <c:pt idx="4990">
                  <c:v>181.3</c:v>
                </c:pt>
                <c:pt idx="4991">
                  <c:v>178.9</c:v>
                </c:pt>
                <c:pt idx="4992">
                  <c:v>179</c:v>
                </c:pt>
                <c:pt idx="4993">
                  <c:v>177</c:v>
                </c:pt>
                <c:pt idx="4994">
                  <c:v>174.6</c:v>
                </c:pt>
                <c:pt idx="4995">
                  <c:v>173.8</c:v>
                </c:pt>
                <c:pt idx="4996">
                  <c:v>174.9</c:v>
                </c:pt>
                <c:pt idx="4997">
                  <c:v>172.7</c:v>
                </c:pt>
                <c:pt idx="4998">
                  <c:v>171.5</c:v>
                </c:pt>
                <c:pt idx="4999">
                  <c:v>169.9</c:v>
                </c:pt>
                <c:pt idx="5000">
                  <c:v>166.2</c:v>
                </c:pt>
                <c:pt idx="5001">
                  <c:v>166.3</c:v>
                </c:pt>
                <c:pt idx="5002">
                  <c:v>163.1</c:v>
                </c:pt>
                <c:pt idx="5003">
                  <c:v>164.4</c:v>
                </c:pt>
                <c:pt idx="5004">
                  <c:v>160.6</c:v>
                </c:pt>
                <c:pt idx="5005">
                  <c:v>163.19999999999999</c:v>
                </c:pt>
                <c:pt idx="5006">
                  <c:v>159.4</c:v>
                </c:pt>
                <c:pt idx="5007">
                  <c:v>155</c:v>
                </c:pt>
                <c:pt idx="5008">
                  <c:v>158.19999999999999</c:v>
                </c:pt>
                <c:pt idx="5009">
                  <c:v>160.6</c:v>
                </c:pt>
                <c:pt idx="5010">
                  <c:v>164.3</c:v>
                </c:pt>
                <c:pt idx="5011">
                  <c:v>166.3</c:v>
                </c:pt>
                <c:pt idx="5012">
                  <c:v>171.6</c:v>
                </c:pt>
                <c:pt idx="5013">
                  <c:v>173.3</c:v>
                </c:pt>
                <c:pt idx="5014">
                  <c:v>175</c:v>
                </c:pt>
                <c:pt idx="5015">
                  <c:v>178.1</c:v>
                </c:pt>
                <c:pt idx="5017">
                  <c:v>135.19999999999999</c:v>
                </c:pt>
                <c:pt idx="5018">
                  <c:v>136</c:v>
                </c:pt>
                <c:pt idx="5019">
                  <c:v>135</c:v>
                </c:pt>
                <c:pt idx="5020">
                  <c:v>134</c:v>
                </c:pt>
                <c:pt idx="5021">
                  <c:v>135.19999999999999</c:v>
                </c:pt>
                <c:pt idx="5023">
                  <c:v>124.5</c:v>
                </c:pt>
                <c:pt idx="5024">
                  <c:v>126.1</c:v>
                </c:pt>
                <c:pt idx="5025">
                  <c:v>123.7</c:v>
                </c:pt>
                <c:pt idx="5026">
                  <c:v>123.2</c:v>
                </c:pt>
                <c:pt idx="5027">
                  <c:v>124.5</c:v>
                </c:pt>
                <c:pt idx="5028">
                  <c:v>122.1</c:v>
                </c:pt>
                <c:pt idx="5029">
                  <c:v>124.5</c:v>
                </c:pt>
                <c:pt idx="5031">
                  <c:v>159.19999999999999</c:v>
                </c:pt>
                <c:pt idx="5032">
                  <c:v>164.5</c:v>
                </c:pt>
                <c:pt idx="5033">
                  <c:v>165.6</c:v>
                </c:pt>
                <c:pt idx="5034">
                  <c:v>164.3</c:v>
                </c:pt>
                <c:pt idx="5035">
                  <c:v>166</c:v>
                </c:pt>
                <c:pt idx="5036">
                  <c:v>165.7</c:v>
                </c:pt>
                <c:pt idx="5037">
                  <c:v>167.4</c:v>
                </c:pt>
                <c:pt idx="5038">
                  <c:v>167.5</c:v>
                </c:pt>
                <c:pt idx="5039">
                  <c:v>169.1</c:v>
                </c:pt>
                <c:pt idx="5040">
                  <c:v>170.7</c:v>
                </c:pt>
                <c:pt idx="5041">
                  <c:v>173.7</c:v>
                </c:pt>
                <c:pt idx="5042">
                  <c:v>173.6</c:v>
                </c:pt>
                <c:pt idx="5043">
                  <c:v>175.4</c:v>
                </c:pt>
                <c:pt idx="5044">
                  <c:v>178.9</c:v>
                </c:pt>
                <c:pt idx="5045">
                  <c:v>176</c:v>
                </c:pt>
                <c:pt idx="5046">
                  <c:v>176.3</c:v>
                </c:pt>
                <c:pt idx="5047">
                  <c:v>173.7</c:v>
                </c:pt>
                <c:pt idx="5048">
                  <c:v>173.3</c:v>
                </c:pt>
                <c:pt idx="5049">
                  <c:v>169.1</c:v>
                </c:pt>
                <c:pt idx="5050">
                  <c:v>164.3</c:v>
                </c:pt>
                <c:pt idx="5051">
                  <c:v>160.6</c:v>
                </c:pt>
                <c:pt idx="5052">
                  <c:v>158.19999999999999</c:v>
                </c:pt>
                <c:pt idx="5053">
                  <c:v>154.9</c:v>
                </c:pt>
                <c:pt idx="5054">
                  <c:v>153.5</c:v>
                </c:pt>
                <c:pt idx="5055">
                  <c:v>155.1</c:v>
                </c:pt>
                <c:pt idx="5056">
                  <c:v>155.5</c:v>
                </c:pt>
                <c:pt idx="5057">
                  <c:v>152.1</c:v>
                </c:pt>
                <c:pt idx="5058">
                  <c:v>152.4</c:v>
                </c:pt>
                <c:pt idx="5059">
                  <c:v>150.6</c:v>
                </c:pt>
                <c:pt idx="5060">
                  <c:v>148.5</c:v>
                </c:pt>
                <c:pt idx="5061">
                  <c:v>149.5</c:v>
                </c:pt>
                <c:pt idx="5062">
                  <c:v>151.19999999999999</c:v>
                </c:pt>
                <c:pt idx="5063">
                  <c:v>150.69999999999999</c:v>
                </c:pt>
                <c:pt idx="5064">
                  <c:v>152.9</c:v>
                </c:pt>
                <c:pt idx="5065">
                  <c:v>151.6</c:v>
                </c:pt>
                <c:pt idx="5066">
                  <c:v>151.30000000000001</c:v>
                </c:pt>
                <c:pt idx="5067">
                  <c:v>155</c:v>
                </c:pt>
                <c:pt idx="5068">
                  <c:v>157.30000000000001</c:v>
                </c:pt>
                <c:pt idx="5069">
                  <c:v>161.69999999999999</c:v>
                </c:pt>
                <c:pt idx="5070">
                  <c:v>157.69999999999999</c:v>
                </c:pt>
                <c:pt idx="5071">
                  <c:v>159.19999999999999</c:v>
                </c:pt>
                <c:pt idx="5072">
                  <c:v>158.4</c:v>
                </c:pt>
                <c:pt idx="5073">
                  <c:v>159.19999999999999</c:v>
                </c:pt>
                <c:pt idx="5075">
                  <c:v>194.6</c:v>
                </c:pt>
                <c:pt idx="5076">
                  <c:v>196.3</c:v>
                </c:pt>
                <c:pt idx="5077">
                  <c:v>196</c:v>
                </c:pt>
                <c:pt idx="5078">
                  <c:v>198.6</c:v>
                </c:pt>
                <c:pt idx="5079">
                  <c:v>201.7</c:v>
                </c:pt>
                <c:pt idx="5080">
                  <c:v>201.4</c:v>
                </c:pt>
                <c:pt idx="5081">
                  <c:v>203.5</c:v>
                </c:pt>
                <c:pt idx="5082">
                  <c:v>203.3</c:v>
                </c:pt>
                <c:pt idx="5083">
                  <c:v>202.6</c:v>
                </c:pt>
                <c:pt idx="5084">
                  <c:v>199.9</c:v>
                </c:pt>
                <c:pt idx="5085">
                  <c:v>199.1</c:v>
                </c:pt>
                <c:pt idx="5086">
                  <c:v>200.2</c:v>
                </c:pt>
                <c:pt idx="5087">
                  <c:v>197.9</c:v>
                </c:pt>
                <c:pt idx="5088">
                  <c:v>197.2</c:v>
                </c:pt>
                <c:pt idx="5089">
                  <c:v>199.5</c:v>
                </c:pt>
                <c:pt idx="5090">
                  <c:v>193</c:v>
                </c:pt>
                <c:pt idx="5091">
                  <c:v>188.6</c:v>
                </c:pt>
                <c:pt idx="5092">
                  <c:v>188.8</c:v>
                </c:pt>
                <c:pt idx="5093">
                  <c:v>187</c:v>
                </c:pt>
                <c:pt idx="5094">
                  <c:v>185.3</c:v>
                </c:pt>
                <c:pt idx="5095">
                  <c:v>182.6</c:v>
                </c:pt>
                <c:pt idx="5096">
                  <c:v>181.7</c:v>
                </c:pt>
                <c:pt idx="5097">
                  <c:v>179.6</c:v>
                </c:pt>
                <c:pt idx="5098">
                  <c:v>173.6</c:v>
                </c:pt>
                <c:pt idx="5099">
                  <c:v>173.7</c:v>
                </c:pt>
                <c:pt idx="5100">
                  <c:v>175.9</c:v>
                </c:pt>
                <c:pt idx="5101">
                  <c:v>176</c:v>
                </c:pt>
                <c:pt idx="5102">
                  <c:v>178.5</c:v>
                </c:pt>
                <c:pt idx="5103">
                  <c:v>180.8</c:v>
                </c:pt>
                <c:pt idx="5104">
                  <c:v>182.5</c:v>
                </c:pt>
                <c:pt idx="5105">
                  <c:v>186.5</c:v>
                </c:pt>
                <c:pt idx="5106">
                  <c:v>185.7</c:v>
                </c:pt>
                <c:pt idx="5107">
                  <c:v>188.5</c:v>
                </c:pt>
                <c:pt idx="5108">
                  <c:v>187.3</c:v>
                </c:pt>
                <c:pt idx="5109">
                  <c:v>189.4</c:v>
                </c:pt>
                <c:pt idx="5110">
                  <c:v>193.7</c:v>
                </c:pt>
                <c:pt idx="5111">
                  <c:v>194.6</c:v>
                </c:pt>
                <c:pt idx="5113">
                  <c:v>203.4</c:v>
                </c:pt>
                <c:pt idx="5114">
                  <c:v>204.3</c:v>
                </c:pt>
                <c:pt idx="5115">
                  <c:v>202.4</c:v>
                </c:pt>
                <c:pt idx="5116">
                  <c:v>203.4</c:v>
                </c:pt>
                <c:pt idx="5118">
                  <c:v>170.7</c:v>
                </c:pt>
                <c:pt idx="5119">
                  <c:v>172.6</c:v>
                </c:pt>
                <c:pt idx="5120">
                  <c:v>176.8</c:v>
                </c:pt>
                <c:pt idx="5121">
                  <c:v>176.6</c:v>
                </c:pt>
                <c:pt idx="5122">
                  <c:v>175.3</c:v>
                </c:pt>
                <c:pt idx="5123">
                  <c:v>175.2</c:v>
                </c:pt>
                <c:pt idx="5124">
                  <c:v>174.1</c:v>
                </c:pt>
                <c:pt idx="5125">
                  <c:v>171.8</c:v>
                </c:pt>
                <c:pt idx="5126">
                  <c:v>167.3</c:v>
                </c:pt>
                <c:pt idx="5127">
                  <c:v>166.6</c:v>
                </c:pt>
                <c:pt idx="5128">
                  <c:v>170.7</c:v>
                </c:pt>
                <c:pt idx="5130">
                  <c:v>179.8</c:v>
                </c:pt>
                <c:pt idx="5131">
                  <c:v>182.4</c:v>
                </c:pt>
                <c:pt idx="5132">
                  <c:v>179.9</c:v>
                </c:pt>
                <c:pt idx="5133">
                  <c:v>182.3</c:v>
                </c:pt>
                <c:pt idx="5134">
                  <c:v>180.2</c:v>
                </c:pt>
                <c:pt idx="5135">
                  <c:v>177.4</c:v>
                </c:pt>
                <c:pt idx="5136">
                  <c:v>179.6</c:v>
                </c:pt>
                <c:pt idx="5137">
                  <c:v>177.9</c:v>
                </c:pt>
                <c:pt idx="5138">
                  <c:v>179.8</c:v>
                </c:pt>
                <c:pt idx="5140">
                  <c:v>189.8</c:v>
                </c:pt>
                <c:pt idx="5141">
                  <c:v>189.1</c:v>
                </c:pt>
                <c:pt idx="5142">
                  <c:v>188.1</c:v>
                </c:pt>
                <c:pt idx="5143">
                  <c:v>189.3</c:v>
                </c:pt>
                <c:pt idx="5144">
                  <c:v>189.8</c:v>
                </c:pt>
                <c:pt idx="5146">
                  <c:v>200.4</c:v>
                </c:pt>
                <c:pt idx="5147">
                  <c:v>202.2</c:v>
                </c:pt>
                <c:pt idx="5148">
                  <c:v>202</c:v>
                </c:pt>
                <c:pt idx="5149">
                  <c:v>203.7</c:v>
                </c:pt>
                <c:pt idx="5150">
                  <c:v>202.8</c:v>
                </c:pt>
                <c:pt idx="5151">
                  <c:v>199.6</c:v>
                </c:pt>
                <c:pt idx="5152">
                  <c:v>198.2</c:v>
                </c:pt>
                <c:pt idx="5153">
                  <c:v>197.4</c:v>
                </c:pt>
                <c:pt idx="5154">
                  <c:v>197.5</c:v>
                </c:pt>
                <c:pt idx="5155">
                  <c:v>200.4</c:v>
                </c:pt>
                <c:pt idx="5157">
                  <c:v>172.2</c:v>
                </c:pt>
                <c:pt idx="5158">
                  <c:v>177.1</c:v>
                </c:pt>
                <c:pt idx="5159">
                  <c:v>175.2</c:v>
                </c:pt>
                <c:pt idx="5160">
                  <c:v>176.2</c:v>
                </c:pt>
                <c:pt idx="5161">
                  <c:v>173.8</c:v>
                </c:pt>
                <c:pt idx="5162">
                  <c:v>173.9</c:v>
                </c:pt>
                <c:pt idx="5163">
                  <c:v>170.5</c:v>
                </c:pt>
                <c:pt idx="5164">
                  <c:v>172.1</c:v>
                </c:pt>
                <c:pt idx="5165">
                  <c:v>170.9</c:v>
                </c:pt>
                <c:pt idx="5166">
                  <c:v>172.2</c:v>
                </c:pt>
                <c:pt idx="5168">
                  <c:v>176.5</c:v>
                </c:pt>
                <c:pt idx="5169">
                  <c:v>177.2</c:v>
                </c:pt>
                <c:pt idx="5170">
                  <c:v>174.5</c:v>
                </c:pt>
                <c:pt idx="5171">
                  <c:v>176.5</c:v>
                </c:pt>
                <c:pt idx="5173">
                  <c:v>209.3</c:v>
                </c:pt>
                <c:pt idx="5174">
                  <c:v>211.4</c:v>
                </c:pt>
                <c:pt idx="5175">
                  <c:v>207.6</c:v>
                </c:pt>
                <c:pt idx="5176">
                  <c:v>206.3</c:v>
                </c:pt>
                <c:pt idx="5177">
                  <c:v>209.3</c:v>
                </c:pt>
                <c:pt idx="5179">
                  <c:v>195.9</c:v>
                </c:pt>
                <c:pt idx="5180">
                  <c:v>195.1</c:v>
                </c:pt>
                <c:pt idx="5181">
                  <c:v>192</c:v>
                </c:pt>
                <c:pt idx="5182">
                  <c:v>188.3</c:v>
                </c:pt>
                <c:pt idx="5183">
                  <c:v>190.6</c:v>
                </c:pt>
                <c:pt idx="5184">
                  <c:v>191.4</c:v>
                </c:pt>
                <c:pt idx="5185">
                  <c:v>193.9</c:v>
                </c:pt>
                <c:pt idx="5186">
                  <c:v>195.5</c:v>
                </c:pt>
                <c:pt idx="5187">
                  <c:v>199.6</c:v>
                </c:pt>
                <c:pt idx="5188">
                  <c:v>200.9</c:v>
                </c:pt>
                <c:pt idx="5189">
                  <c:v>199.7</c:v>
                </c:pt>
                <c:pt idx="5190">
                  <c:v>198.3</c:v>
                </c:pt>
                <c:pt idx="5191">
                  <c:v>196.2</c:v>
                </c:pt>
                <c:pt idx="5192">
                  <c:v>195.9</c:v>
                </c:pt>
                <c:pt idx="5194">
                  <c:v>212.6</c:v>
                </c:pt>
                <c:pt idx="5195">
                  <c:v>208.8</c:v>
                </c:pt>
                <c:pt idx="5196">
                  <c:v>210.6</c:v>
                </c:pt>
                <c:pt idx="5197">
                  <c:v>212.6</c:v>
                </c:pt>
                <c:pt idx="5198">
                  <c:v>213.9</c:v>
                </c:pt>
                <c:pt idx="5199">
                  <c:v>216.7</c:v>
                </c:pt>
                <c:pt idx="5200">
                  <c:v>218.8</c:v>
                </c:pt>
                <c:pt idx="5201">
                  <c:v>215.9</c:v>
                </c:pt>
                <c:pt idx="5202">
                  <c:v>216.8</c:v>
                </c:pt>
                <c:pt idx="5203">
                  <c:v>215</c:v>
                </c:pt>
                <c:pt idx="5204">
                  <c:v>213.7</c:v>
                </c:pt>
                <c:pt idx="5205">
                  <c:v>213.2</c:v>
                </c:pt>
                <c:pt idx="5206">
                  <c:v>214.7</c:v>
                </c:pt>
                <c:pt idx="5207">
                  <c:v>212.6</c:v>
                </c:pt>
                <c:pt idx="5209">
                  <c:v>218.2</c:v>
                </c:pt>
                <c:pt idx="5210">
                  <c:v>218</c:v>
                </c:pt>
                <c:pt idx="5211">
                  <c:v>216</c:v>
                </c:pt>
                <c:pt idx="5212">
                  <c:v>218.2</c:v>
                </c:pt>
                <c:pt idx="5214">
                  <c:v>183.3</c:v>
                </c:pt>
                <c:pt idx="5215">
                  <c:v>186.3</c:v>
                </c:pt>
                <c:pt idx="5216">
                  <c:v>186.9</c:v>
                </c:pt>
                <c:pt idx="5217">
                  <c:v>188.5</c:v>
                </c:pt>
                <c:pt idx="5218">
                  <c:v>189.7</c:v>
                </c:pt>
                <c:pt idx="5219">
                  <c:v>189.1</c:v>
                </c:pt>
                <c:pt idx="5220">
                  <c:v>190.6</c:v>
                </c:pt>
                <c:pt idx="5221">
                  <c:v>186.8</c:v>
                </c:pt>
                <c:pt idx="5222">
                  <c:v>187.1</c:v>
                </c:pt>
                <c:pt idx="5223">
                  <c:v>183.3</c:v>
                </c:pt>
                <c:pt idx="5224">
                  <c:v>181.1</c:v>
                </c:pt>
                <c:pt idx="5225">
                  <c:v>179</c:v>
                </c:pt>
                <c:pt idx="5226">
                  <c:v>178.4</c:v>
                </c:pt>
                <c:pt idx="5227">
                  <c:v>181.2</c:v>
                </c:pt>
                <c:pt idx="5228">
                  <c:v>183.3</c:v>
                </c:pt>
                <c:pt idx="5230">
                  <c:v>205</c:v>
                </c:pt>
                <c:pt idx="5231">
                  <c:v>205.4</c:v>
                </c:pt>
                <c:pt idx="5232">
                  <c:v>203.8</c:v>
                </c:pt>
                <c:pt idx="5233">
                  <c:v>201.9</c:v>
                </c:pt>
                <c:pt idx="5234">
                  <c:v>198.1</c:v>
                </c:pt>
                <c:pt idx="5235">
                  <c:v>197.9</c:v>
                </c:pt>
                <c:pt idx="5236">
                  <c:v>203.9</c:v>
                </c:pt>
                <c:pt idx="5237">
                  <c:v>205</c:v>
                </c:pt>
                <c:pt idx="5238">
                  <c:v>205</c:v>
                </c:pt>
                <c:pt idx="5240">
                  <c:v>195.4</c:v>
                </c:pt>
                <c:pt idx="5241">
                  <c:v>196.3</c:v>
                </c:pt>
                <c:pt idx="5242">
                  <c:v>194.6</c:v>
                </c:pt>
                <c:pt idx="5243">
                  <c:v>196.9</c:v>
                </c:pt>
                <c:pt idx="5244">
                  <c:v>198.2</c:v>
                </c:pt>
                <c:pt idx="5245">
                  <c:v>191.9</c:v>
                </c:pt>
                <c:pt idx="5246">
                  <c:v>190.8</c:v>
                </c:pt>
                <c:pt idx="5247">
                  <c:v>189.7</c:v>
                </c:pt>
                <c:pt idx="5248">
                  <c:v>190.7</c:v>
                </c:pt>
                <c:pt idx="5249">
                  <c:v>188.1</c:v>
                </c:pt>
                <c:pt idx="5250">
                  <c:v>189.4</c:v>
                </c:pt>
                <c:pt idx="5251">
                  <c:v>191.5</c:v>
                </c:pt>
                <c:pt idx="5252">
                  <c:v>195.4</c:v>
                </c:pt>
                <c:pt idx="5254">
                  <c:v>213.8</c:v>
                </c:pt>
                <c:pt idx="5255">
                  <c:v>216.5</c:v>
                </c:pt>
                <c:pt idx="5256">
                  <c:v>215.4</c:v>
                </c:pt>
                <c:pt idx="5257">
                  <c:v>215.4</c:v>
                </c:pt>
                <c:pt idx="5258">
                  <c:v>214.1</c:v>
                </c:pt>
                <c:pt idx="5259">
                  <c:v>212</c:v>
                </c:pt>
                <c:pt idx="5260">
                  <c:v>213.8</c:v>
                </c:pt>
                <c:pt idx="5262">
                  <c:v>117.1</c:v>
                </c:pt>
                <c:pt idx="5263">
                  <c:v>118.6</c:v>
                </c:pt>
                <c:pt idx="5264">
                  <c:v>116.2</c:v>
                </c:pt>
                <c:pt idx="5265">
                  <c:v>117.1</c:v>
                </c:pt>
                <c:pt idx="5267">
                  <c:v>127.7</c:v>
                </c:pt>
                <c:pt idx="5268">
                  <c:v>127.6</c:v>
                </c:pt>
                <c:pt idx="5269">
                  <c:v>124.6</c:v>
                </c:pt>
                <c:pt idx="5270">
                  <c:v>126.8</c:v>
                </c:pt>
                <c:pt idx="5271">
                  <c:v>126.8</c:v>
                </c:pt>
                <c:pt idx="5272">
                  <c:v>127.7</c:v>
                </c:pt>
                <c:pt idx="5274">
                  <c:v>121.7</c:v>
                </c:pt>
                <c:pt idx="5275">
                  <c:v>121.9</c:v>
                </c:pt>
                <c:pt idx="5276">
                  <c:v>123.3</c:v>
                </c:pt>
                <c:pt idx="5277">
                  <c:v>122.8</c:v>
                </c:pt>
                <c:pt idx="5278">
                  <c:v>120.6</c:v>
                </c:pt>
                <c:pt idx="5279">
                  <c:v>121.7</c:v>
                </c:pt>
                <c:pt idx="5281">
                  <c:v>126.2</c:v>
                </c:pt>
                <c:pt idx="5282">
                  <c:v>127.2</c:v>
                </c:pt>
                <c:pt idx="5283">
                  <c:v>130.19999999999999</c:v>
                </c:pt>
                <c:pt idx="5284">
                  <c:v>130.80000000000001</c:v>
                </c:pt>
                <c:pt idx="5285">
                  <c:v>129.30000000000001</c:v>
                </c:pt>
                <c:pt idx="5286">
                  <c:v>128.4</c:v>
                </c:pt>
                <c:pt idx="5287">
                  <c:v>128.1</c:v>
                </c:pt>
                <c:pt idx="5288">
                  <c:v>127.3</c:v>
                </c:pt>
                <c:pt idx="5289">
                  <c:v>124.5</c:v>
                </c:pt>
                <c:pt idx="5290">
                  <c:v>124.6</c:v>
                </c:pt>
                <c:pt idx="5291">
                  <c:v>126.2</c:v>
                </c:pt>
                <c:pt idx="5293">
                  <c:v>124.8</c:v>
                </c:pt>
                <c:pt idx="5294">
                  <c:v>127.7</c:v>
                </c:pt>
                <c:pt idx="5295">
                  <c:v>125.7</c:v>
                </c:pt>
                <c:pt idx="5296">
                  <c:v>122.2</c:v>
                </c:pt>
                <c:pt idx="5297">
                  <c:v>122.2</c:v>
                </c:pt>
                <c:pt idx="5298">
                  <c:v>124.8</c:v>
                </c:pt>
                <c:pt idx="5300">
                  <c:v>127.6</c:v>
                </c:pt>
                <c:pt idx="5301">
                  <c:v>128.69999999999999</c:v>
                </c:pt>
                <c:pt idx="5302">
                  <c:v>125.7</c:v>
                </c:pt>
                <c:pt idx="5303">
                  <c:v>125.3</c:v>
                </c:pt>
                <c:pt idx="5304">
                  <c:v>127.6</c:v>
                </c:pt>
                <c:pt idx="5306">
                  <c:v>144.6</c:v>
                </c:pt>
                <c:pt idx="5307">
                  <c:v>149.1</c:v>
                </c:pt>
                <c:pt idx="5308">
                  <c:v>150</c:v>
                </c:pt>
                <c:pt idx="5309">
                  <c:v>152.19999999999999</c:v>
                </c:pt>
                <c:pt idx="5310">
                  <c:v>155.5</c:v>
                </c:pt>
                <c:pt idx="5311">
                  <c:v>156.19999999999999</c:v>
                </c:pt>
                <c:pt idx="5312">
                  <c:v>153.80000000000001</c:v>
                </c:pt>
                <c:pt idx="5313">
                  <c:v>155.1</c:v>
                </c:pt>
                <c:pt idx="5314">
                  <c:v>153.9</c:v>
                </c:pt>
                <c:pt idx="5315">
                  <c:v>154.5</c:v>
                </c:pt>
                <c:pt idx="5316">
                  <c:v>151.30000000000001</c:v>
                </c:pt>
                <c:pt idx="5317">
                  <c:v>150.5</c:v>
                </c:pt>
                <c:pt idx="5318">
                  <c:v>150</c:v>
                </c:pt>
                <c:pt idx="5319">
                  <c:v>149</c:v>
                </c:pt>
                <c:pt idx="5320">
                  <c:v>149.30000000000001</c:v>
                </c:pt>
                <c:pt idx="5321">
                  <c:v>148.1</c:v>
                </c:pt>
                <c:pt idx="5322">
                  <c:v>147.80000000000001</c:v>
                </c:pt>
                <c:pt idx="5323">
                  <c:v>149.6</c:v>
                </c:pt>
                <c:pt idx="5324">
                  <c:v>147.69999999999999</c:v>
                </c:pt>
                <c:pt idx="5325">
                  <c:v>148</c:v>
                </c:pt>
                <c:pt idx="5326">
                  <c:v>145.69999999999999</c:v>
                </c:pt>
                <c:pt idx="5327">
                  <c:v>145.9</c:v>
                </c:pt>
                <c:pt idx="5328">
                  <c:v>140.19999999999999</c:v>
                </c:pt>
                <c:pt idx="5329">
                  <c:v>141.19999999999999</c:v>
                </c:pt>
                <c:pt idx="5330">
                  <c:v>138.30000000000001</c:v>
                </c:pt>
                <c:pt idx="5331">
                  <c:v>138.4</c:v>
                </c:pt>
                <c:pt idx="5332">
                  <c:v>136.19999999999999</c:v>
                </c:pt>
                <c:pt idx="5333">
                  <c:v>136.6</c:v>
                </c:pt>
                <c:pt idx="5334">
                  <c:v>133.9</c:v>
                </c:pt>
                <c:pt idx="5335">
                  <c:v>135</c:v>
                </c:pt>
                <c:pt idx="5336">
                  <c:v>132.5</c:v>
                </c:pt>
                <c:pt idx="5337">
                  <c:v>130.30000000000001</c:v>
                </c:pt>
                <c:pt idx="5338">
                  <c:v>130.9</c:v>
                </c:pt>
                <c:pt idx="5339">
                  <c:v>133.69999999999999</c:v>
                </c:pt>
                <c:pt idx="5340">
                  <c:v>132.69999999999999</c:v>
                </c:pt>
                <c:pt idx="5341">
                  <c:v>137.6</c:v>
                </c:pt>
                <c:pt idx="5342">
                  <c:v>139.19999999999999</c:v>
                </c:pt>
                <c:pt idx="5343">
                  <c:v>139</c:v>
                </c:pt>
                <c:pt idx="5344">
                  <c:v>140.4</c:v>
                </c:pt>
                <c:pt idx="5345">
                  <c:v>139.9</c:v>
                </c:pt>
                <c:pt idx="5346">
                  <c:v>142</c:v>
                </c:pt>
                <c:pt idx="5347">
                  <c:v>141</c:v>
                </c:pt>
                <c:pt idx="5348">
                  <c:v>143.1</c:v>
                </c:pt>
                <c:pt idx="5349">
                  <c:v>144.5</c:v>
                </c:pt>
                <c:pt idx="5350">
                  <c:v>143.4</c:v>
                </c:pt>
                <c:pt idx="5351">
                  <c:v>144.6</c:v>
                </c:pt>
                <c:pt idx="5353">
                  <c:v>43.7</c:v>
                </c:pt>
                <c:pt idx="5354">
                  <c:v>45.8</c:v>
                </c:pt>
                <c:pt idx="5355">
                  <c:v>47.5</c:v>
                </c:pt>
                <c:pt idx="5356">
                  <c:v>45.6</c:v>
                </c:pt>
                <c:pt idx="5357">
                  <c:v>42.5</c:v>
                </c:pt>
                <c:pt idx="5358">
                  <c:v>43.7</c:v>
                </c:pt>
                <c:pt idx="5360">
                  <c:v>127.6</c:v>
                </c:pt>
                <c:pt idx="5361">
                  <c:v>132.19999999999999</c:v>
                </c:pt>
                <c:pt idx="5362">
                  <c:v>130.5</c:v>
                </c:pt>
                <c:pt idx="5363">
                  <c:v>131.19999999999999</c:v>
                </c:pt>
                <c:pt idx="5364">
                  <c:v>125.2</c:v>
                </c:pt>
                <c:pt idx="5365">
                  <c:v>125.1</c:v>
                </c:pt>
                <c:pt idx="5366">
                  <c:v>126.4</c:v>
                </c:pt>
                <c:pt idx="5367">
                  <c:v>127.8</c:v>
                </c:pt>
                <c:pt idx="5368">
                  <c:v>124.9</c:v>
                </c:pt>
                <c:pt idx="5369">
                  <c:v>125.2</c:v>
                </c:pt>
                <c:pt idx="5370">
                  <c:v>128.1</c:v>
                </c:pt>
                <c:pt idx="5371">
                  <c:v>130.1</c:v>
                </c:pt>
                <c:pt idx="5372">
                  <c:v>126.6</c:v>
                </c:pt>
                <c:pt idx="5373">
                  <c:v>127.6</c:v>
                </c:pt>
                <c:pt idx="5375">
                  <c:v>122</c:v>
                </c:pt>
                <c:pt idx="5376">
                  <c:v>123.3</c:v>
                </c:pt>
                <c:pt idx="5377">
                  <c:v>122.2</c:v>
                </c:pt>
                <c:pt idx="5378">
                  <c:v>122</c:v>
                </c:pt>
                <c:pt idx="5380">
                  <c:v>109.9</c:v>
                </c:pt>
                <c:pt idx="5381">
                  <c:v>110.3</c:v>
                </c:pt>
                <c:pt idx="5382">
                  <c:v>106</c:v>
                </c:pt>
                <c:pt idx="5383">
                  <c:v>107.5</c:v>
                </c:pt>
                <c:pt idx="5384">
                  <c:v>105.3</c:v>
                </c:pt>
                <c:pt idx="5385">
                  <c:v>106.9</c:v>
                </c:pt>
                <c:pt idx="5386">
                  <c:v>109.9</c:v>
                </c:pt>
                <c:pt idx="5388">
                  <c:v>124</c:v>
                </c:pt>
                <c:pt idx="5389">
                  <c:v>125.9</c:v>
                </c:pt>
                <c:pt idx="5390">
                  <c:v>125.4</c:v>
                </c:pt>
                <c:pt idx="5391">
                  <c:v>127.4</c:v>
                </c:pt>
                <c:pt idx="5392">
                  <c:v>127.4</c:v>
                </c:pt>
                <c:pt idx="5393">
                  <c:v>124.2</c:v>
                </c:pt>
                <c:pt idx="5394">
                  <c:v>124</c:v>
                </c:pt>
                <c:pt idx="5396">
                  <c:v>119.8</c:v>
                </c:pt>
                <c:pt idx="5397">
                  <c:v>120.5</c:v>
                </c:pt>
                <c:pt idx="5398">
                  <c:v>117.8</c:v>
                </c:pt>
                <c:pt idx="5399">
                  <c:v>119</c:v>
                </c:pt>
                <c:pt idx="5400">
                  <c:v>119.8</c:v>
                </c:pt>
                <c:pt idx="5402">
                  <c:v>136.5</c:v>
                </c:pt>
                <c:pt idx="5403">
                  <c:v>140.1</c:v>
                </c:pt>
                <c:pt idx="5404">
                  <c:v>133.19999999999999</c:v>
                </c:pt>
                <c:pt idx="5405">
                  <c:v>134.1</c:v>
                </c:pt>
                <c:pt idx="5406">
                  <c:v>132.1</c:v>
                </c:pt>
                <c:pt idx="5407">
                  <c:v>136.5</c:v>
                </c:pt>
                <c:pt idx="5409">
                  <c:v>69</c:v>
                </c:pt>
                <c:pt idx="5410">
                  <c:v>67.3</c:v>
                </c:pt>
                <c:pt idx="5411">
                  <c:v>66.599999999999994</c:v>
                </c:pt>
                <c:pt idx="5412">
                  <c:v>69</c:v>
                </c:pt>
                <c:pt idx="5414">
                  <c:v>139.6</c:v>
                </c:pt>
                <c:pt idx="5415">
                  <c:v>139.1</c:v>
                </c:pt>
                <c:pt idx="5416">
                  <c:v>136.9</c:v>
                </c:pt>
                <c:pt idx="5417">
                  <c:v>139.6</c:v>
                </c:pt>
                <c:pt idx="5419">
                  <c:v>72.2</c:v>
                </c:pt>
                <c:pt idx="5420">
                  <c:v>72.599999999999994</c:v>
                </c:pt>
                <c:pt idx="5421">
                  <c:v>74.7</c:v>
                </c:pt>
                <c:pt idx="5422">
                  <c:v>75.599999999999994</c:v>
                </c:pt>
                <c:pt idx="5423">
                  <c:v>72</c:v>
                </c:pt>
                <c:pt idx="5424">
                  <c:v>72.400000000000006</c:v>
                </c:pt>
                <c:pt idx="5425">
                  <c:v>70.099999999999994</c:v>
                </c:pt>
                <c:pt idx="5426">
                  <c:v>68.8</c:v>
                </c:pt>
                <c:pt idx="5427">
                  <c:v>71.099999999999994</c:v>
                </c:pt>
                <c:pt idx="5428">
                  <c:v>72.2</c:v>
                </c:pt>
                <c:pt idx="5430">
                  <c:v>53.4</c:v>
                </c:pt>
                <c:pt idx="5431">
                  <c:v>51</c:v>
                </c:pt>
                <c:pt idx="5432">
                  <c:v>50.6</c:v>
                </c:pt>
                <c:pt idx="5433">
                  <c:v>53.4</c:v>
                </c:pt>
                <c:pt idx="5435">
                  <c:v>119.9</c:v>
                </c:pt>
                <c:pt idx="5436">
                  <c:v>123.7</c:v>
                </c:pt>
                <c:pt idx="5437">
                  <c:v>119.5</c:v>
                </c:pt>
                <c:pt idx="5438">
                  <c:v>118.5</c:v>
                </c:pt>
                <c:pt idx="5439">
                  <c:v>115.6</c:v>
                </c:pt>
                <c:pt idx="5440">
                  <c:v>115</c:v>
                </c:pt>
                <c:pt idx="5441">
                  <c:v>115.1</c:v>
                </c:pt>
                <c:pt idx="5442">
                  <c:v>117.8</c:v>
                </c:pt>
                <c:pt idx="5443">
                  <c:v>119.1</c:v>
                </c:pt>
                <c:pt idx="5444">
                  <c:v>119.9</c:v>
                </c:pt>
                <c:pt idx="5446">
                  <c:v>75.2</c:v>
                </c:pt>
                <c:pt idx="5447">
                  <c:v>76.7</c:v>
                </c:pt>
                <c:pt idx="5448">
                  <c:v>75.599999999999994</c:v>
                </c:pt>
                <c:pt idx="5449">
                  <c:v>74.400000000000006</c:v>
                </c:pt>
                <c:pt idx="5450">
                  <c:v>75.2</c:v>
                </c:pt>
                <c:pt idx="5452">
                  <c:v>124.2</c:v>
                </c:pt>
                <c:pt idx="5453">
                  <c:v>125</c:v>
                </c:pt>
                <c:pt idx="5454">
                  <c:v>123.5</c:v>
                </c:pt>
                <c:pt idx="5455">
                  <c:v>124.2</c:v>
                </c:pt>
                <c:pt idx="5457">
                  <c:v>135.19999999999999</c:v>
                </c:pt>
                <c:pt idx="5458">
                  <c:v>134.5</c:v>
                </c:pt>
                <c:pt idx="5459">
                  <c:v>129</c:v>
                </c:pt>
                <c:pt idx="5460">
                  <c:v>129.69999999999999</c:v>
                </c:pt>
                <c:pt idx="5461">
                  <c:v>128.19999999999999</c:v>
                </c:pt>
                <c:pt idx="5462">
                  <c:v>133.4</c:v>
                </c:pt>
                <c:pt idx="5463">
                  <c:v>135.1</c:v>
                </c:pt>
                <c:pt idx="5464">
                  <c:v>137.69999999999999</c:v>
                </c:pt>
                <c:pt idx="5465">
                  <c:v>138.1</c:v>
                </c:pt>
                <c:pt idx="5466">
                  <c:v>135.19999999999999</c:v>
                </c:pt>
                <c:pt idx="5468">
                  <c:v>121.9</c:v>
                </c:pt>
                <c:pt idx="5469">
                  <c:v>122.5</c:v>
                </c:pt>
                <c:pt idx="5470">
                  <c:v>121.2</c:v>
                </c:pt>
                <c:pt idx="5471">
                  <c:v>122.4</c:v>
                </c:pt>
                <c:pt idx="5472">
                  <c:v>119.1</c:v>
                </c:pt>
                <c:pt idx="5473">
                  <c:v>118.5</c:v>
                </c:pt>
                <c:pt idx="5474">
                  <c:v>118.7</c:v>
                </c:pt>
                <c:pt idx="5475">
                  <c:v>116.4</c:v>
                </c:pt>
                <c:pt idx="5476">
                  <c:v>118.1</c:v>
                </c:pt>
                <c:pt idx="5477">
                  <c:v>116.9</c:v>
                </c:pt>
                <c:pt idx="5478">
                  <c:v>113.1</c:v>
                </c:pt>
                <c:pt idx="5479">
                  <c:v>113.8</c:v>
                </c:pt>
                <c:pt idx="5480">
                  <c:v>117</c:v>
                </c:pt>
                <c:pt idx="5481">
                  <c:v>121.9</c:v>
                </c:pt>
                <c:pt idx="5483">
                  <c:v>136.4</c:v>
                </c:pt>
                <c:pt idx="5484">
                  <c:v>135.80000000000001</c:v>
                </c:pt>
                <c:pt idx="5485">
                  <c:v>137.80000000000001</c:v>
                </c:pt>
                <c:pt idx="5486">
                  <c:v>136.4</c:v>
                </c:pt>
                <c:pt idx="5487">
                  <c:v>136.9</c:v>
                </c:pt>
                <c:pt idx="5488">
                  <c:v>134.80000000000001</c:v>
                </c:pt>
                <c:pt idx="5489">
                  <c:v>133.6</c:v>
                </c:pt>
                <c:pt idx="5490">
                  <c:v>129.69999999999999</c:v>
                </c:pt>
                <c:pt idx="5491">
                  <c:v>135.4</c:v>
                </c:pt>
                <c:pt idx="5492">
                  <c:v>136.4</c:v>
                </c:pt>
                <c:pt idx="5494">
                  <c:v>132.6</c:v>
                </c:pt>
                <c:pt idx="5495">
                  <c:v>136</c:v>
                </c:pt>
                <c:pt idx="5496">
                  <c:v>136.19999999999999</c:v>
                </c:pt>
                <c:pt idx="5497">
                  <c:v>134.1</c:v>
                </c:pt>
                <c:pt idx="5498">
                  <c:v>135.69999999999999</c:v>
                </c:pt>
                <c:pt idx="5499">
                  <c:v>134.9</c:v>
                </c:pt>
                <c:pt idx="5500">
                  <c:v>133</c:v>
                </c:pt>
                <c:pt idx="5501">
                  <c:v>132.9</c:v>
                </c:pt>
                <c:pt idx="5502">
                  <c:v>130.69999999999999</c:v>
                </c:pt>
                <c:pt idx="5503">
                  <c:v>130.30000000000001</c:v>
                </c:pt>
                <c:pt idx="5504">
                  <c:v>128.69999999999999</c:v>
                </c:pt>
                <c:pt idx="5505">
                  <c:v>129.1</c:v>
                </c:pt>
                <c:pt idx="5506">
                  <c:v>126.3</c:v>
                </c:pt>
                <c:pt idx="5507">
                  <c:v>129.5</c:v>
                </c:pt>
                <c:pt idx="5508">
                  <c:v>127.7</c:v>
                </c:pt>
                <c:pt idx="5509">
                  <c:v>129.69999999999999</c:v>
                </c:pt>
                <c:pt idx="5510">
                  <c:v>132.6</c:v>
                </c:pt>
                <c:pt idx="5511">
                  <c:v>132.6</c:v>
                </c:pt>
                <c:pt idx="5513">
                  <c:v>148.30000000000001</c:v>
                </c:pt>
                <c:pt idx="5514">
                  <c:v>146.69999999999999</c:v>
                </c:pt>
                <c:pt idx="5515">
                  <c:v>145.5</c:v>
                </c:pt>
                <c:pt idx="5516">
                  <c:v>142.30000000000001</c:v>
                </c:pt>
                <c:pt idx="5517">
                  <c:v>142.9</c:v>
                </c:pt>
                <c:pt idx="5518">
                  <c:v>145.19999999999999</c:v>
                </c:pt>
                <c:pt idx="5519">
                  <c:v>146.1</c:v>
                </c:pt>
                <c:pt idx="5520">
                  <c:v>146.9</c:v>
                </c:pt>
                <c:pt idx="5521">
                  <c:v>147.1</c:v>
                </c:pt>
                <c:pt idx="5522">
                  <c:v>149</c:v>
                </c:pt>
                <c:pt idx="5523">
                  <c:v>147</c:v>
                </c:pt>
                <c:pt idx="5524">
                  <c:v>148.5</c:v>
                </c:pt>
                <c:pt idx="5525">
                  <c:v>153.19999999999999</c:v>
                </c:pt>
                <c:pt idx="5526">
                  <c:v>153.1</c:v>
                </c:pt>
                <c:pt idx="5527">
                  <c:v>151.1</c:v>
                </c:pt>
                <c:pt idx="5528">
                  <c:v>150</c:v>
                </c:pt>
                <c:pt idx="5529">
                  <c:v>153.69999999999999</c:v>
                </c:pt>
                <c:pt idx="5530">
                  <c:v>155.1</c:v>
                </c:pt>
                <c:pt idx="5531">
                  <c:v>153.1</c:v>
                </c:pt>
                <c:pt idx="5532">
                  <c:v>151.1</c:v>
                </c:pt>
                <c:pt idx="5533">
                  <c:v>152.80000000000001</c:v>
                </c:pt>
                <c:pt idx="5534">
                  <c:v>151.80000000000001</c:v>
                </c:pt>
                <c:pt idx="5535">
                  <c:v>148.30000000000001</c:v>
                </c:pt>
                <c:pt idx="5537">
                  <c:v>144.30000000000001</c:v>
                </c:pt>
                <c:pt idx="5538">
                  <c:v>144.80000000000001</c:v>
                </c:pt>
                <c:pt idx="5539">
                  <c:v>143</c:v>
                </c:pt>
                <c:pt idx="5540">
                  <c:v>141.69999999999999</c:v>
                </c:pt>
                <c:pt idx="5541">
                  <c:v>144.30000000000001</c:v>
                </c:pt>
                <c:pt idx="5543">
                  <c:v>128</c:v>
                </c:pt>
                <c:pt idx="5544">
                  <c:v>131.1</c:v>
                </c:pt>
                <c:pt idx="5545">
                  <c:v>129.80000000000001</c:v>
                </c:pt>
                <c:pt idx="5546">
                  <c:v>131.19999999999999</c:v>
                </c:pt>
                <c:pt idx="5547">
                  <c:v>130.80000000000001</c:v>
                </c:pt>
                <c:pt idx="5548">
                  <c:v>129.4</c:v>
                </c:pt>
                <c:pt idx="5549">
                  <c:v>129.9</c:v>
                </c:pt>
                <c:pt idx="5550">
                  <c:v>126.2</c:v>
                </c:pt>
                <c:pt idx="5551">
                  <c:v>124.7</c:v>
                </c:pt>
                <c:pt idx="5552">
                  <c:v>123.2</c:v>
                </c:pt>
                <c:pt idx="5553">
                  <c:v>119.7</c:v>
                </c:pt>
                <c:pt idx="5554">
                  <c:v>121.6</c:v>
                </c:pt>
                <c:pt idx="5555">
                  <c:v>123.7</c:v>
                </c:pt>
                <c:pt idx="5556">
                  <c:v>127.3</c:v>
                </c:pt>
                <c:pt idx="5557">
                  <c:v>128</c:v>
                </c:pt>
                <c:pt idx="5559">
                  <c:v>146.5</c:v>
                </c:pt>
                <c:pt idx="5560">
                  <c:v>148.4</c:v>
                </c:pt>
                <c:pt idx="5561">
                  <c:v>145.1</c:v>
                </c:pt>
                <c:pt idx="5562">
                  <c:v>146.5</c:v>
                </c:pt>
                <c:pt idx="5564">
                  <c:v>139.69999999999999</c:v>
                </c:pt>
                <c:pt idx="5565">
                  <c:v>139</c:v>
                </c:pt>
                <c:pt idx="5566">
                  <c:v>140.4</c:v>
                </c:pt>
                <c:pt idx="5567">
                  <c:v>139.6</c:v>
                </c:pt>
                <c:pt idx="5568">
                  <c:v>141.4</c:v>
                </c:pt>
                <c:pt idx="5569">
                  <c:v>139.69999999999999</c:v>
                </c:pt>
                <c:pt idx="5571">
                  <c:v>144.5</c:v>
                </c:pt>
                <c:pt idx="5572">
                  <c:v>146.19999999999999</c:v>
                </c:pt>
                <c:pt idx="5573">
                  <c:v>143.9</c:v>
                </c:pt>
                <c:pt idx="5574">
                  <c:v>144.5</c:v>
                </c:pt>
                <c:pt idx="5576">
                  <c:v>136.80000000000001</c:v>
                </c:pt>
                <c:pt idx="5577">
                  <c:v>135.1</c:v>
                </c:pt>
                <c:pt idx="5578">
                  <c:v>133.30000000000001</c:v>
                </c:pt>
                <c:pt idx="5579">
                  <c:v>134.30000000000001</c:v>
                </c:pt>
                <c:pt idx="5580">
                  <c:v>135.19999999999999</c:v>
                </c:pt>
                <c:pt idx="5581">
                  <c:v>134.1</c:v>
                </c:pt>
                <c:pt idx="5582">
                  <c:v>131.1</c:v>
                </c:pt>
                <c:pt idx="5583">
                  <c:v>133.6</c:v>
                </c:pt>
                <c:pt idx="5584">
                  <c:v>137</c:v>
                </c:pt>
                <c:pt idx="5585">
                  <c:v>138.19999999999999</c:v>
                </c:pt>
                <c:pt idx="5586">
                  <c:v>136.80000000000001</c:v>
                </c:pt>
                <c:pt idx="5588">
                  <c:v>135.19999999999999</c:v>
                </c:pt>
                <c:pt idx="5589">
                  <c:v>140.1</c:v>
                </c:pt>
                <c:pt idx="5590">
                  <c:v>139.19999999999999</c:v>
                </c:pt>
                <c:pt idx="5591">
                  <c:v>138.5</c:v>
                </c:pt>
                <c:pt idx="5592">
                  <c:v>133.69999999999999</c:v>
                </c:pt>
                <c:pt idx="5593">
                  <c:v>135.19999999999999</c:v>
                </c:pt>
                <c:pt idx="5595">
                  <c:v>124.4</c:v>
                </c:pt>
                <c:pt idx="5596">
                  <c:v>124.9</c:v>
                </c:pt>
                <c:pt idx="5597">
                  <c:v>123.4</c:v>
                </c:pt>
                <c:pt idx="5598">
                  <c:v>124.4</c:v>
                </c:pt>
                <c:pt idx="5600">
                  <c:v>140.30000000000001</c:v>
                </c:pt>
                <c:pt idx="5601">
                  <c:v>144.19999999999999</c:v>
                </c:pt>
                <c:pt idx="5602">
                  <c:v>143.9</c:v>
                </c:pt>
                <c:pt idx="5603">
                  <c:v>146.5</c:v>
                </c:pt>
                <c:pt idx="5604">
                  <c:v>144.80000000000001</c:v>
                </c:pt>
                <c:pt idx="5605">
                  <c:v>143.80000000000001</c:v>
                </c:pt>
                <c:pt idx="5606">
                  <c:v>142.4</c:v>
                </c:pt>
                <c:pt idx="5607">
                  <c:v>142.9</c:v>
                </c:pt>
                <c:pt idx="5608">
                  <c:v>136.6</c:v>
                </c:pt>
                <c:pt idx="5609">
                  <c:v>136.4</c:v>
                </c:pt>
                <c:pt idx="5610">
                  <c:v>139.19999999999999</c:v>
                </c:pt>
                <c:pt idx="5611">
                  <c:v>140.30000000000001</c:v>
                </c:pt>
                <c:pt idx="5613">
                  <c:v>127.4</c:v>
                </c:pt>
                <c:pt idx="5614">
                  <c:v>126.2</c:v>
                </c:pt>
                <c:pt idx="5615">
                  <c:v>126.8</c:v>
                </c:pt>
                <c:pt idx="5616">
                  <c:v>129.6</c:v>
                </c:pt>
                <c:pt idx="5617">
                  <c:v>132.5</c:v>
                </c:pt>
                <c:pt idx="5618">
                  <c:v>136.80000000000001</c:v>
                </c:pt>
                <c:pt idx="5619">
                  <c:v>133.4</c:v>
                </c:pt>
                <c:pt idx="5620">
                  <c:v>133.30000000000001</c:v>
                </c:pt>
                <c:pt idx="5621">
                  <c:v>131.4</c:v>
                </c:pt>
                <c:pt idx="5622">
                  <c:v>133.19999999999999</c:v>
                </c:pt>
                <c:pt idx="5623">
                  <c:v>131.4</c:v>
                </c:pt>
                <c:pt idx="5624">
                  <c:v>129</c:v>
                </c:pt>
                <c:pt idx="5625">
                  <c:v>129.30000000000001</c:v>
                </c:pt>
                <c:pt idx="5626">
                  <c:v>127.8</c:v>
                </c:pt>
                <c:pt idx="5627">
                  <c:v>128</c:v>
                </c:pt>
                <c:pt idx="5628">
                  <c:v>125.8</c:v>
                </c:pt>
                <c:pt idx="5629">
                  <c:v>127.4</c:v>
                </c:pt>
                <c:pt idx="5631">
                  <c:v>420.1</c:v>
                </c:pt>
                <c:pt idx="5632">
                  <c:v>422.8</c:v>
                </c:pt>
                <c:pt idx="5633">
                  <c:v>419.6</c:v>
                </c:pt>
                <c:pt idx="5634">
                  <c:v>420.6</c:v>
                </c:pt>
                <c:pt idx="5635">
                  <c:v>422.1</c:v>
                </c:pt>
                <c:pt idx="5636">
                  <c:v>421.2</c:v>
                </c:pt>
                <c:pt idx="5637">
                  <c:v>424.5</c:v>
                </c:pt>
                <c:pt idx="5638">
                  <c:v>429</c:v>
                </c:pt>
                <c:pt idx="5639">
                  <c:v>432.9</c:v>
                </c:pt>
                <c:pt idx="5640">
                  <c:v>434.9</c:v>
                </c:pt>
                <c:pt idx="5641">
                  <c:v>436.1</c:v>
                </c:pt>
                <c:pt idx="5642">
                  <c:v>430.4</c:v>
                </c:pt>
                <c:pt idx="5643">
                  <c:v>431.7</c:v>
                </c:pt>
                <c:pt idx="5644">
                  <c:v>430.4</c:v>
                </c:pt>
                <c:pt idx="5645">
                  <c:v>431.8</c:v>
                </c:pt>
                <c:pt idx="5646">
                  <c:v>429.7</c:v>
                </c:pt>
                <c:pt idx="5647">
                  <c:v>427</c:v>
                </c:pt>
                <c:pt idx="5648">
                  <c:v>424.6</c:v>
                </c:pt>
                <c:pt idx="5649">
                  <c:v>422.3</c:v>
                </c:pt>
                <c:pt idx="5650">
                  <c:v>420.6</c:v>
                </c:pt>
                <c:pt idx="5651">
                  <c:v>417.5</c:v>
                </c:pt>
                <c:pt idx="5652">
                  <c:v>416.1</c:v>
                </c:pt>
                <c:pt idx="5653">
                  <c:v>416.7</c:v>
                </c:pt>
                <c:pt idx="5654">
                  <c:v>414.5</c:v>
                </c:pt>
                <c:pt idx="5655">
                  <c:v>411.6</c:v>
                </c:pt>
                <c:pt idx="5656">
                  <c:v>409.3</c:v>
                </c:pt>
                <c:pt idx="5657">
                  <c:v>409.6</c:v>
                </c:pt>
                <c:pt idx="5658">
                  <c:v>414.2</c:v>
                </c:pt>
                <c:pt idx="5659">
                  <c:v>415.7</c:v>
                </c:pt>
                <c:pt idx="5660">
                  <c:v>417.6</c:v>
                </c:pt>
                <c:pt idx="5661">
                  <c:v>418.8</c:v>
                </c:pt>
                <c:pt idx="5662">
                  <c:v>420.1</c:v>
                </c:pt>
                <c:pt idx="5664">
                  <c:v>422.5</c:v>
                </c:pt>
                <c:pt idx="5665">
                  <c:v>421.6</c:v>
                </c:pt>
                <c:pt idx="5666">
                  <c:v>418.3</c:v>
                </c:pt>
                <c:pt idx="5667">
                  <c:v>415.7</c:v>
                </c:pt>
                <c:pt idx="5668">
                  <c:v>414.3</c:v>
                </c:pt>
                <c:pt idx="5669">
                  <c:v>411.8</c:v>
                </c:pt>
                <c:pt idx="5670">
                  <c:v>409</c:v>
                </c:pt>
                <c:pt idx="5671">
                  <c:v>406.6</c:v>
                </c:pt>
                <c:pt idx="5672">
                  <c:v>405.8</c:v>
                </c:pt>
                <c:pt idx="5673">
                  <c:v>400.6</c:v>
                </c:pt>
                <c:pt idx="5674">
                  <c:v>399.9</c:v>
                </c:pt>
                <c:pt idx="5675">
                  <c:v>397.3</c:v>
                </c:pt>
                <c:pt idx="5676">
                  <c:v>396.2</c:v>
                </c:pt>
                <c:pt idx="5677">
                  <c:v>393.6</c:v>
                </c:pt>
                <c:pt idx="5678">
                  <c:v>393.6</c:v>
                </c:pt>
                <c:pt idx="5679">
                  <c:v>391.4</c:v>
                </c:pt>
                <c:pt idx="5680">
                  <c:v>390.5</c:v>
                </c:pt>
                <c:pt idx="5681">
                  <c:v>384.2</c:v>
                </c:pt>
                <c:pt idx="5682">
                  <c:v>387.3</c:v>
                </c:pt>
                <c:pt idx="5683">
                  <c:v>388.7</c:v>
                </c:pt>
                <c:pt idx="5684">
                  <c:v>390.7</c:v>
                </c:pt>
                <c:pt idx="5685">
                  <c:v>392.2</c:v>
                </c:pt>
                <c:pt idx="5686">
                  <c:v>389.7</c:v>
                </c:pt>
                <c:pt idx="5687">
                  <c:v>390.2</c:v>
                </c:pt>
                <c:pt idx="5688">
                  <c:v>392</c:v>
                </c:pt>
                <c:pt idx="5689">
                  <c:v>396.6</c:v>
                </c:pt>
                <c:pt idx="5690">
                  <c:v>400</c:v>
                </c:pt>
                <c:pt idx="5691">
                  <c:v>404.8</c:v>
                </c:pt>
                <c:pt idx="5692">
                  <c:v>405.3</c:v>
                </c:pt>
                <c:pt idx="5693">
                  <c:v>410.1</c:v>
                </c:pt>
                <c:pt idx="5694">
                  <c:v>411.1</c:v>
                </c:pt>
                <c:pt idx="5695">
                  <c:v>410.1</c:v>
                </c:pt>
                <c:pt idx="5696">
                  <c:v>411.6</c:v>
                </c:pt>
                <c:pt idx="5697">
                  <c:v>417.9</c:v>
                </c:pt>
                <c:pt idx="5698">
                  <c:v>418.8</c:v>
                </c:pt>
                <c:pt idx="5699">
                  <c:v>417.6</c:v>
                </c:pt>
                <c:pt idx="5700">
                  <c:v>419.4</c:v>
                </c:pt>
                <c:pt idx="5701">
                  <c:v>419.8</c:v>
                </c:pt>
                <c:pt idx="5702">
                  <c:v>423.5</c:v>
                </c:pt>
                <c:pt idx="5703">
                  <c:v>422.5</c:v>
                </c:pt>
                <c:pt idx="5705">
                  <c:v>426.7</c:v>
                </c:pt>
                <c:pt idx="5706">
                  <c:v>424.3</c:v>
                </c:pt>
                <c:pt idx="5707">
                  <c:v>415.9</c:v>
                </c:pt>
                <c:pt idx="5708">
                  <c:v>410.9</c:v>
                </c:pt>
                <c:pt idx="5709">
                  <c:v>407.4</c:v>
                </c:pt>
                <c:pt idx="5710">
                  <c:v>407.5</c:v>
                </c:pt>
                <c:pt idx="5711">
                  <c:v>403.3</c:v>
                </c:pt>
                <c:pt idx="5712">
                  <c:v>399</c:v>
                </c:pt>
                <c:pt idx="5713">
                  <c:v>397.6</c:v>
                </c:pt>
                <c:pt idx="5714">
                  <c:v>391.8</c:v>
                </c:pt>
                <c:pt idx="5715">
                  <c:v>391.6</c:v>
                </c:pt>
                <c:pt idx="5716">
                  <c:v>388.8</c:v>
                </c:pt>
                <c:pt idx="5717">
                  <c:v>388.3</c:v>
                </c:pt>
                <c:pt idx="5718">
                  <c:v>385.3</c:v>
                </c:pt>
                <c:pt idx="5719">
                  <c:v>382.4</c:v>
                </c:pt>
                <c:pt idx="5720">
                  <c:v>382.8</c:v>
                </c:pt>
                <c:pt idx="5721">
                  <c:v>384.7</c:v>
                </c:pt>
                <c:pt idx="5722">
                  <c:v>384.2</c:v>
                </c:pt>
                <c:pt idx="5723">
                  <c:v>387.9</c:v>
                </c:pt>
                <c:pt idx="5724">
                  <c:v>387.4</c:v>
                </c:pt>
                <c:pt idx="5725">
                  <c:v>390.8</c:v>
                </c:pt>
                <c:pt idx="5726">
                  <c:v>393.6</c:v>
                </c:pt>
                <c:pt idx="5727">
                  <c:v>395.1</c:v>
                </c:pt>
                <c:pt idx="5728">
                  <c:v>396.7</c:v>
                </c:pt>
                <c:pt idx="5729">
                  <c:v>394.7</c:v>
                </c:pt>
                <c:pt idx="5730">
                  <c:v>397.6</c:v>
                </c:pt>
                <c:pt idx="5731">
                  <c:v>396.7</c:v>
                </c:pt>
                <c:pt idx="5732">
                  <c:v>398.2</c:v>
                </c:pt>
                <c:pt idx="5733">
                  <c:v>400.4</c:v>
                </c:pt>
                <c:pt idx="5734">
                  <c:v>400.9</c:v>
                </c:pt>
                <c:pt idx="5735">
                  <c:v>405.8</c:v>
                </c:pt>
                <c:pt idx="5736">
                  <c:v>406.6</c:v>
                </c:pt>
                <c:pt idx="5737">
                  <c:v>409.2</c:v>
                </c:pt>
                <c:pt idx="5738">
                  <c:v>409.3</c:v>
                </c:pt>
                <c:pt idx="5739">
                  <c:v>411.6</c:v>
                </c:pt>
                <c:pt idx="5740">
                  <c:v>414.5</c:v>
                </c:pt>
                <c:pt idx="5741">
                  <c:v>416.7</c:v>
                </c:pt>
                <c:pt idx="5742">
                  <c:v>416.6</c:v>
                </c:pt>
                <c:pt idx="5743">
                  <c:v>420.6</c:v>
                </c:pt>
                <c:pt idx="5744">
                  <c:v>422.3</c:v>
                </c:pt>
                <c:pt idx="5745">
                  <c:v>424.6</c:v>
                </c:pt>
                <c:pt idx="5746">
                  <c:v>430.3</c:v>
                </c:pt>
                <c:pt idx="5747">
                  <c:v>429.8</c:v>
                </c:pt>
                <c:pt idx="5748">
                  <c:v>428</c:v>
                </c:pt>
                <c:pt idx="5749">
                  <c:v>426.7</c:v>
                </c:pt>
                <c:pt idx="5751">
                  <c:v>310.60000000000002</c:v>
                </c:pt>
                <c:pt idx="5752">
                  <c:v>318</c:v>
                </c:pt>
                <c:pt idx="5753">
                  <c:v>318</c:v>
                </c:pt>
                <c:pt idx="5754">
                  <c:v>321.2</c:v>
                </c:pt>
                <c:pt idx="5755">
                  <c:v>321.2</c:v>
                </c:pt>
                <c:pt idx="5756">
                  <c:v>323.3</c:v>
                </c:pt>
                <c:pt idx="5757">
                  <c:v>322.39999999999998</c:v>
                </c:pt>
                <c:pt idx="5758">
                  <c:v>323.39999999999998</c:v>
                </c:pt>
                <c:pt idx="5759">
                  <c:v>321.5</c:v>
                </c:pt>
                <c:pt idx="5760">
                  <c:v>323</c:v>
                </c:pt>
                <c:pt idx="5761">
                  <c:v>323.7</c:v>
                </c:pt>
                <c:pt idx="5762">
                  <c:v>322.8</c:v>
                </c:pt>
                <c:pt idx="5763">
                  <c:v>317</c:v>
                </c:pt>
                <c:pt idx="5764">
                  <c:v>314.5</c:v>
                </c:pt>
                <c:pt idx="5765">
                  <c:v>314.5</c:v>
                </c:pt>
                <c:pt idx="5766">
                  <c:v>311.89999999999998</c:v>
                </c:pt>
                <c:pt idx="5767">
                  <c:v>312.39999999999998</c:v>
                </c:pt>
                <c:pt idx="5768">
                  <c:v>310.7</c:v>
                </c:pt>
                <c:pt idx="5769">
                  <c:v>305.89999999999998</c:v>
                </c:pt>
                <c:pt idx="5770">
                  <c:v>305.2</c:v>
                </c:pt>
                <c:pt idx="5771">
                  <c:v>302.39999999999998</c:v>
                </c:pt>
                <c:pt idx="5772">
                  <c:v>301.60000000000002</c:v>
                </c:pt>
                <c:pt idx="5773">
                  <c:v>305.10000000000002</c:v>
                </c:pt>
                <c:pt idx="5774">
                  <c:v>304.3</c:v>
                </c:pt>
                <c:pt idx="5775">
                  <c:v>298.5</c:v>
                </c:pt>
                <c:pt idx="5776">
                  <c:v>295.89999999999998</c:v>
                </c:pt>
                <c:pt idx="5777">
                  <c:v>291</c:v>
                </c:pt>
                <c:pt idx="5778">
                  <c:v>290.5</c:v>
                </c:pt>
                <c:pt idx="5779">
                  <c:v>287.39999999999998</c:v>
                </c:pt>
                <c:pt idx="5780">
                  <c:v>287.2</c:v>
                </c:pt>
                <c:pt idx="5781">
                  <c:v>289.7</c:v>
                </c:pt>
                <c:pt idx="5782">
                  <c:v>286.60000000000002</c:v>
                </c:pt>
                <c:pt idx="5783">
                  <c:v>286.7</c:v>
                </c:pt>
                <c:pt idx="5784">
                  <c:v>294.10000000000002</c:v>
                </c:pt>
                <c:pt idx="5785">
                  <c:v>294.60000000000002</c:v>
                </c:pt>
                <c:pt idx="5786">
                  <c:v>297.3</c:v>
                </c:pt>
                <c:pt idx="5787">
                  <c:v>295.60000000000002</c:v>
                </c:pt>
                <c:pt idx="5788">
                  <c:v>298.39999999999998</c:v>
                </c:pt>
                <c:pt idx="5789">
                  <c:v>300.89999999999998</c:v>
                </c:pt>
                <c:pt idx="5790">
                  <c:v>302.60000000000002</c:v>
                </c:pt>
                <c:pt idx="5791">
                  <c:v>300.10000000000002</c:v>
                </c:pt>
                <c:pt idx="5792">
                  <c:v>301</c:v>
                </c:pt>
                <c:pt idx="5793">
                  <c:v>304.2</c:v>
                </c:pt>
                <c:pt idx="5794">
                  <c:v>306</c:v>
                </c:pt>
                <c:pt idx="5795">
                  <c:v>307</c:v>
                </c:pt>
                <c:pt idx="5796">
                  <c:v>308.10000000000002</c:v>
                </c:pt>
                <c:pt idx="5797">
                  <c:v>310.60000000000002</c:v>
                </c:pt>
                <c:pt idx="5799">
                  <c:v>367.9</c:v>
                </c:pt>
                <c:pt idx="5800">
                  <c:v>368.5</c:v>
                </c:pt>
                <c:pt idx="5801">
                  <c:v>369.4</c:v>
                </c:pt>
                <c:pt idx="5802">
                  <c:v>371</c:v>
                </c:pt>
                <c:pt idx="5803">
                  <c:v>375.4</c:v>
                </c:pt>
                <c:pt idx="5804">
                  <c:v>381</c:v>
                </c:pt>
                <c:pt idx="5805">
                  <c:v>381.9</c:v>
                </c:pt>
                <c:pt idx="5806">
                  <c:v>384.2</c:v>
                </c:pt>
                <c:pt idx="5807">
                  <c:v>385</c:v>
                </c:pt>
                <c:pt idx="5808">
                  <c:v>384.1</c:v>
                </c:pt>
                <c:pt idx="5809">
                  <c:v>385.1</c:v>
                </c:pt>
                <c:pt idx="5810">
                  <c:v>382.6</c:v>
                </c:pt>
                <c:pt idx="5811">
                  <c:v>384.7</c:v>
                </c:pt>
                <c:pt idx="5812">
                  <c:v>382.8</c:v>
                </c:pt>
                <c:pt idx="5813">
                  <c:v>383.7</c:v>
                </c:pt>
                <c:pt idx="5814">
                  <c:v>382.2</c:v>
                </c:pt>
                <c:pt idx="5815">
                  <c:v>383.6</c:v>
                </c:pt>
                <c:pt idx="5816">
                  <c:v>381.7</c:v>
                </c:pt>
                <c:pt idx="5817">
                  <c:v>376.7</c:v>
                </c:pt>
                <c:pt idx="5818">
                  <c:v>375.3</c:v>
                </c:pt>
                <c:pt idx="5819">
                  <c:v>374.3</c:v>
                </c:pt>
                <c:pt idx="5820">
                  <c:v>371.9</c:v>
                </c:pt>
                <c:pt idx="5821">
                  <c:v>370.2</c:v>
                </c:pt>
                <c:pt idx="5822">
                  <c:v>362.9</c:v>
                </c:pt>
                <c:pt idx="5823">
                  <c:v>359.6</c:v>
                </c:pt>
                <c:pt idx="5824">
                  <c:v>359.3</c:v>
                </c:pt>
                <c:pt idx="5825">
                  <c:v>352.6</c:v>
                </c:pt>
                <c:pt idx="5826">
                  <c:v>350.3</c:v>
                </c:pt>
                <c:pt idx="5827">
                  <c:v>345.6</c:v>
                </c:pt>
                <c:pt idx="5828">
                  <c:v>341.8</c:v>
                </c:pt>
                <c:pt idx="5829">
                  <c:v>340.5</c:v>
                </c:pt>
                <c:pt idx="5830">
                  <c:v>337.2</c:v>
                </c:pt>
                <c:pt idx="5831">
                  <c:v>335</c:v>
                </c:pt>
                <c:pt idx="5832">
                  <c:v>338.2</c:v>
                </c:pt>
                <c:pt idx="5833">
                  <c:v>337.4</c:v>
                </c:pt>
                <c:pt idx="5834">
                  <c:v>340.6</c:v>
                </c:pt>
                <c:pt idx="5835">
                  <c:v>341</c:v>
                </c:pt>
                <c:pt idx="5836">
                  <c:v>343.8</c:v>
                </c:pt>
                <c:pt idx="5837">
                  <c:v>343.4</c:v>
                </c:pt>
                <c:pt idx="5838">
                  <c:v>350.4</c:v>
                </c:pt>
                <c:pt idx="5839">
                  <c:v>349.8</c:v>
                </c:pt>
                <c:pt idx="5840">
                  <c:v>353.2</c:v>
                </c:pt>
                <c:pt idx="5841">
                  <c:v>357.1</c:v>
                </c:pt>
                <c:pt idx="5842">
                  <c:v>362</c:v>
                </c:pt>
                <c:pt idx="5843">
                  <c:v>362</c:v>
                </c:pt>
                <c:pt idx="5844">
                  <c:v>363</c:v>
                </c:pt>
                <c:pt idx="5845">
                  <c:v>364.4</c:v>
                </c:pt>
                <c:pt idx="5846">
                  <c:v>367.8</c:v>
                </c:pt>
                <c:pt idx="5847">
                  <c:v>367.9</c:v>
                </c:pt>
                <c:pt idx="5849">
                  <c:v>320.8</c:v>
                </c:pt>
                <c:pt idx="5850">
                  <c:v>324.39999999999998</c:v>
                </c:pt>
                <c:pt idx="5851">
                  <c:v>326.8</c:v>
                </c:pt>
                <c:pt idx="5852">
                  <c:v>329.5</c:v>
                </c:pt>
                <c:pt idx="5853">
                  <c:v>332.1</c:v>
                </c:pt>
                <c:pt idx="5854">
                  <c:v>334.8</c:v>
                </c:pt>
                <c:pt idx="5855">
                  <c:v>334</c:v>
                </c:pt>
                <c:pt idx="5856">
                  <c:v>336.1</c:v>
                </c:pt>
                <c:pt idx="5857">
                  <c:v>339.9</c:v>
                </c:pt>
                <c:pt idx="5858">
                  <c:v>341.5</c:v>
                </c:pt>
                <c:pt idx="5859">
                  <c:v>342.8</c:v>
                </c:pt>
                <c:pt idx="5860">
                  <c:v>344.5</c:v>
                </c:pt>
                <c:pt idx="5861">
                  <c:v>346.2</c:v>
                </c:pt>
                <c:pt idx="5862">
                  <c:v>344.8</c:v>
                </c:pt>
                <c:pt idx="5863">
                  <c:v>346.7</c:v>
                </c:pt>
                <c:pt idx="5864">
                  <c:v>341.2</c:v>
                </c:pt>
                <c:pt idx="5865">
                  <c:v>340.6</c:v>
                </c:pt>
                <c:pt idx="5866">
                  <c:v>338.6</c:v>
                </c:pt>
                <c:pt idx="5867">
                  <c:v>332.8</c:v>
                </c:pt>
                <c:pt idx="5868">
                  <c:v>329.1</c:v>
                </c:pt>
                <c:pt idx="5869">
                  <c:v>326.39999999999998</c:v>
                </c:pt>
                <c:pt idx="5870">
                  <c:v>323</c:v>
                </c:pt>
                <c:pt idx="5871">
                  <c:v>321.5</c:v>
                </c:pt>
                <c:pt idx="5872">
                  <c:v>323.39999999999998</c:v>
                </c:pt>
                <c:pt idx="5873">
                  <c:v>322.39999999999998</c:v>
                </c:pt>
                <c:pt idx="5874">
                  <c:v>323.39999999999998</c:v>
                </c:pt>
                <c:pt idx="5875">
                  <c:v>321.2</c:v>
                </c:pt>
                <c:pt idx="5876">
                  <c:v>321.2</c:v>
                </c:pt>
                <c:pt idx="5877">
                  <c:v>318</c:v>
                </c:pt>
                <c:pt idx="5878">
                  <c:v>318</c:v>
                </c:pt>
                <c:pt idx="5879">
                  <c:v>309.10000000000002</c:v>
                </c:pt>
                <c:pt idx="5880">
                  <c:v>311.39999999999998</c:v>
                </c:pt>
                <c:pt idx="5881">
                  <c:v>317.5</c:v>
                </c:pt>
                <c:pt idx="5882">
                  <c:v>317.89999999999998</c:v>
                </c:pt>
                <c:pt idx="5883">
                  <c:v>320.8</c:v>
                </c:pt>
                <c:pt idx="5885">
                  <c:v>355.1</c:v>
                </c:pt>
                <c:pt idx="5886">
                  <c:v>359.5</c:v>
                </c:pt>
                <c:pt idx="5887">
                  <c:v>358.1</c:v>
                </c:pt>
                <c:pt idx="5888">
                  <c:v>355.2</c:v>
                </c:pt>
                <c:pt idx="5889">
                  <c:v>356.2</c:v>
                </c:pt>
                <c:pt idx="5890">
                  <c:v>353.3</c:v>
                </c:pt>
                <c:pt idx="5891">
                  <c:v>354.9</c:v>
                </c:pt>
                <c:pt idx="5892">
                  <c:v>353.7</c:v>
                </c:pt>
                <c:pt idx="5893">
                  <c:v>356.5</c:v>
                </c:pt>
                <c:pt idx="5894">
                  <c:v>357.4</c:v>
                </c:pt>
                <c:pt idx="5895">
                  <c:v>361.1</c:v>
                </c:pt>
                <c:pt idx="5896">
                  <c:v>361.9</c:v>
                </c:pt>
                <c:pt idx="5897">
                  <c:v>359.9</c:v>
                </c:pt>
                <c:pt idx="5898">
                  <c:v>361.2</c:v>
                </c:pt>
                <c:pt idx="5899">
                  <c:v>361.2</c:v>
                </c:pt>
                <c:pt idx="5900">
                  <c:v>362.5</c:v>
                </c:pt>
                <c:pt idx="5901">
                  <c:v>361.7</c:v>
                </c:pt>
                <c:pt idx="5902">
                  <c:v>352.7</c:v>
                </c:pt>
                <c:pt idx="5903">
                  <c:v>349.8</c:v>
                </c:pt>
                <c:pt idx="5904">
                  <c:v>349.1</c:v>
                </c:pt>
                <c:pt idx="5905">
                  <c:v>345.8</c:v>
                </c:pt>
                <c:pt idx="5906">
                  <c:v>341.8</c:v>
                </c:pt>
                <c:pt idx="5907">
                  <c:v>339.1</c:v>
                </c:pt>
                <c:pt idx="5908">
                  <c:v>339.6</c:v>
                </c:pt>
                <c:pt idx="5909">
                  <c:v>334.6</c:v>
                </c:pt>
                <c:pt idx="5910">
                  <c:v>336.2</c:v>
                </c:pt>
                <c:pt idx="5911">
                  <c:v>342.6</c:v>
                </c:pt>
                <c:pt idx="5912">
                  <c:v>346</c:v>
                </c:pt>
                <c:pt idx="5913">
                  <c:v>347.2</c:v>
                </c:pt>
                <c:pt idx="5914">
                  <c:v>350.7</c:v>
                </c:pt>
                <c:pt idx="5915">
                  <c:v>352.9</c:v>
                </c:pt>
                <c:pt idx="5916">
                  <c:v>355.1</c:v>
                </c:pt>
                <c:pt idx="5918">
                  <c:v>378.5</c:v>
                </c:pt>
                <c:pt idx="5919">
                  <c:v>382.3</c:v>
                </c:pt>
                <c:pt idx="5920">
                  <c:v>384.5</c:v>
                </c:pt>
                <c:pt idx="5921">
                  <c:v>388.9</c:v>
                </c:pt>
                <c:pt idx="5922">
                  <c:v>391.2</c:v>
                </c:pt>
                <c:pt idx="5923">
                  <c:v>394.1</c:v>
                </c:pt>
                <c:pt idx="5924">
                  <c:v>393.3</c:v>
                </c:pt>
                <c:pt idx="5925">
                  <c:v>398.2</c:v>
                </c:pt>
                <c:pt idx="5926">
                  <c:v>396.7</c:v>
                </c:pt>
                <c:pt idx="5927">
                  <c:v>397.6</c:v>
                </c:pt>
                <c:pt idx="5928">
                  <c:v>394.7</c:v>
                </c:pt>
                <c:pt idx="5929">
                  <c:v>396.7</c:v>
                </c:pt>
                <c:pt idx="5930">
                  <c:v>395.1</c:v>
                </c:pt>
                <c:pt idx="5931">
                  <c:v>393.6</c:v>
                </c:pt>
                <c:pt idx="5932">
                  <c:v>390.7</c:v>
                </c:pt>
                <c:pt idx="5933">
                  <c:v>387.4</c:v>
                </c:pt>
                <c:pt idx="5934">
                  <c:v>387.9</c:v>
                </c:pt>
                <c:pt idx="5935">
                  <c:v>386.3</c:v>
                </c:pt>
                <c:pt idx="5936">
                  <c:v>383.3</c:v>
                </c:pt>
                <c:pt idx="5937">
                  <c:v>381.8</c:v>
                </c:pt>
                <c:pt idx="5938">
                  <c:v>377.1</c:v>
                </c:pt>
                <c:pt idx="5939">
                  <c:v>374.8</c:v>
                </c:pt>
                <c:pt idx="5940">
                  <c:v>372.7</c:v>
                </c:pt>
                <c:pt idx="5941">
                  <c:v>374</c:v>
                </c:pt>
                <c:pt idx="5942">
                  <c:v>372.3</c:v>
                </c:pt>
                <c:pt idx="5943">
                  <c:v>372.7</c:v>
                </c:pt>
                <c:pt idx="5944">
                  <c:v>368.7</c:v>
                </c:pt>
                <c:pt idx="5945">
                  <c:v>366.3</c:v>
                </c:pt>
                <c:pt idx="5946">
                  <c:v>361.8</c:v>
                </c:pt>
                <c:pt idx="5947">
                  <c:v>358.2</c:v>
                </c:pt>
                <c:pt idx="5948">
                  <c:v>359.1</c:v>
                </c:pt>
                <c:pt idx="5949">
                  <c:v>362.7</c:v>
                </c:pt>
                <c:pt idx="5950">
                  <c:v>363.4</c:v>
                </c:pt>
                <c:pt idx="5951">
                  <c:v>364.4</c:v>
                </c:pt>
                <c:pt idx="5952">
                  <c:v>368.4</c:v>
                </c:pt>
                <c:pt idx="5953">
                  <c:v>372</c:v>
                </c:pt>
                <c:pt idx="5954">
                  <c:v>372.6</c:v>
                </c:pt>
                <c:pt idx="5955">
                  <c:v>375.5</c:v>
                </c:pt>
                <c:pt idx="5956">
                  <c:v>376</c:v>
                </c:pt>
                <c:pt idx="5957">
                  <c:v>378.5</c:v>
                </c:pt>
                <c:pt idx="5959">
                  <c:v>287.7</c:v>
                </c:pt>
                <c:pt idx="5960">
                  <c:v>291.60000000000002</c:v>
                </c:pt>
                <c:pt idx="5961">
                  <c:v>291.5</c:v>
                </c:pt>
                <c:pt idx="5962">
                  <c:v>295.5</c:v>
                </c:pt>
                <c:pt idx="5963">
                  <c:v>295.60000000000002</c:v>
                </c:pt>
                <c:pt idx="5964">
                  <c:v>302.2</c:v>
                </c:pt>
                <c:pt idx="5965">
                  <c:v>303.8</c:v>
                </c:pt>
                <c:pt idx="5966">
                  <c:v>306.7</c:v>
                </c:pt>
                <c:pt idx="5967">
                  <c:v>308</c:v>
                </c:pt>
                <c:pt idx="5968">
                  <c:v>313</c:v>
                </c:pt>
                <c:pt idx="5969">
                  <c:v>313.39999999999998</c:v>
                </c:pt>
                <c:pt idx="5970">
                  <c:v>316.7</c:v>
                </c:pt>
                <c:pt idx="5971">
                  <c:v>317</c:v>
                </c:pt>
                <c:pt idx="5972">
                  <c:v>320.89999999999998</c:v>
                </c:pt>
                <c:pt idx="5973">
                  <c:v>320.39999999999998</c:v>
                </c:pt>
                <c:pt idx="5974">
                  <c:v>325.8</c:v>
                </c:pt>
                <c:pt idx="5975">
                  <c:v>327.2</c:v>
                </c:pt>
                <c:pt idx="5976">
                  <c:v>324.39999999999998</c:v>
                </c:pt>
                <c:pt idx="5977">
                  <c:v>322.7</c:v>
                </c:pt>
                <c:pt idx="5978">
                  <c:v>319.60000000000002</c:v>
                </c:pt>
                <c:pt idx="5979">
                  <c:v>317.5</c:v>
                </c:pt>
                <c:pt idx="5980">
                  <c:v>311</c:v>
                </c:pt>
                <c:pt idx="5981">
                  <c:v>309.5</c:v>
                </c:pt>
                <c:pt idx="5982">
                  <c:v>309.39999999999998</c:v>
                </c:pt>
                <c:pt idx="5983">
                  <c:v>307.10000000000002</c:v>
                </c:pt>
                <c:pt idx="5984">
                  <c:v>306</c:v>
                </c:pt>
                <c:pt idx="5985">
                  <c:v>301.89999999999998</c:v>
                </c:pt>
                <c:pt idx="5986">
                  <c:v>298.39999999999998</c:v>
                </c:pt>
                <c:pt idx="5987">
                  <c:v>294</c:v>
                </c:pt>
                <c:pt idx="5988">
                  <c:v>289.5</c:v>
                </c:pt>
                <c:pt idx="5989">
                  <c:v>289.10000000000002</c:v>
                </c:pt>
                <c:pt idx="5990">
                  <c:v>287.2</c:v>
                </c:pt>
                <c:pt idx="5991">
                  <c:v>284.60000000000002</c:v>
                </c:pt>
                <c:pt idx="5992">
                  <c:v>283.60000000000002</c:v>
                </c:pt>
                <c:pt idx="5993">
                  <c:v>288</c:v>
                </c:pt>
                <c:pt idx="5994">
                  <c:v>285.5</c:v>
                </c:pt>
                <c:pt idx="5995">
                  <c:v>287.2</c:v>
                </c:pt>
                <c:pt idx="5996">
                  <c:v>286.7</c:v>
                </c:pt>
                <c:pt idx="5997">
                  <c:v>289.3</c:v>
                </c:pt>
                <c:pt idx="5998">
                  <c:v>285.3</c:v>
                </c:pt>
                <c:pt idx="5999">
                  <c:v>282.10000000000002</c:v>
                </c:pt>
                <c:pt idx="6000">
                  <c:v>279.7</c:v>
                </c:pt>
                <c:pt idx="6001">
                  <c:v>281.8</c:v>
                </c:pt>
                <c:pt idx="6002">
                  <c:v>285.10000000000002</c:v>
                </c:pt>
                <c:pt idx="6003">
                  <c:v>284.10000000000002</c:v>
                </c:pt>
                <c:pt idx="6004">
                  <c:v>286.60000000000002</c:v>
                </c:pt>
                <c:pt idx="6005">
                  <c:v>287.7</c:v>
                </c:pt>
                <c:pt idx="6007">
                  <c:v>320.2</c:v>
                </c:pt>
                <c:pt idx="6008">
                  <c:v>325.2</c:v>
                </c:pt>
                <c:pt idx="6009">
                  <c:v>330</c:v>
                </c:pt>
                <c:pt idx="6010">
                  <c:v>329.8</c:v>
                </c:pt>
                <c:pt idx="6011">
                  <c:v>326.60000000000002</c:v>
                </c:pt>
                <c:pt idx="6012">
                  <c:v>327</c:v>
                </c:pt>
                <c:pt idx="6013">
                  <c:v>325.5</c:v>
                </c:pt>
                <c:pt idx="6014">
                  <c:v>327.9</c:v>
                </c:pt>
                <c:pt idx="6015">
                  <c:v>326.39999999999998</c:v>
                </c:pt>
                <c:pt idx="6016">
                  <c:v>324.5</c:v>
                </c:pt>
                <c:pt idx="6017">
                  <c:v>324.39999999999998</c:v>
                </c:pt>
                <c:pt idx="6018">
                  <c:v>320.39999999999998</c:v>
                </c:pt>
                <c:pt idx="6019">
                  <c:v>323.39999999999998</c:v>
                </c:pt>
                <c:pt idx="6020">
                  <c:v>323.5</c:v>
                </c:pt>
                <c:pt idx="6021">
                  <c:v>320.7</c:v>
                </c:pt>
                <c:pt idx="6022">
                  <c:v>320.8</c:v>
                </c:pt>
                <c:pt idx="6023">
                  <c:v>317.60000000000002</c:v>
                </c:pt>
                <c:pt idx="6024">
                  <c:v>316.5</c:v>
                </c:pt>
                <c:pt idx="6025">
                  <c:v>316.7</c:v>
                </c:pt>
                <c:pt idx="6026">
                  <c:v>313.39999999999998</c:v>
                </c:pt>
                <c:pt idx="6027">
                  <c:v>313</c:v>
                </c:pt>
                <c:pt idx="6028">
                  <c:v>308</c:v>
                </c:pt>
                <c:pt idx="6029">
                  <c:v>306.7</c:v>
                </c:pt>
                <c:pt idx="6030">
                  <c:v>303.8</c:v>
                </c:pt>
                <c:pt idx="6031">
                  <c:v>302.2</c:v>
                </c:pt>
                <c:pt idx="6032">
                  <c:v>295.89999999999998</c:v>
                </c:pt>
                <c:pt idx="6033">
                  <c:v>295.5</c:v>
                </c:pt>
                <c:pt idx="6034">
                  <c:v>291.89999999999998</c:v>
                </c:pt>
                <c:pt idx="6035">
                  <c:v>290.8</c:v>
                </c:pt>
                <c:pt idx="6036">
                  <c:v>292.2</c:v>
                </c:pt>
                <c:pt idx="6037">
                  <c:v>289.89999999999998</c:v>
                </c:pt>
                <c:pt idx="6038">
                  <c:v>286.5</c:v>
                </c:pt>
                <c:pt idx="6039">
                  <c:v>288.2</c:v>
                </c:pt>
                <c:pt idx="6040">
                  <c:v>291.3</c:v>
                </c:pt>
                <c:pt idx="6041">
                  <c:v>294</c:v>
                </c:pt>
                <c:pt idx="6042">
                  <c:v>296.3</c:v>
                </c:pt>
                <c:pt idx="6043">
                  <c:v>298.8</c:v>
                </c:pt>
                <c:pt idx="6044">
                  <c:v>303.7</c:v>
                </c:pt>
                <c:pt idx="6045">
                  <c:v>300.3</c:v>
                </c:pt>
                <c:pt idx="6046">
                  <c:v>302.7</c:v>
                </c:pt>
                <c:pt idx="6047">
                  <c:v>305.7</c:v>
                </c:pt>
                <c:pt idx="6048">
                  <c:v>307.10000000000002</c:v>
                </c:pt>
                <c:pt idx="6049">
                  <c:v>309.89999999999998</c:v>
                </c:pt>
                <c:pt idx="6050">
                  <c:v>316.2</c:v>
                </c:pt>
                <c:pt idx="6051">
                  <c:v>316.10000000000002</c:v>
                </c:pt>
                <c:pt idx="6052">
                  <c:v>318.2</c:v>
                </c:pt>
                <c:pt idx="6053">
                  <c:v>318.60000000000002</c:v>
                </c:pt>
                <c:pt idx="6054">
                  <c:v>320.2</c:v>
                </c:pt>
                <c:pt idx="6056">
                  <c:v>362.9</c:v>
                </c:pt>
                <c:pt idx="6057">
                  <c:v>366.3</c:v>
                </c:pt>
                <c:pt idx="6058">
                  <c:v>368.7</c:v>
                </c:pt>
                <c:pt idx="6059">
                  <c:v>372.7</c:v>
                </c:pt>
                <c:pt idx="6060">
                  <c:v>372.3</c:v>
                </c:pt>
                <c:pt idx="6061">
                  <c:v>374</c:v>
                </c:pt>
                <c:pt idx="6062">
                  <c:v>372.7</c:v>
                </c:pt>
                <c:pt idx="6063">
                  <c:v>374.8</c:v>
                </c:pt>
                <c:pt idx="6064">
                  <c:v>377.1</c:v>
                </c:pt>
                <c:pt idx="6065">
                  <c:v>382.5</c:v>
                </c:pt>
                <c:pt idx="6066">
                  <c:v>379</c:v>
                </c:pt>
                <c:pt idx="6067">
                  <c:v>376.6</c:v>
                </c:pt>
                <c:pt idx="6068">
                  <c:v>375.8</c:v>
                </c:pt>
                <c:pt idx="6069">
                  <c:v>374.2</c:v>
                </c:pt>
                <c:pt idx="6070">
                  <c:v>372.3</c:v>
                </c:pt>
                <c:pt idx="6071">
                  <c:v>371.9</c:v>
                </c:pt>
                <c:pt idx="6072">
                  <c:v>366.6</c:v>
                </c:pt>
                <c:pt idx="6073">
                  <c:v>363.9</c:v>
                </c:pt>
                <c:pt idx="6074">
                  <c:v>358.2</c:v>
                </c:pt>
                <c:pt idx="6075">
                  <c:v>357.1</c:v>
                </c:pt>
                <c:pt idx="6076">
                  <c:v>360.3</c:v>
                </c:pt>
                <c:pt idx="6077">
                  <c:v>359.5</c:v>
                </c:pt>
                <c:pt idx="6078">
                  <c:v>360.9</c:v>
                </c:pt>
                <c:pt idx="6079">
                  <c:v>360.7</c:v>
                </c:pt>
                <c:pt idx="6080">
                  <c:v>362.1</c:v>
                </c:pt>
                <c:pt idx="6081">
                  <c:v>364</c:v>
                </c:pt>
                <c:pt idx="6082">
                  <c:v>364</c:v>
                </c:pt>
                <c:pt idx="6083">
                  <c:v>362</c:v>
                </c:pt>
                <c:pt idx="6084">
                  <c:v>362.8</c:v>
                </c:pt>
                <c:pt idx="6085">
                  <c:v>361.5</c:v>
                </c:pt>
                <c:pt idx="6086">
                  <c:v>362.9</c:v>
                </c:pt>
                <c:pt idx="6088">
                  <c:v>339.8</c:v>
                </c:pt>
                <c:pt idx="6089">
                  <c:v>345.2</c:v>
                </c:pt>
                <c:pt idx="6090">
                  <c:v>345.9</c:v>
                </c:pt>
                <c:pt idx="6091">
                  <c:v>349.5</c:v>
                </c:pt>
                <c:pt idx="6092">
                  <c:v>353.2</c:v>
                </c:pt>
                <c:pt idx="6093">
                  <c:v>353.5</c:v>
                </c:pt>
                <c:pt idx="6094">
                  <c:v>355.2</c:v>
                </c:pt>
                <c:pt idx="6095">
                  <c:v>356.3</c:v>
                </c:pt>
                <c:pt idx="6096">
                  <c:v>358.2</c:v>
                </c:pt>
                <c:pt idx="6097">
                  <c:v>359.1</c:v>
                </c:pt>
                <c:pt idx="6098">
                  <c:v>363.8</c:v>
                </c:pt>
                <c:pt idx="6099">
                  <c:v>367</c:v>
                </c:pt>
                <c:pt idx="6100">
                  <c:v>369.8</c:v>
                </c:pt>
                <c:pt idx="6101">
                  <c:v>373.7</c:v>
                </c:pt>
                <c:pt idx="6102">
                  <c:v>376.3</c:v>
                </c:pt>
                <c:pt idx="6103">
                  <c:v>375.5</c:v>
                </c:pt>
                <c:pt idx="6104">
                  <c:v>372.6</c:v>
                </c:pt>
                <c:pt idx="6105">
                  <c:v>372</c:v>
                </c:pt>
                <c:pt idx="6106">
                  <c:v>367.7</c:v>
                </c:pt>
                <c:pt idx="6107">
                  <c:v>364.5</c:v>
                </c:pt>
                <c:pt idx="6108">
                  <c:v>363.2</c:v>
                </c:pt>
                <c:pt idx="6109">
                  <c:v>362.7</c:v>
                </c:pt>
                <c:pt idx="6110">
                  <c:v>359.1</c:v>
                </c:pt>
                <c:pt idx="6111">
                  <c:v>358.4</c:v>
                </c:pt>
                <c:pt idx="6112">
                  <c:v>353.6</c:v>
                </c:pt>
                <c:pt idx="6113">
                  <c:v>351.9</c:v>
                </c:pt>
                <c:pt idx="6114">
                  <c:v>352.5</c:v>
                </c:pt>
                <c:pt idx="6115">
                  <c:v>347.3</c:v>
                </c:pt>
                <c:pt idx="6116">
                  <c:v>346.9</c:v>
                </c:pt>
                <c:pt idx="6117">
                  <c:v>344.8</c:v>
                </c:pt>
                <c:pt idx="6118">
                  <c:v>346.2</c:v>
                </c:pt>
                <c:pt idx="6119">
                  <c:v>343.2</c:v>
                </c:pt>
                <c:pt idx="6120">
                  <c:v>341.5</c:v>
                </c:pt>
                <c:pt idx="6121">
                  <c:v>339.9</c:v>
                </c:pt>
                <c:pt idx="6122">
                  <c:v>336.1</c:v>
                </c:pt>
                <c:pt idx="6123">
                  <c:v>334</c:v>
                </c:pt>
                <c:pt idx="6124">
                  <c:v>333.9</c:v>
                </c:pt>
                <c:pt idx="6125">
                  <c:v>337</c:v>
                </c:pt>
                <c:pt idx="6126">
                  <c:v>339.8</c:v>
                </c:pt>
                <c:pt idx="6128">
                  <c:v>330.3</c:v>
                </c:pt>
                <c:pt idx="6129">
                  <c:v>334.2</c:v>
                </c:pt>
                <c:pt idx="6130">
                  <c:v>337.8</c:v>
                </c:pt>
                <c:pt idx="6131">
                  <c:v>339.2</c:v>
                </c:pt>
                <c:pt idx="6132">
                  <c:v>340.8</c:v>
                </c:pt>
                <c:pt idx="6133">
                  <c:v>341.8</c:v>
                </c:pt>
                <c:pt idx="6134">
                  <c:v>345.7</c:v>
                </c:pt>
                <c:pt idx="6135">
                  <c:v>350.3</c:v>
                </c:pt>
                <c:pt idx="6136">
                  <c:v>352.6</c:v>
                </c:pt>
                <c:pt idx="6137">
                  <c:v>359.3</c:v>
                </c:pt>
                <c:pt idx="6138">
                  <c:v>359.6</c:v>
                </c:pt>
                <c:pt idx="6139">
                  <c:v>362.9</c:v>
                </c:pt>
                <c:pt idx="6140">
                  <c:v>370.2</c:v>
                </c:pt>
                <c:pt idx="6141">
                  <c:v>371.9</c:v>
                </c:pt>
                <c:pt idx="6142">
                  <c:v>374.3</c:v>
                </c:pt>
                <c:pt idx="6143">
                  <c:v>375.6</c:v>
                </c:pt>
                <c:pt idx="6144">
                  <c:v>374.3</c:v>
                </c:pt>
                <c:pt idx="6145">
                  <c:v>371.6</c:v>
                </c:pt>
                <c:pt idx="6146">
                  <c:v>374.7</c:v>
                </c:pt>
                <c:pt idx="6147">
                  <c:v>373.5</c:v>
                </c:pt>
                <c:pt idx="6148">
                  <c:v>375.8</c:v>
                </c:pt>
                <c:pt idx="6149">
                  <c:v>374.2</c:v>
                </c:pt>
                <c:pt idx="6150">
                  <c:v>369.8</c:v>
                </c:pt>
                <c:pt idx="6151">
                  <c:v>367</c:v>
                </c:pt>
                <c:pt idx="6152">
                  <c:v>363.8</c:v>
                </c:pt>
                <c:pt idx="6153">
                  <c:v>359.1</c:v>
                </c:pt>
                <c:pt idx="6154">
                  <c:v>358.2</c:v>
                </c:pt>
                <c:pt idx="6155">
                  <c:v>356.3</c:v>
                </c:pt>
                <c:pt idx="6156">
                  <c:v>355.2</c:v>
                </c:pt>
                <c:pt idx="6157">
                  <c:v>353.5</c:v>
                </c:pt>
                <c:pt idx="6158">
                  <c:v>353.6</c:v>
                </c:pt>
                <c:pt idx="6159">
                  <c:v>352.1</c:v>
                </c:pt>
                <c:pt idx="6160">
                  <c:v>345.9</c:v>
                </c:pt>
                <c:pt idx="6161">
                  <c:v>345.2</c:v>
                </c:pt>
                <c:pt idx="6162">
                  <c:v>337.2</c:v>
                </c:pt>
                <c:pt idx="6163">
                  <c:v>333.3</c:v>
                </c:pt>
                <c:pt idx="6164">
                  <c:v>329.1</c:v>
                </c:pt>
                <c:pt idx="6165">
                  <c:v>326.8</c:v>
                </c:pt>
                <c:pt idx="6166">
                  <c:v>324.2</c:v>
                </c:pt>
                <c:pt idx="6167">
                  <c:v>322.7</c:v>
                </c:pt>
                <c:pt idx="6168">
                  <c:v>327.2</c:v>
                </c:pt>
                <c:pt idx="6169">
                  <c:v>324.5</c:v>
                </c:pt>
                <c:pt idx="6170">
                  <c:v>327.10000000000002</c:v>
                </c:pt>
                <c:pt idx="6171">
                  <c:v>327.39999999999998</c:v>
                </c:pt>
                <c:pt idx="6172">
                  <c:v>329.6</c:v>
                </c:pt>
                <c:pt idx="6173">
                  <c:v>330.3</c:v>
                </c:pt>
                <c:pt idx="6175">
                  <c:v>386.4</c:v>
                </c:pt>
                <c:pt idx="6176">
                  <c:v>389</c:v>
                </c:pt>
                <c:pt idx="6177">
                  <c:v>390.9</c:v>
                </c:pt>
                <c:pt idx="6178">
                  <c:v>394.4</c:v>
                </c:pt>
                <c:pt idx="6179">
                  <c:v>396.2</c:v>
                </c:pt>
                <c:pt idx="6180">
                  <c:v>396.3</c:v>
                </c:pt>
                <c:pt idx="6181">
                  <c:v>398.3</c:v>
                </c:pt>
                <c:pt idx="6182">
                  <c:v>398</c:v>
                </c:pt>
                <c:pt idx="6183">
                  <c:v>399.9</c:v>
                </c:pt>
                <c:pt idx="6184">
                  <c:v>402.7</c:v>
                </c:pt>
                <c:pt idx="6185">
                  <c:v>404.9</c:v>
                </c:pt>
                <c:pt idx="6186">
                  <c:v>404.6</c:v>
                </c:pt>
                <c:pt idx="6187">
                  <c:v>406.5</c:v>
                </c:pt>
                <c:pt idx="6188">
                  <c:v>407.2</c:v>
                </c:pt>
                <c:pt idx="6189">
                  <c:v>400.6</c:v>
                </c:pt>
                <c:pt idx="6190">
                  <c:v>397.9</c:v>
                </c:pt>
                <c:pt idx="6191">
                  <c:v>396.6</c:v>
                </c:pt>
                <c:pt idx="6192">
                  <c:v>391.9</c:v>
                </c:pt>
                <c:pt idx="6193">
                  <c:v>389.6</c:v>
                </c:pt>
                <c:pt idx="6194">
                  <c:v>392.2</c:v>
                </c:pt>
                <c:pt idx="6195">
                  <c:v>390.7</c:v>
                </c:pt>
                <c:pt idx="6196">
                  <c:v>388.7</c:v>
                </c:pt>
                <c:pt idx="6197">
                  <c:v>387.3</c:v>
                </c:pt>
                <c:pt idx="6198">
                  <c:v>382.3</c:v>
                </c:pt>
                <c:pt idx="6199">
                  <c:v>378</c:v>
                </c:pt>
                <c:pt idx="6200">
                  <c:v>375.5</c:v>
                </c:pt>
                <c:pt idx="6201">
                  <c:v>374.6</c:v>
                </c:pt>
                <c:pt idx="6202">
                  <c:v>375.9</c:v>
                </c:pt>
                <c:pt idx="6203">
                  <c:v>373.5</c:v>
                </c:pt>
                <c:pt idx="6204">
                  <c:v>374.7</c:v>
                </c:pt>
                <c:pt idx="6205">
                  <c:v>371.6</c:v>
                </c:pt>
                <c:pt idx="6206">
                  <c:v>374.3</c:v>
                </c:pt>
                <c:pt idx="6207">
                  <c:v>374.5</c:v>
                </c:pt>
                <c:pt idx="6208">
                  <c:v>379</c:v>
                </c:pt>
                <c:pt idx="6209">
                  <c:v>381.7</c:v>
                </c:pt>
                <c:pt idx="6210">
                  <c:v>383.6</c:v>
                </c:pt>
                <c:pt idx="6211">
                  <c:v>382.2</c:v>
                </c:pt>
                <c:pt idx="6212">
                  <c:v>383.7</c:v>
                </c:pt>
                <c:pt idx="6213">
                  <c:v>382.8</c:v>
                </c:pt>
                <c:pt idx="6214">
                  <c:v>384.7</c:v>
                </c:pt>
                <c:pt idx="6215">
                  <c:v>382.8</c:v>
                </c:pt>
                <c:pt idx="6216">
                  <c:v>384.3</c:v>
                </c:pt>
                <c:pt idx="6217">
                  <c:v>383.2</c:v>
                </c:pt>
                <c:pt idx="6218">
                  <c:v>385</c:v>
                </c:pt>
                <c:pt idx="6219">
                  <c:v>386.4</c:v>
                </c:pt>
                <c:pt idx="6221">
                  <c:v>400.9</c:v>
                </c:pt>
                <c:pt idx="6222">
                  <c:v>403</c:v>
                </c:pt>
                <c:pt idx="6223">
                  <c:v>405.3</c:v>
                </c:pt>
                <c:pt idx="6224">
                  <c:v>406</c:v>
                </c:pt>
                <c:pt idx="6225">
                  <c:v>407.5</c:v>
                </c:pt>
                <c:pt idx="6226">
                  <c:v>409.5</c:v>
                </c:pt>
                <c:pt idx="6227">
                  <c:v>408.9</c:v>
                </c:pt>
                <c:pt idx="6228">
                  <c:v>410.3</c:v>
                </c:pt>
                <c:pt idx="6229">
                  <c:v>410.2</c:v>
                </c:pt>
                <c:pt idx="6230">
                  <c:v>412.5</c:v>
                </c:pt>
                <c:pt idx="6231">
                  <c:v>408.8</c:v>
                </c:pt>
                <c:pt idx="6232">
                  <c:v>408.8</c:v>
                </c:pt>
                <c:pt idx="6233">
                  <c:v>410.8</c:v>
                </c:pt>
                <c:pt idx="6234">
                  <c:v>409.4</c:v>
                </c:pt>
                <c:pt idx="6235">
                  <c:v>405.3</c:v>
                </c:pt>
                <c:pt idx="6236">
                  <c:v>405.9</c:v>
                </c:pt>
                <c:pt idx="6237">
                  <c:v>404</c:v>
                </c:pt>
                <c:pt idx="6238">
                  <c:v>406.6</c:v>
                </c:pt>
                <c:pt idx="6239">
                  <c:v>405.6</c:v>
                </c:pt>
                <c:pt idx="6240">
                  <c:v>406.7</c:v>
                </c:pt>
                <c:pt idx="6241">
                  <c:v>404.8</c:v>
                </c:pt>
                <c:pt idx="6242">
                  <c:v>404.6</c:v>
                </c:pt>
                <c:pt idx="6243">
                  <c:v>400.8</c:v>
                </c:pt>
                <c:pt idx="6244">
                  <c:v>396.6</c:v>
                </c:pt>
                <c:pt idx="6245">
                  <c:v>396.2</c:v>
                </c:pt>
                <c:pt idx="6246">
                  <c:v>394.4</c:v>
                </c:pt>
                <c:pt idx="6247">
                  <c:v>390.9</c:v>
                </c:pt>
                <c:pt idx="6248">
                  <c:v>389</c:v>
                </c:pt>
                <c:pt idx="6249">
                  <c:v>385</c:v>
                </c:pt>
                <c:pt idx="6250">
                  <c:v>384.2</c:v>
                </c:pt>
                <c:pt idx="6251">
                  <c:v>385</c:v>
                </c:pt>
                <c:pt idx="6252">
                  <c:v>383.7</c:v>
                </c:pt>
                <c:pt idx="6253">
                  <c:v>393.7</c:v>
                </c:pt>
                <c:pt idx="6254">
                  <c:v>396.9</c:v>
                </c:pt>
                <c:pt idx="6255">
                  <c:v>400.9</c:v>
                </c:pt>
                <c:pt idx="6257">
                  <c:v>409.1</c:v>
                </c:pt>
                <c:pt idx="6258">
                  <c:v>413.6</c:v>
                </c:pt>
                <c:pt idx="6259">
                  <c:v>416</c:v>
                </c:pt>
                <c:pt idx="6260">
                  <c:v>418.6</c:v>
                </c:pt>
                <c:pt idx="6261">
                  <c:v>422</c:v>
                </c:pt>
                <c:pt idx="6262">
                  <c:v>420.9</c:v>
                </c:pt>
                <c:pt idx="6263">
                  <c:v>424.7</c:v>
                </c:pt>
                <c:pt idx="6264">
                  <c:v>422.9</c:v>
                </c:pt>
                <c:pt idx="6265">
                  <c:v>422.6</c:v>
                </c:pt>
                <c:pt idx="6266">
                  <c:v>418.2</c:v>
                </c:pt>
                <c:pt idx="6267">
                  <c:v>417.7</c:v>
                </c:pt>
                <c:pt idx="6268">
                  <c:v>411.6</c:v>
                </c:pt>
                <c:pt idx="6269">
                  <c:v>410.5</c:v>
                </c:pt>
                <c:pt idx="6270">
                  <c:v>411.1</c:v>
                </c:pt>
                <c:pt idx="6271">
                  <c:v>410</c:v>
                </c:pt>
                <c:pt idx="6272">
                  <c:v>407</c:v>
                </c:pt>
                <c:pt idx="6273">
                  <c:v>407.2</c:v>
                </c:pt>
                <c:pt idx="6274">
                  <c:v>404.6</c:v>
                </c:pt>
                <c:pt idx="6275">
                  <c:v>404.9</c:v>
                </c:pt>
                <c:pt idx="6276">
                  <c:v>402.7</c:v>
                </c:pt>
                <c:pt idx="6277">
                  <c:v>400</c:v>
                </c:pt>
                <c:pt idx="6278">
                  <c:v>397.9</c:v>
                </c:pt>
                <c:pt idx="6279">
                  <c:v>399.1</c:v>
                </c:pt>
                <c:pt idx="6280">
                  <c:v>402.9</c:v>
                </c:pt>
                <c:pt idx="6281">
                  <c:v>404.6</c:v>
                </c:pt>
                <c:pt idx="6282">
                  <c:v>404.8</c:v>
                </c:pt>
                <c:pt idx="6283">
                  <c:v>406.7</c:v>
                </c:pt>
                <c:pt idx="6284">
                  <c:v>405.6</c:v>
                </c:pt>
                <c:pt idx="6285">
                  <c:v>406.6</c:v>
                </c:pt>
                <c:pt idx="6286">
                  <c:v>404</c:v>
                </c:pt>
                <c:pt idx="6287">
                  <c:v>405.9</c:v>
                </c:pt>
                <c:pt idx="6288">
                  <c:v>405.4</c:v>
                </c:pt>
                <c:pt idx="6289">
                  <c:v>409.1</c:v>
                </c:pt>
                <c:pt idx="6291">
                  <c:v>386.4</c:v>
                </c:pt>
                <c:pt idx="6292">
                  <c:v>384.2</c:v>
                </c:pt>
                <c:pt idx="6293">
                  <c:v>384.7</c:v>
                </c:pt>
                <c:pt idx="6294">
                  <c:v>382.8</c:v>
                </c:pt>
                <c:pt idx="6295">
                  <c:v>382.6</c:v>
                </c:pt>
                <c:pt idx="6296">
                  <c:v>385.3</c:v>
                </c:pt>
                <c:pt idx="6297">
                  <c:v>388.3</c:v>
                </c:pt>
                <c:pt idx="6298">
                  <c:v>389.1</c:v>
                </c:pt>
                <c:pt idx="6299">
                  <c:v>388.2</c:v>
                </c:pt>
                <c:pt idx="6300">
                  <c:v>386.8</c:v>
                </c:pt>
                <c:pt idx="6301">
                  <c:v>383.8</c:v>
                </c:pt>
                <c:pt idx="6302">
                  <c:v>379.9</c:v>
                </c:pt>
                <c:pt idx="6303">
                  <c:v>374.6</c:v>
                </c:pt>
                <c:pt idx="6304">
                  <c:v>371.4</c:v>
                </c:pt>
                <c:pt idx="6305">
                  <c:v>369.8</c:v>
                </c:pt>
                <c:pt idx="6306">
                  <c:v>366.4</c:v>
                </c:pt>
                <c:pt idx="6307">
                  <c:v>363.8</c:v>
                </c:pt>
                <c:pt idx="6308">
                  <c:v>354.9</c:v>
                </c:pt>
                <c:pt idx="6309">
                  <c:v>350.2</c:v>
                </c:pt>
                <c:pt idx="6310">
                  <c:v>344.5</c:v>
                </c:pt>
                <c:pt idx="6311">
                  <c:v>343.7</c:v>
                </c:pt>
                <c:pt idx="6312">
                  <c:v>346.9</c:v>
                </c:pt>
                <c:pt idx="6313">
                  <c:v>351.1</c:v>
                </c:pt>
                <c:pt idx="6314">
                  <c:v>352.1</c:v>
                </c:pt>
                <c:pt idx="6315">
                  <c:v>357.3</c:v>
                </c:pt>
                <c:pt idx="6316">
                  <c:v>359</c:v>
                </c:pt>
                <c:pt idx="6317">
                  <c:v>360.1</c:v>
                </c:pt>
                <c:pt idx="6318">
                  <c:v>364.5</c:v>
                </c:pt>
                <c:pt idx="6319">
                  <c:v>366.6</c:v>
                </c:pt>
                <c:pt idx="6320">
                  <c:v>371.9</c:v>
                </c:pt>
                <c:pt idx="6321">
                  <c:v>372.3</c:v>
                </c:pt>
                <c:pt idx="6322">
                  <c:v>374.2</c:v>
                </c:pt>
                <c:pt idx="6323">
                  <c:v>375.8</c:v>
                </c:pt>
                <c:pt idx="6324">
                  <c:v>376.6</c:v>
                </c:pt>
                <c:pt idx="6325">
                  <c:v>379</c:v>
                </c:pt>
                <c:pt idx="6326">
                  <c:v>382</c:v>
                </c:pt>
                <c:pt idx="6327">
                  <c:v>386.4</c:v>
                </c:pt>
                <c:pt idx="6329">
                  <c:v>331.4</c:v>
                </c:pt>
                <c:pt idx="6330">
                  <c:v>336.9</c:v>
                </c:pt>
                <c:pt idx="6331">
                  <c:v>339.8</c:v>
                </c:pt>
                <c:pt idx="6332">
                  <c:v>338.7</c:v>
                </c:pt>
                <c:pt idx="6333">
                  <c:v>334.3</c:v>
                </c:pt>
                <c:pt idx="6334">
                  <c:v>331.1</c:v>
                </c:pt>
                <c:pt idx="6335">
                  <c:v>335.3</c:v>
                </c:pt>
                <c:pt idx="6336">
                  <c:v>335.3</c:v>
                </c:pt>
                <c:pt idx="6337">
                  <c:v>333.6</c:v>
                </c:pt>
                <c:pt idx="6338">
                  <c:v>328.3</c:v>
                </c:pt>
                <c:pt idx="6339">
                  <c:v>329.2</c:v>
                </c:pt>
                <c:pt idx="6340">
                  <c:v>332.5</c:v>
                </c:pt>
                <c:pt idx="6341">
                  <c:v>331.5</c:v>
                </c:pt>
                <c:pt idx="6342">
                  <c:v>329.4</c:v>
                </c:pt>
                <c:pt idx="6343">
                  <c:v>328.3</c:v>
                </c:pt>
                <c:pt idx="6344">
                  <c:v>324.3</c:v>
                </c:pt>
                <c:pt idx="6345">
                  <c:v>320.5</c:v>
                </c:pt>
                <c:pt idx="6346">
                  <c:v>318.7</c:v>
                </c:pt>
                <c:pt idx="6347">
                  <c:v>317.60000000000002</c:v>
                </c:pt>
                <c:pt idx="6348">
                  <c:v>313.7</c:v>
                </c:pt>
                <c:pt idx="6349">
                  <c:v>311.60000000000002</c:v>
                </c:pt>
                <c:pt idx="6350">
                  <c:v>311.8</c:v>
                </c:pt>
                <c:pt idx="6351">
                  <c:v>315.39999999999998</c:v>
                </c:pt>
                <c:pt idx="6352">
                  <c:v>314.8</c:v>
                </c:pt>
                <c:pt idx="6353">
                  <c:v>311.60000000000002</c:v>
                </c:pt>
                <c:pt idx="6354">
                  <c:v>313.10000000000002</c:v>
                </c:pt>
                <c:pt idx="6355">
                  <c:v>311.89999999999998</c:v>
                </c:pt>
                <c:pt idx="6356">
                  <c:v>315.8</c:v>
                </c:pt>
                <c:pt idx="6357">
                  <c:v>316.5</c:v>
                </c:pt>
                <c:pt idx="6358">
                  <c:v>319.5</c:v>
                </c:pt>
                <c:pt idx="6359">
                  <c:v>319.39999999999998</c:v>
                </c:pt>
                <c:pt idx="6360">
                  <c:v>321.2</c:v>
                </c:pt>
                <c:pt idx="6361">
                  <c:v>322.2</c:v>
                </c:pt>
                <c:pt idx="6362">
                  <c:v>329.5</c:v>
                </c:pt>
                <c:pt idx="6363">
                  <c:v>331.4</c:v>
                </c:pt>
                <c:pt idx="6365">
                  <c:v>318.60000000000002</c:v>
                </c:pt>
                <c:pt idx="6366">
                  <c:v>322.89999999999998</c:v>
                </c:pt>
                <c:pt idx="6367">
                  <c:v>327.9</c:v>
                </c:pt>
                <c:pt idx="6368">
                  <c:v>332.1</c:v>
                </c:pt>
                <c:pt idx="6369">
                  <c:v>331.9</c:v>
                </c:pt>
                <c:pt idx="6370">
                  <c:v>330.2</c:v>
                </c:pt>
                <c:pt idx="6371">
                  <c:v>329.5</c:v>
                </c:pt>
                <c:pt idx="6372">
                  <c:v>321.60000000000002</c:v>
                </c:pt>
                <c:pt idx="6373">
                  <c:v>321.39999999999998</c:v>
                </c:pt>
                <c:pt idx="6374">
                  <c:v>319.5</c:v>
                </c:pt>
                <c:pt idx="6375">
                  <c:v>316.5</c:v>
                </c:pt>
                <c:pt idx="6376">
                  <c:v>315.8</c:v>
                </c:pt>
                <c:pt idx="6377">
                  <c:v>312.3</c:v>
                </c:pt>
                <c:pt idx="6378">
                  <c:v>313.10000000000002</c:v>
                </c:pt>
                <c:pt idx="6379">
                  <c:v>311.8</c:v>
                </c:pt>
                <c:pt idx="6380">
                  <c:v>308.8</c:v>
                </c:pt>
                <c:pt idx="6381">
                  <c:v>308.3</c:v>
                </c:pt>
                <c:pt idx="6382">
                  <c:v>304.3</c:v>
                </c:pt>
                <c:pt idx="6383">
                  <c:v>305.10000000000002</c:v>
                </c:pt>
                <c:pt idx="6384">
                  <c:v>301.60000000000002</c:v>
                </c:pt>
                <c:pt idx="6385">
                  <c:v>302.39999999999998</c:v>
                </c:pt>
                <c:pt idx="6386">
                  <c:v>305.2</c:v>
                </c:pt>
                <c:pt idx="6387">
                  <c:v>305.5</c:v>
                </c:pt>
                <c:pt idx="6388">
                  <c:v>307.2</c:v>
                </c:pt>
                <c:pt idx="6389">
                  <c:v>310.7</c:v>
                </c:pt>
                <c:pt idx="6390">
                  <c:v>312.3</c:v>
                </c:pt>
                <c:pt idx="6391">
                  <c:v>311.89999999999998</c:v>
                </c:pt>
                <c:pt idx="6392">
                  <c:v>314.5</c:v>
                </c:pt>
                <c:pt idx="6393">
                  <c:v>314.5</c:v>
                </c:pt>
                <c:pt idx="6394">
                  <c:v>317</c:v>
                </c:pt>
                <c:pt idx="6395">
                  <c:v>318.60000000000002</c:v>
                </c:pt>
                <c:pt idx="6397">
                  <c:v>341.3</c:v>
                </c:pt>
                <c:pt idx="6398">
                  <c:v>347</c:v>
                </c:pt>
                <c:pt idx="6399">
                  <c:v>347.3</c:v>
                </c:pt>
                <c:pt idx="6400">
                  <c:v>352.7</c:v>
                </c:pt>
                <c:pt idx="6401">
                  <c:v>351.9</c:v>
                </c:pt>
                <c:pt idx="6402">
                  <c:v>353.6</c:v>
                </c:pt>
                <c:pt idx="6403">
                  <c:v>345.9</c:v>
                </c:pt>
                <c:pt idx="6404">
                  <c:v>343.8</c:v>
                </c:pt>
                <c:pt idx="6405">
                  <c:v>344.3</c:v>
                </c:pt>
                <c:pt idx="6406">
                  <c:v>341.4</c:v>
                </c:pt>
                <c:pt idx="6407">
                  <c:v>338.5</c:v>
                </c:pt>
                <c:pt idx="6408">
                  <c:v>339.2</c:v>
                </c:pt>
                <c:pt idx="6409">
                  <c:v>337.2</c:v>
                </c:pt>
                <c:pt idx="6410">
                  <c:v>332.4</c:v>
                </c:pt>
                <c:pt idx="6411">
                  <c:v>332.1</c:v>
                </c:pt>
                <c:pt idx="6412">
                  <c:v>329.8</c:v>
                </c:pt>
                <c:pt idx="6413">
                  <c:v>325.39999999999998</c:v>
                </c:pt>
                <c:pt idx="6414">
                  <c:v>325.3</c:v>
                </c:pt>
                <c:pt idx="6415">
                  <c:v>323</c:v>
                </c:pt>
                <c:pt idx="6416">
                  <c:v>323.8</c:v>
                </c:pt>
                <c:pt idx="6417">
                  <c:v>322.39999999999998</c:v>
                </c:pt>
                <c:pt idx="6418">
                  <c:v>326.39999999999998</c:v>
                </c:pt>
                <c:pt idx="6419">
                  <c:v>329.1</c:v>
                </c:pt>
                <c:pt idx="6420">
                  <c:v>332.9</c:v>
                </c:pt>
                <c:pt idx="6421">
                  <c:v>338</c:v>
                </c:pt>
                <c:pt idx="6422">
                  <c:v>340.5</c:v>
                </c:pt>
                <c:pt idx="6423">
                  <c:v>341.3</c:v>
                </c:pt>
                <c:pt idx="6425">
                  <c:v>337.5</c:v>
                </c:pt>
                <c:pt idx="6426">
                  <c:v>339.6</c:v>
                </c:pt>
                <c:pt idx="6427">
                  <c:v>339.1</c:v>
                </c:pt>
                <c:pt idx="6428">
                  <c:v>346.6</c:v>
                </c:pt>
                <c:pt idx="6429">
                  <c:v>349.2</c:v>
                </c:pt>
                <c:pt idx="6430">
                  <c:v>350.8</c:v>
                </c:pt>
                <c:pt idx="6431">
                  <c:v>350.4</c:v>
                </c:pt>
                <c:pt idx="6432">
                  <c:v>343.4</c:v>
                </c:pt>
                <c:pt idx="6433">
                  <c:v>343.8</c:v>
                </c:pt>
                <c:pt idx="6434">
                  <c:v>341</c:v>
                </c:pt>
                <c:pt idx="6435">
                  <c:v>340.6</c:v>
                </c:pt>
                <c:pt idx="6436">
                  <c:v>337.4</c:v>
                </c:pt>
                <c:pt idx="6437">
                  <c:v>338.2</c:v>
                </c:pt>
                <c:pt idx="6438">
                  <c:v>335.7</c:v>
                </c:pt>
                <c:pt idx="6439">
                  <c:v>330.4</c:v>
                </c:pt>
                <c:pt idx="6440">
                  <c:v>329.5</c:v>
                </c:pt>
                <c:pt idx="6441">
                  <c:v>327.39999999999998</c:v>
                </c:pt>
                <c:pt idx="6442">
                  <c:v>327.10000000000002</c:v>
                </c:pt>
                <c:pt idx="6443">
                  <c:v>324.5</c:v>
                </c:pt>
                <c:pt idx="6444">
                  <c:v>320.39999999999998</c:v>
                </c:pt>
                <c:pt idx="6445">
                  <c:v>320.5</c:v>
                </c:pt>
                <c:pt idx="6446">
                  <c:v>323.5</c:v>
                </c:pt>
                <c:pt idx="6447">
                  <c:v>323.39999999999998</c:v>
                </c:pt>
                <c:pt idx="6448">
                  <c:v>320.39999999999998</c:v>
                </c:pt>
                <c:pt idx="6449">
                  <c:v>324.39999999999998</c:v>
                </c:pt>
                <c:pt idx="6450">
                  <c:v>324.5</c:v>
                </c:pt>
                <c:pt idx="6451">
                  <c:v>326.39999999999998</c:v>
                </c:pt>
                <c:pt idx="6452">
                  <c:v>327.9</c:v>
                </c:pt>
                <c:pt idx="6453">
                  <c:v>325.5</c:v>
                </c:pt>
                <c:pt idx="6454">
                  <c:v>327</c:v>
                </c:pt>
                <c:pt idx="6455">
                  <c:v>326.60000000000002</c:v>
                </c:pt>
                <c:pt idx="6456">
                  <c:v>329.8</c:v>
                </c:pt>
                <c:pt idx="6457">
                  <c:v>329.7</c:v>
                </c:pt>
                <c:pt idx="6458">
                  <c:v>331</c:v>
                </c:pt>
                <c:pt idx="6459">
                  <c:v>334.4</c:v>
                </c:pt>
                <c:pt idx="6460">
                  <c:v>337.5</c:v>
                </c:pt>
                <c:pt idx="6462">
                  <c:v>393.5</c:v>
                </c:pt>
                <c:pt idx="6463">
                  <c:v>399.5</c:v>
                </c:pt>
                <c:pt idx="6464">
                  <c:v>401.2</c:v>
                </c:pt>
                <c:pt idx="6465">
                  <c:v>399.6</c:v>
                </c:pt>
                <c:pt idx="6466">
                  <c:v>396.6</c:v>
                </c:pt>
                <c:pt idx="6467">
                  <c:v>392.4</c:v>
                </c:pt>
                <c:pt idx="6468">
                  <c:v>393.3</c:v>
                </c:pt>
                <c:pt idx="6469">
                  <c:v>391.7</c:v>
                </c:pt>
                <c:pt idx="6470">
                  <c:v>397</c:v>
                </c:pt>
                <c:pt idx="6471">
                  <c:v>398.6</c:v>
                </c:pt>
                <c:pt idx="6472">
                  <c:v>396.9</c:v>
                </c:pt>
                <c:pt idx="6473">
                  <c:v>393.7</c:v>
                </c:pt>
                <c:pt idx="6474">
                  <c:v>383.7</c:v>
                </c:pt>
                <c:pt idx="6475">
                  <c:v>384.2</c:v>
                </c:pt>
                <c:pt idx="6476">
                  <c:v>381.9</c:v>
                </c:pt>
                <c:pt idx="6477">
                  <c:v>380.6</c:v>
                </c:pt>
                <c:pt idx="6478">
                  <c:v>375.4</c:v>
                </c:pt>
                <c:pt idx="6479">
                  <c:v>371</c:v>
                </c:pt>
                <c:pt idx="6480">
                  <c:v>369.4</c:v>
                </c:pt>
                <c:pt idx="6481">
                  <c:v>368.6</c:v>
                </c:pt>
                <c:pt idx="6482">
                  <c:v>367.8</c:v>
                </c:pt>
                <c:pt idx="6483">
                  <c:v>364.4</c:v>
                </c:pt>
                <c:pt idx="6484">
                  <c:v>363</c:v>
                </c:pt>
                <c:pt idx="6485">
                  <c:v>361.2</c:v>
                </c:pt>
                <c:pt idx="6486">
                  <c:v>361.2</c:v>
                </c:pt>
                <c:pt idx="6487">
                  <c:v>359.9</c:v>
                </c:pt>
                <c:pt idx="6488">
                  <c:v>361.9</c:v>
                </c:pt>
                <c:pt idx="6489">
                  <c:v>361.1</c:v>
                </c:pt>
                <c:pt idx="6490">
                  <c:v>357.4</c:v>
                </c:pt>
                <c:pt idx="6491">
                  <c:v>356.5</c:v>
                </c:pt>
                <c:pt idx="6492">
                  <c:v>353.8</c:v>
                </c:pt>
                <c:pt idx="6493">
                  <c:v>354.9</c:v>
                </c:pt>
                <c:pt idx="6494">
                  <c:v>353.3</c:v>
                </c:pt>
                <c:pt idx="6495">
                  <c:v>356.2</c:v>
                </c:pt>
                <c:pt idx="6496">
                  <c:v>355.2</c:v>
                </c:pt>
                <c:pt idx="6497">
                  <c:v>358.1</c:v>
                </c:pt>
                <c:pt idx="6498">
                  <c:v>358.9</c:v>
                </c:pt>
                <c:pt idx="6499">
                  <c:v>360.4</c:v>
                </c:pt>
                <c:pt idx="6500">
                  <c:v>363.5</c:v>
                </c:pt>
                <c:pt idx="6501">
                  <c:v>363.7</c:v>
                </c:pt>
                <c:pt idx="6502">
                  <c:v>364.5</c:v>
                </c:pt>
                <c:pt idx="6503">
                  <c:v>365.8</c:v>
                </c:pt>
                <c:pt idx="6504">
                  <c:v>370.1</c:v>
                </c:pt>
                <c:pt idx="6505">
                  <c:v>371.6</c:v>
                </c:pt>
                <c:pt idx="6506">
                  <c:v>375.9</c:v>
                </c:pt>
                <c:pt idx="6507">
                  <c:v>378.3</c:v>
                </c:pt>
                <c:pt idx="6508">
                  <c:v>390</c:v>
                </c:pt>
                <c:pt idx="6509">
                  <c:v>393.5</c:v>
                </c:pt>
                <c:pt idx="6511">
                  <c:v>422.2</c:v>
                </c:pt>
                <c:pt idx="6512">
                  <c:v>420.8</c:v>
                </c:pt>
                <c:pt idx="6513">
                  <c:v>421.3</c:v>
                </c:pt>
                <c:pt idx="6514">
                  <c:v>426.8</c:v>
                </c:pt>
                <c:pt idx="6515">
                  <c:v>426.6</c:v>
                </c:pt>
                <c:pt idx="6516">
                  <c:v>422</c:v>
                </c:pt>
                <c:pt idx="6517">
                  <c:v>418.6</c:v>
                </c:pt>
                <c:pt idx="6518">
                  <c:v>416</c:v>
                </c:pt>
                <c:pt idx="6519">
                  <c:v>408.5</c:v>
                </c:pt>
                <c:pt idx="6520">
                  <c:v>410.8</c:v>
                </c:pt>
                <c:pt idx="6521">
                  <c:v>408.8</c:v>
                </c:pt>
                <c:pt idx="6522">
                  <c:v>408.8</c:v>
                </c:pt>
                <c:pt idx="6523">
                  <c:v>412.5</c:v>
                </c:pt>
                <c:pt idx="6524">
                  <c:v>410.2</c:v>
                </c:pt>
                <c:pt idx="6525">
                  <c:v>410.3</c:v>
                </c:pt>
                <c:pt idx="6526">
                  <c:v>408.9</c:v>
                </c:pt>
                <c:pt idx="6527">
                  <c:v>409.5</c:v>
                </c:pt>
                <c:pt idx="6528">
                  <c:v>407.5</c:v>
                </c:pt>
                <c:pt idx="6529">
                  <c:v>406</c:v>
                </c:pt>
                <c:pt idx="6530">
                  <c:v>405.3</c:v>
                </c:pt>
                <c:pt idx="6531">
                  <c:v>403</c:v>
                </c:pt>
                <c:pt idx="6532">
                  <c:v>401.7</c:v>
                </c:pt>
                <c:pt idx="6533">
                  <c:v>398.9</c:v>
                </c:pt>
                <c:pt idx="6534">
                  <c:v>397</c:v>
                </c:pt>
                <c:pt idx="6535">
                  <c:v>391.7</c:v>
                </c:pt>
                <c:pt idx="6536">
                  <c:v>393.1</c:v>
                </c:pt>
                <c:pt idx="6537">
                  <c:v>393.1</c:v>
                </c:pt>
                <c:pt idx="6538">
                  <c:v>396.6</c:v>
                </c:pt>
                <c:pt idx="6539">
                  <c:v>399</c:v>
                </c:pt>
                <c:pt idx="6540">
                  <c:v>401.2</c:v>
                </c:pt>
                <c:pt idx="6541">
                  <c:v>405.8</c:v>
                </c:pt>
                <c:pt idx="6542">
                  <c:v>404.7</c:v>
                </c:pt>
                <c:pt idx="6543">
                  <c:v>408.8</c:v>
                </c:pt>
                <c:pt idx="6544">
                  <c:v>410.8</c:v>
                </c:pt>
                <c:pt idx="6545">
                  <c:v>414.7</c:v>
                </c:pt>
                <c:pt idx="6546">
                  <c:v>417.8</c:v>
                </c:pt>
                <c:pt idx="6547">
                  <c:v>418.2</c:v>
                </c:pt>
                <c:pt idx="6548">
                  <c:v>422.2</c:v>
                </c:pt>
                <c:pt idx="6550">
                  <c:v>552.29999999999995</c:v>
                </c:pt>
                <c:pt idx="6551">
                  <c:v>553.1</c:v>
                </c:pt>
                <c:pt idx="6552">
                  <c:v>549.1</c:v>
                </c:pt>
                <c:pt idx="6553">
                  <c:v>543.4</c:v>
                </c:pt>
                <c:pt idx="6554">
                  <c:v>541.9</c:v>
                </c:pt>
                <c:pt idx="6555">
                  <c:v>551.5</c:v>
                </c:pt>
                <c:pt idx="6556">
                  <c:v>552.29999999999995</c:v>
                </c:pt>
                <c:pt idx="6558">
                  <c:v>311.2</c:v>
                </c:pt>
                <c:pt idx="6559">
                  <c:v>313.10000000000002</c:v>
                </c:pt>
                <c:pt idx="6560">
                  <c:v>312.8</c:v>
                </c:pt>
                <c:pt idx="6561">
                  <c:v>314.5</c:v>
                </c:pt>
                <c:pt idx="6562">
                  <c:v>316</c:v>
                </c:pt>
                <c:pt idx="6563">
                  <c:v>323.2</c:v>
                </c:pt>
                <c:pt idx="6564">
                  <c:v>324.39999999999998</c:v>
                </c:pt>
                <c:pt idx="6565">
                  <c:v>326.3</c:v>
                </c:pt>
                <c:pt idx="6566">
                  <c:v>328.4</c:v>
                </c:pt>
                <c:pt idx="6567">
                  <c:v>329.7</c:v>
                </c:pt>
                <c:pt idx="6568">
                  <c:v>329.3</c:v>
                </c:pt>
                <c:pt idx="6569">
                  <c:v>328</c:v>
                </c:pt>
                <c:pt idx="6570">
                  <c:v>321.5</c:v>
                </c:pt>
                <c:pt idx="6571">
                  <c:v>316</c:v>
                </c:pt>
                <c:pt idx="6572">
                  <c:v>313.89999999999998</c:v>
                </c:pt>
                <c:pt idx="6573">
                  <c:v>316</c:v>
                </c:pt>
                <c:pt idx="6574">
                  <c:v>313.60000000000002</c:v>
                </c:pt>
                <c:pt idx="6575">
                  <c:v>310.5</c:v>
                </c:pt>
                <c:pt idx="6576">
                  <c:v>312.60000000000002</c:v>
                </c:pt>
                <c:pt idx="6577">
                  <c:v>310.39999999999998</c:v>
                </c:pt>
                <c:pt idx="6578">
                  <c:v>305.5</c:v>
                </c:pt>
                <c:pt idx="6579">
                  <c:v>305.2</c:v>
                </c:pt>
                <c:pt idx="6580">
                  <c:v>301.89999999999998</c:v>
                </c:pt>
                <c:pt idx="6581">
                  <c:v>297.7</c:v>
                </c:pt>
                <c:pt idx="6582">
                  <c:v>297.39999999999998</c:v>
                </c:pt>
                <c:pt idx="6583">
                  <c:v>292.10000000000002</c:v>
                </c:pt>
                <c:pt idx="6584">
                  <c:v>287.7</c:v>
                </c:pt>
                <c:pt idx="6585">
                  <c:v>287.89999999999998</c:v>
                </c:pt>
                <c:pt idx="6586">
                  <c:v>289.60000000000002</c:v>
                </c:pt>
                <c:pt idx="6587">
                  <c:v>290.60000000000002</c:v>
                </c:pt>
                <c:pt idx="6588">
                  <c:v>294.60000000000002</c:v>
                </c:pt>
                <c:pt idx="6589">
                  <c:v>296.3</c:v>
                </c:pt>
                <c:pt idx="6590">
                  <c:v>301.3</c:v>
                </c:pt>
                <c:pt idx="6591">
                  <c:v>302.60000000000002</c:v>
                </c:pt>
                <c:pt idx="6592">
                  <c:v>307.60000000000002</c:v>
                </c:pt>
                <c:pt idx="6593">
                  <c:v>311.2</c:v>
                </c:pt>
                <c:pt idx="6595">
                  <c:v>318.2</c:v>
                </c:pt>
                <c:pt idx="6596">
                  <c:v>321.60000000000002</c:v>
                </c:pt>
                <c:pt idx="6597">
                  <c:v>320.7</c:v>
                </c:pt>
                <c:pt idx="6598">
                  <c:v>321.5</c:v>
                </c:pt>
                <c:pt idx="6599">
                  <c:v>322.8</c:v>
                </c:pt>
                <c:pt idx="6600">
                  <c:v>323.39999999999998</c:v>
                </c:pt>
                <c:pt idx="6601">
                  <c:v>318.10000000000002</c:v>
                </c:pt>
                <c:pt idx="6602">
                  <c:v>318.3</c:v>
                </c:pt>
                <c:pt idx="6603">
                  <c:v>317.10000000000002</c:v>
                </c:pt>
                <c:pt idx="6604">
                  <c:v>318.2</c:v>
                </c:pt>
                <c:pt idx="6606">
                  <c:v>328.4</c:v>
                </c:pt>
                <c:pt idx="6607">
                  <c:v>330.6</c:v>
                </c:pt>
                <c:pt idx="6608">
                  <c:v>330.5</c:v>
                </c:pt>
                <c:pt idx="6609">
                  <c:v>327.8</c:v>
                </c:pt>
                <c:pt idx="6610">
                  <c:v>328.4</c:v>
                </c:pt>
                <c:pt idx="6612">
                  <c:v>313.3</c:v>
                </c:pt>
                <c:pt idx="6613">
                  <c:v>315.10000000000002</c:v>
                </c:pt>
                <c:pt idx="6614">
                  <c:v>314.60000000000002</c:v>
                </c:pt>
                <c:pt idx="6615">
                  <c:v>312.2</c:v>
                </c:pt>
                <c:pt idx="6616">
                  <c:v>313.3</c:v>
                </c:pt>
                <c:pt idx="6618">
                  <c:v>337.9</c:v>
                </c:pt>
                <c:pt idx="6619">
                  <c:v>336.7</c:v>
                </c:pt>
                <c:pt idx="6620">
                  <c:v>338.1</c:v>
                </c:pt>
                <c:pt idx="6621">
                  <c:v>337.9</c:v>
                </c:pt>
                <c:pt idx="6623">
                  <c:v>341.1</c:v>
                </c:pt>
                <c:pt idx="6624">
                  <c:v>342.1</c:v>
                </c:pt>
                <c:pt idx="6625">
                  <c:v>338.3</c:v>
                </c:pt>
                <c:pt idx="6626">
                  <c:v>341.1</c:v>
                </c:pt>
                <c:pt idx="6628">
                  <c:v>339.6</c:v>
                </c:pt>
                <c:pt idx="6629">
                  <c:v>340.7</c:v>
                </c:pt>
                <c:pt idx="6630">
                  <c:v>342.2</c:v>
                </c:pt>
                <c:pt idx="6631">
                  <c:v>340.4</c:v>
                </c:pt>
                <c:pt idx="6632">
                  <c:v>338.4</c:v>
                </c:pt>
                <c:pt idx="6633">
                  <c:v>337.7</c:v>
                </c:pt>
                <c:pt idx="6634">
                  <c:v>337.9</c:v>
                </c:pt>
                <c:pt idx="6635">
                  <c:v>338.3</c:v>
                </c:pt>
                <c:pt idx="6636">
                  <c:v>338.9</c:v>
                </c:pt>
                <c:pt idx="6637">
                  <c:v>339.9</c:v>
                </c:pt>
                <c:pt idx="6638">
                  <c:v>338.2</c:v>
                </c:pt>
                <c:pt idx="6639">
                  <c:v>339.6</c:v>
                </c:pt>
                <c:pt idx="6641">
                  <c:v>318.3</c:v>
                </c:pt>
                <c:pt idx="6642">
                  <c:v>320.8</c:v>
                </c:pt>
                <c:pt idx="6643">
                  <c:v>318.3</c:v>
                </c:pt>
                <c:pt idx="6644">
                  <c:v>318.7</c:v>
                </c:pt>
                <c:pt idx="6645">
                  <c:v>315</c:v>
                </c:pt>
                <c:pt idx="6646">
                  <c:v>316.60000000000002</c:v>
                </c:pt>
                <c:pt idx="6647">
                  <c:v>318.3</c:v>
                </c:pt>
                <c:pt idx="6649">
                  <c:v>328.6</c:v>
                </c:pt>
                <c:pt idx="6650">
                  <c:v>331.2</c:v>
                </c:pt>
                <c:pt idx="6651">
                  <c:v>331.1</c:v>
                </c:pt>
                <c:pt idx="6652">
                  <c:v>336.1</c:v>
                </c:pt>
                <c:pt idx="6653">
                  <c:v>336</c:v>
                </c:pt>
                <c:pt idx="6654">
                  <c:v>334.2</c:v>
                </c:pt>
                <c:pt idx="6655">
                  <c:v>335.6</c:v>
                </c:pt>
                <c:pt idx="6656">
                  <c:v>334.6</c:v>
                </c:pt>
                <c:pt idx="6657">
                  <c:v>332.3</c:v>
                </c:pt>
                <c:pt idx="6658">
                  <c:v>331.1</c:v>
                </c:pt>
                <c:pt idx="6659">
                  <c:v>329.3</c:v>
                </c:pt>
                <c:pt idx="6660">
                  <c:v>330.6</c:v>
                </c:pt>
                <c:pt idx="6661">
                  <c:v>330.7</c:v>
                </c:pt>
                <c:pt idx="6662">
                  <c:v>328.8</c:v>
                </c:pt>
                <c:pt idx="6663">
                  <c:v>326.8</c:v>
                </c:pt>
                <c:pt idx="6664">
                  <c:v>327.10000000000002</c:v>
                </c:pt>
                <c:pt idx="6665">
                  <c:v>327.60000000000002</c:v>
                </c:pt>
                <c:pt idx="6666">
                  <c:v>328.6</c:v>
                </c:pt>
                <c:pt idx="6668">
                  <c:v>315</c:v>
                </c:pt>
                <c:pt idx="6669">
                  <c:v>317.8</c:v>
                </c:pt>
                <c:pt idx="6670">
                  <c:v>313.39999999999998</c:v>
                </c:pt>
                <c:pt idx="6671">
                  <c:v>312.2</c:v>
                </c:pt>
                <c:pt idx="6672">
                  <c:v>315</c:v>
                </c:pt>
                <c:pt idx="6674">
                  <c:v>335.3</c:v>
                </c:pt>
                <c:pt idx="6675">
                  <c:v>336.3</c:v>
                </c:pt>
                <c:pt idx="6676">
                  <c:v>334.7</c:v>
                </c:pt>
                <c:pt idx="6677">
                  <c:v>335.7</c:v>
                </c:pt>
                <c:pt idx="6678">
                  <c:v>334.1</c:v>
                </c:pt>
                <c:pt idx="6679">
                  <c:v>334.4</c:v>
                </c:pt>
                <c:pt idx="6680">
                  <c:v>336.5</c:v>
                </c:pt>
                <c:pt idx="6681">
                  <c:v>336</c:v>
                </c:pt>
                <c:pt idx="6682">
                  <c:v>339.1</c:v>
                </c:pt>
                <c:pt idx="6683">
                  <c:v>338.3</c:v>
                </c:pt>
                <c:pt idx="6684">
                  <c:v>337.3</c:v>
                </c:pt>
                <c:pt idx="6685">
                  <c:v>337.1</c:v>
                </c:pt>
                <c:pt idx="6686">
                  <c:v>332</c:v>
                </c:pt>
                <c:pt idx="6687">
                  <c:v>329.8</c:v>
                </c:pt>
                <c:pt idx="6688">
                  <c:v>334.2</c:v>
                </c:pt>
                <c:pt idx="6689">
                  <c:v>331.2</c:v>
                </c:pt>
                <c:pt idx="6690">
                  <c:v>330.4</c:v>
                </c:pt>
                <c:pt idx="6691">
                  <c:v>330.3</c:v>
                </c:pt>
                <c:pt idx="6692">
                  <c:v>328.7</c:v>
                </c:pt>
                <c:pt idx="6693">
                  <c:v>328</c:v>
                </c:pt>
                <c:pt idx="6694">
                  <c:v>328</c:v>
                </c:pt>
                <c:pt idx="6695">
                  <c:v>326.2</c:v>
                </c:pt>
                <c:pt idx="6696">
                  <c:v>323.5</c:v>
                </c:pt>
                <c:pt idx="6697">
                  <c:v>328.2</c:v>
                </c:pt>
                <c:pt idx="6698">
                  <c:v>328.2</c:v>
                </c:pt>
                <c:pt idx="6699">
                  <c:v>326.89999999999998</c:v>
                </c:pt>
                <c:pt idx="6700">
                  <c:v>327.8</c:v>
                </c:pt>
                <c:pt idx="6701">
                  <c:v>335.3</c:v>
                </c:pt>
                <c:pt idx="6703">
                  <c:v>294.8</c:v>
                </c:pt>
                <c:pt idx="6704">
                  <c:v>297</c:v>
                </c:pt>
                <c:pt idx="6705">
                  <c:v>294.2</c:v>
                </c:pt>
                <c:pt idx="6706">
                  <c:v>294.8</c:v>
                </c:pt>
                <c:pt idx="6708">
                  <c:v>299.39999999999998</c:v>
                </c:pt>
                <c:pt idx="6709">
                  <c:v>298</c:v>
                </c:pt>
                <c:pt idx="6710">
                  <c:v>299.2</c:v>
                </c:pt>
                <c:pt idx="6711">
                  <c:v>298.39999999999998</c:v>
                </c:pt>
                <c:pt idx="6712">
                  <c:v>298.7</c:v>
                </c:pt>
                <c:pt idx="6713">
                  <c:v>296.39999999999998</c:v>
                </c:pt>
                <c:pt idx="6714">
                  <c:v>295.39999999999998</c:v>
                </c:pt>
                <c:pt idx="6715">
                  <c:v>297.2</c:v>
                </c:pt>
                <c:pt idx="6716">
                  <c:v>299.10000000000002</c:v>
                </c:pt>
                <c:pt idx="6717">
                  <c:v>298.2</c:v>
                </c:pt>
                <c:pt idx="6718">
                  <c:v>297.3</c:v>
                </c:pt>
                <c:pt idx="6719">
                  <c:v>296.5</c:v>
                </c:pt>
                <c:pt idx="6720">
                  <c:v>294.39999999999998</c:v>
                </c:pt>
                <c:pt idx="6721">
                  <c:v>293.39999999999998</c:v>
                </c:pt>
                <c:pt idx="6722">
                  <c:v>291.8</c:v>
                </c:pt>
                <c:pt idx="6723">
                  <c:v>292.3</c:v>
                </c:pt>
                <c:pt idx="6724">
                  <c:v>290.5</c:v>
                </c:pt>
                <c:pt idx="6725">
                  <c:v>291.39999999999998</c:v>
                </c:pt>
                <c:pt idx="6726">
                  <c:v>288.2</c:v>
                </c:pt>
                <c:pt idx="6727">
                  <c:v>289.7</c:v>
                </c:pt>
                <c:pt idx="6728">
                  <c:v>286.89999999999998</c:v>
                </c:pt>
                <c:pt idx="6729">
                  <c:v>288.60000000000002</c:v>
                </c:pt>
                <c:pt idx="6730">
                  <c:v>291.39999999999998</c:v>
                </c:pt>
                <c:pt idx="6731">
                  <c:v>295.7</c:v>
                </c:pt>
                <c:pt idx="6732">
                  <c:v>297.39999999999998</c:v>
                </c:pt>
                <c:pt idx="6733">
                  <c:v>297.7</c:v>
                </c:pt>
                <c:pt idx="6734">
                  <c:v>301.89999999999998</c:v>
                </c:pt>
                <c:pt idx="6735">
                  <c:v>305.2</c:v>
                </c:pt>
                <c:pt idx="6736">
                  <c:v>305.5</c:v>
                </c:pt>
                <c:pt idx="6737">
                  <c:v>309.10000000000002</c:v>
                </c:pt>
                <c:pt idx="6738">
                  <c:v>311</c:v>
                </c:pt>
                <c:pt idx="6739">
                  <c:v>312.60000000000002</c:v>
                </c:pt>
                <c:pt idx="6740">
                  <c:v>310.5</c:v>
                </c:pt>
                <c:pt idx="6741">
                  <c:v>313.60000000000002</c:v>
                </c:pt>
                <c:pt idx="6742">
                  <c:v>311.60000000000002</c:v>
                </c:pt>
                <c:pt idx="6743">
                  <c:v>312.39999999999998</c:v>
                </c:pt>
                <c:pt idx="6744">
                  <c:v>310.60000000000002</c:v>
                </c:pt>
                <c:pt idx="6745">
                  <c:v>309.3</c:v>
                </c:pt>
                <c:pt idx="6746">
                  <c:v>308</c:v>
                </c:pt>
                <c:pt idx="6747">
                  <c:v>304.8</c:v>
                </c:pt>
                <c:pt idx="6748">
                  <c:v>305.2</c:v>
                </c:pt>
                <c:pt idx="6749">
                  <c:v>302.39999999999998</c:v>
                </c:pt>
                <c:pt idx="6750">
                  <c:v>300.10000000000002</c:v>
                </c:pt>
                <c:pt idx="6751">
                  <c:v>302</c:v>
                </c:pt>
                <c:pt idx="6752">
                  <c:v>300.89999999999998</c:v>
                </c:pt>
                <c:pt idx="6753">
                  <c:v>301.89999999999998</c:v>
                </c:pt>
                <c:pt idx="6754">
                  <c:v>300.60000000000002</c:v>
                </c:pt>
                <c:pt idx="6755">
                  <c:v>301</c:v>
                </c:pt>
                <c:pt idx="6756">
                  <c:v>302.89999999999998</c:v>
                </c:pt>
                <c:pt idx="6757">
                  <c:v>300.5</c:v>
                </c:pt>
                <c:pt idx="6758">
                  <c:v>299.39999999999998</c:v>
                </c:pt>
                <c:pt idx="6760">
                  <c:v>372.7</c:v>
                </c:pt>
                <c:pt idx="6761">
                  <c:v>374.5</c:v>
                </c:pt>
                <c:pt idx="6762">
                  <c:v>377.4</c:v>
                </c:pt>
                <c:pt idx="6763">
                  <c:v>382.3</c:v>
                </c:pt>
                <c:pt idx="6764">
                  <c:v>386.3</c:v>
                </c:pt>
                <c:pt idx="6765">
                  <c:v>384.9</c:v>
                </c:pt>
                <c:pt idx="6766">
                  <c:v>374.4</c:v>
                </c:pt>
                <c:pt idx="6767">
                  <c:v>374</c:v>
                </c:pt>
                <c:pt idx="6768">
                  <c:v>373.4</c:v>
                </c:pt>
                <c:pt idx="6769">
                  <c:v>369.9</c:v>
                </c:pt>
                <c:pt idx="6770">
                  <c:v>362.3</c:v>
                </c:pt>
                <c:pt idx="6771">
                  <c:v>363.2</c:v>
                </c:pt>
                <c:pt idx="6772">
                  <c:v>360.7</c:v>
                </c:pt>
                <c:pt idx="6773">
                  <c:v>361</c:v>
                </c:pt>
                <c:pt idx="6774">
                  <c:v>358.1</c:v>
                </c:pt>
                <c:pt idx="6775">
                  <c:v>360</c:v>
                </c:pt>
                <c:pt idx="6776">
                  <c:v>360.3</c:v>
                </c:pt>
                <c:pt idx="6777">
                  <c:v>362.2</c:v>
                </c:pt>
                <c:pt idx="6778">
                  <c:v>363.1</c:v>
                </c:pt>
                <c:pt idx="6779">
                  <c:v>366.3</c:v>
                </c:pt>
                <c:pt idx="6780">
                  <c:v>368.1</c:v>
                </c:pt>
                <c:pt idx="6781">
                  <c:v>372.7</c:v>
                </c:pt>
                <c:pt idx="6783">
                  <c:v>380.7</c:v>
                </c:pt>
                <c:pt idx="6784">
                  <c:v>383.5</c:v>
                </c:pt>
                <c:pt idx="6785">
                  <c:v>385.2</c:v>
                </c:pt>
                <c:pt idx="6786">
                  <c:v>387</c:v>
                </c:pt>
                <c:pt idx="6787">
                  <c:v>387</c:v>
                </c:pt>
                <c:pt idx="6788">
                  <c:v>382.5</c:v>
                </c:pt>
                <c:pt idx="6789">
                  <c:v>384.9</c:v>
                </c:pt>
                <c:pt idx="6790">
                  <c:v>384.1</c:v>
                </c:pt>
                <c:pt idx="6791">
                  <c:v>381.4</c:v>
                </c:pt>
                <c:pt idx="6792">
                  <c:v>382.2</c:v>
                </c:pt>
                <c:pt idx="6793">
                  <c:v>377.1</c:v>
                </c:pt>
                <c:pt idx="6794">
                  <c:v>378.3</c:v>
                </c:pt>
                <c:pt idx="6795">
                  <c:v>375.5</c:v>
                </c:pt>
                <c:pt idx="6796">
                  <c:v>374.6</c:v>
                </c:pt>
                <c:pt idx="6797">
                  <c:v>372.7</c:v>
                </c:pt>
                <c:pt idx="6798">
                  <c:v>368.7</c:v>
                </c:pt>
                <c:pt idx="6799">
                  <c:v>364.4</c:v>
                </c:pt>
                <c:pt idx="6800">
                  <c:v>353.4</c:v>
                </c:pt>
                <c:pt idx="6801">
                  <c:v>354.5</c:v>
                </c:pt>
                <c:pt idx="6802">
                  <c:v>352.3</c:v>
                </c:pt>
                <c:pt idx="6803">
                  <c:v>348</c:v>
                </c:pt>
                <c:pt idx="6804">
                  <c:v>347.5</c:v>
                </c:pt>
                <c:pt idx="6805">
                  <c:v>349.3</c:v>
                </c:pt>
                <c:pt idx="6806">
                  <c:v>348</c:v>
                </c:pt>
                <c:pt idx="6807">
                  <c:v>349.3</c:v>
                </c:pt>
                <c:pt idx="6808">
                  <c:v>348.7</c:v>
                </c:pt>
                <c:pt idx="6809">
                  <c:v>354.9</c:v>
                </c:pt>
                <c:pt idx="6810">
                  <c:v>366.2</c:v>
                </c:pt>
                <c:pt idx="6811">
                  <c:v>367.7</c:v>
                </c:pt>
                <c:pt idx="6812">
                  <c:v>371.4</c:v>
                </c:pt>
                <c:pt idx="6813">
                  <c:v>374.6</c:v>
                </c:pt>
                <c:pt idx="6814">
                  <c:v>380.7</c:v>
                </c:pt>
                <c:pt idx="6816">
                  <c:v>345</c:v>
                </c:pt>
                <c:pt idx="6817">
                  <c:v>343.7</c:v>
                </c:pt>
                <c:pt idx="6818">
                  <c:v>344.5</c:v>
                </c:pt>
                <c:pt idx="6819">
                  <c:v>345</c:v>
                </c:pt>
                <c:pt idx="6821">
                  <c:v>343.2</c:v>
                </c:pt>
                <c:pt idx="6822">
                  <c:v>344.4</c:v>
                </c:pt>
                <c:pt idx="6823">
                  <c:v>343.1</c:v>
                </c:pt>
                <c:pt idx="6824">
                  <c:v>344.2</c:v>
                </c:pt>
                <c:pt idx="6825">
                  <c:v>343.4</c:v>
                </c:pt>
                <c:pt idx="6826">
                  <c:v>342.3</c:v>
                </c:pt>
                <c:pt idx="6827">
                  <c:v>343.2</c:v>
                </c:pt>
                <c:pt idx="6829">
                  <c:v>354.7</c:v>
                </c:pt>
                <c:pt idx="6830">
                  <c:v>353.9</c:v>
                </c:pt>
                <c:pt idx="6831">
                  <c:v>350.9</c:v>
                </c:pt>
                <c:pt idx="6832">
                  <c:v>352.3</c:v>
                </c:pt>
                <c:pt idx="6833">
                  <c:v>351.5</c:v>
                </c:pt>
                <c:pt idx="6834">
                  <c:v>353</c:v>
                </c:pt>
                <c:pt idx="6835">
                  <c:v>354.2</c:v>
                </c:pt>
                <c:pt idx="6836">
                  <c:v>354.7</c:v>
                </c:pt>
                <c:pt idx="6838">
                  <c:v>356.4</c:v>
                </c:pt>
                <c:pt idx="6839">
                  <c:v>353.3</c:v>
                </c:pt>
                <c:pt idx="6840">
                  <c:v>354.6</c:v>
                </c:pt>
                <c:pt idx="6841">
                  <c:v>357.1</c:v>
                </c:pt>
                <c:pt idx="6842">
                  <c:v>356.7</c:v>
                </c:pt>
                <c:pt idx="6843">
                  <c:v>356.3</c:v>
                </c:pt>
                <c:pt idx="6844">
                  <c:v>352.4</c:v>
                </c:pt>
                <c:pt idx="6845">
                  <c:v>353.3</c:v>
                </c:pt>
                <c:pt idx="6846">
                  <c:v>348</c:v>
                </c:pt>
                <c:pt idx="6847">
                  <c:v>350.6</c:v>
                </c:pt>
                <c:pt idx="6848">
                  <c:v>347.9</c:v>
                </c:pt>
                <c:pt idx="6849">
                  <c:v>349.8</c:v>
                </c:pt>
                <c:pt idx="6850">
                  <c:v>346.1</c:v>
                </c:pt>
                <c:pt idx="6851">
                  <c:v>347.3</c:v>
                </c:pt>
                <c:pt idx="6852">
                  <c:v>345</c:v>
                </c:pt>
                <c:pt idx="6853">
                  <c:v>344.6</c:v>
                </c:pt>
                <c:pt idx="6854">
                  <c:v>348.6</c:v>
                </c:pt>
                <c:pt idx="6855">
                  <c:v>349</c:v>
                </c:pt>
                <c:pt idx="6856">
                  <c:v>347.6</c:v>
                </c:pt>
                <c:pt idx="6857">
                  <c:v>346.8</c:v>
                </c:pt>
                <c:pt idx="6858">
                  <c:v>343.4</c:v>
                </c:pt>
                <c:pt idx="6859">
                  <c:v>342.2</c:v>
                </c:pt>
                <c:pt idx="6860">
                  <c:v>338.9</c:v>
                </c:pt>
                <c:pt idx="6861">
                  <c:v>341.3</c:v>
                </c:pt>
                <c:pt idx="6862">
                  <c:v>343.7</c:v>
                </c:pt>
                <c:pt idx="6863">
                  <c:v>347.3</c:v>
                </c:pt>
                <c:pt idx="6864">
                  <c:v>348</c:v>
                </c:pt>
                <c:pt idx="6865">
                  <c:v>349.8</c:v>
                </c:pt>
                <c:pt idx="6866">
                  <c:v>349.9</c:v>
                </c:pt>
                <c:pt idx="6867">
                  <c:v>352.1</c:v>
                </c:pt>
                <c:pt idx="6868">
                  <c:v>349</c:v>
                </c:pt>
                <c:pt idx="6869">
                  <c:v>350.5</c:v>
                </c:pt>
                <c:pt idx="6870">
                  <c:v>350.4</c:v>
                </c:pt>
                <c:pt idx="6871">
                  <c:v>352.8</c:v>
                </c:pt>
                <c:pt idx="6872">
                  <c:v>354.3</c:v>
                </c:pt>
                <c:pt idx="6873">
                  <c:v>355.2</c:v>
                </c:pt>
                <c:pt idx="6874">
                  <c:v>357.1</c:v>
                </c:pt>
                <c:pt idx="6875">
                  <c:v>357.2</c:v>
                </c:pt>
                <c:pt idx="6876">
                  <c:v>355.9</c:v>
                </c:pt>
                <c:pt idx="6877">
                  <c:v>356.9</c:v>
                </c:pt>
                <c:pt idx="6878">
                  <c:v>360.5</c:v>
                </c:pt>
                <c:pt idx="6879">
                  <c:v>358.1</c:v>
                </c:pt>
                <c:pt idx="6880">
                  <c:v>358.5</c:v>
                </c:pt>
                <c:pt idx="6881">
                  <c:v>361.1</c:v>
                </c:pt>
                <c:pt idx="6882">
                  <c:v>360.3</c:v>
                </c:pt>
                <c:pt idx="6883">
                  <c:v>358.3</c:v>
                </c:pt>
                <c:pt idx="6884">
                  <c:v>358.9</c:v>
                </c:pt>
                <c:pt idx="6885">
                  <c:v>359.6</c:v>
                </c:pt>
                <c:pt idx="6886">
                  <c:v>360.5</c:v>
                </c:pt>
                <c:pt idx="6887">
                  <c:v>362.2</c:v>
                </c:pt>
                <c:pt idx="6888">
                  <c:v>363.3</c:v>
                </c:pt>
                <c:pt idx="6889">
                  <c:v>362.6</c:v>
                </c:pt>
                <c:pt idx="6890">
                  <c:v>360.8</c:v>
                </c:pt>
                <c:pt idx="6891">
                  <c:v>361.8</c:v>
                </c:pt>
                <c:pt idx="6892">
                  <c:v>360.3</c:v>
                </c:pt>
                <c:pt idx="6893">
                  <c:v>358.9</c:v>
                </c:pt>
                <c:pt idx="6894">
                  <c:v>359.6</c:v>
                </c:pt>
                <c:pt idx="6895">
                  <c:v>360.6</c:v>
                </c:pt>
                <c:pt idx="6896">
                  <c:v>362.2</c:v>
                </c:pt>
                <c:pt idx="6897">
                  <c:v>359.6</c:v>
                </c:pt>
                <c:pt idx="6898">
                  <c:v>359.6</c:v>
                </c:pt>
                <c:pt idx="6899">
                  <c:v>357.9</c:v>
                </c:pt>
                <c:pt idx="6900">
                  <c:v>356.4</c:v>
                </c:pt>
                <c:pt idx="6901">
                  <c:v>356.4</c:v>
                </c:pt>
                <c:pt idx="6903">
                  <c:v>389.7</c:v>
                </c:pt>
                <c:pt idx="6904">
                  <c:v>389.6</c:v>
                </c:pt>
                <c:pt idx="6905">
                  <c:v>394.2</c:v>
                </c:pt>
                <c:pt idx="6906">
                  <c:v>397.5</c:v>
                </c:pt>
                <c:pt idx="6907">
                  <c:v>399.7</c:v>
                </c:pt>
                <c:pt idx="6908">
                  <c:v>402.2</c:v>
                </c:pt>
                <c:pt idx="6909">
                  <c:v>404.2</c:v>
                </c:pt>
                <c:pt idx="6910">
                  <c:v>400.6</c:v>
                </c:pt>
                <c:pt idx="6911">
                  <c:v>395.3</c:v>
                </c:pt>
                <c:pt idx="6912">
                  <c:v>396.8</c:v>
                </c:pt>
                <c:pt idx="6913">
                  <c:v>394.5</c:v>
                </c:pt>
                <c:pt idx="6914">
                  <c:v>390.1</c:v>
                </c:pt>
                <c:pt idx="6915">
                  <c:v>389.2</c:v>
                </c:pt>
                <c:pt idx="6916">
                  <c:v>386.2</c:v>
                </c:pt>
                <c:pt idx="6917">
                  <c:v>382.2</c:v>
                </c:pt>
                <c:pt idx="6918">
                  <c:v>377.4</c:v>
                </c:pt>
                <c:pt idx="6919">
                  <c:v>374.5</c:v>
                </c:pt>
                <c:pt idx="6920">
                  <c:v>374</c:v>
                </c:pt>
                <c:pt idx="6921">
                  <c:v>375.5</c:v>
                </c:pt>
                <c:pt idx="6922">
                  <c:v>378.3</c:v>
                </c:pt>
                <c:pt idx="6923">
                  <c:v>377.1</c:v>
                </c:pt>
                <c:pt idx="6924">
                  <c:v>382.2</c:v>
                </c:pt>
                <c:pt idx="6925">
                  <c:v>381.7</c:v>
                </c:pt>
                <c:pt idx="6926">
                  <c:v>383</c:v>
                </c:pt>
                <c:pt idx="6927">
                  <c:v>384.5</c:v>
                </c:pt>
                <c:pt idx="6928">
                  <c:v>389.7</c:v>
                </c:pt>
                <c:pt idx="6930">
                  <c:v>353</c:v>
                </c:pt>
                <c:pt idx="6931">
                  <c:v>357.8</c:v>
                </c:pt>
                <c:pt idx="6932">
                  <c:v>364.4</c:v>
                </c:pt>
                <c:pt idx="6933">
                  <c:v>362.2</c:v>
                </c:pt>
                <c:pt idx="6934">
                  <c:v>360.3</c:v>
                </c:pt>
                <c:pt idx="6935">
                  <c:v>360</c:v>
                </c:pt>
                <c:pt idx="6936">
                  <c:v>358.1</c:v>
                </c:pt>
                <c:pt idx="6937">
                  <c:v>361.1</c:v>
                </c:pt>
                <c:pt idx="6938">
                  <c:v>358.3</c:v>
                </c:pt>
                <c:pt idx="6939">
                  <c:v>358</c:v>
                </c:pt>
                <c:pt idx="6940">
                  <c:v>355.8</c:v>
                </c:pt>
                <c:pt idx="6941">
                  <c:v>354.3</c:v>
                </c:pt>
                <c:pt idx="6942">
                  <c:v>356.2</c:v>
                </c:pt>
                <c:pt idx="6943">
                  <c:v>351.5</c:v>
                </c:pt>
                <c:pt idx="6944">
                  <c:v>348.7</c:v>
                </c:pt>
                <c:pt idx="6945">
                  <c:v>346.6</c:v>
                </c:pt>
                <c:pt idx="6946">
                  <c:v>350.1</c:v>
                </c:pt>
                <c:pt idx="6947">
                  <c:v>353</c:v>
                </c:pt>
                <c:pt idx="6949">
                  <c:v>356.8</c:v>
                </c:pt>
                <c:pt idx="6950">
                  <c:v>358</c:v>
                </c:pt>
                <c:pt idx="6951">
                  <c:v>358.3</c:v>
                </c:pt>
                <c:pt idx="6952">
                  <c:v>361</c:v>
                </c:pt>
                <c:pt idx="6953">
                  <c:v>360.7</c:v>
                </c:pt>
                <c:pt idx="6954">
                  <c:v>363.2</c:v>
                </c:pt>
                <c:pt idx="6955">
                  <c:v>362.1</c:v>
                </c:pt>
                <c:pt idx="6956">
                  <c:v>355.6</c:v>
                </c:pt>
                <c:pt idx="6957">
                  <c:v>350.9</c:v>
                </c:pt>
                <c:pt idx="6958">
                  <c:v>349.1</c:v>
                </c:pt>
                <c:pt idx="6959">
                  <c:v>356.2</c:v>
                </c:pt>
                <c:pt idx="6960">
                  <c:v>354.5</c:v>
                </c:pt>
                <c:pt idx="6961">
                  <c:v>356.8</c:v>
                </c:pt>
                <c:pt idx="6963">
                  <c:v>346</c:v>
                </c:pt>
                <c:pt idx="6964">
                  <c:v>347.1</c:v>
                </c:pt>
                <c:pt idx="6965">
                  <c:v>345</c:v>
                </c:pt>
                <c:pt idx="6966">
                  <c:v>346</c:v>
                </c:pt>
                <c:pt idx="6968">
                  <c:v>337.8</c:v>
                </c:pt>
                <c:pt idx="6969">
                  <c:v>339.4</c:v>
                </c:pt>
                <c:pt idx="6970">
                  <c:v>335.9</c:v>
                </c:pt>
                <c:pt idx="6971">
                  <c:v>334.9</c:v>
                </c:pt>
                <c:pt idx="6972">
                  <c:v>334.9</c:v>
                </c:pt>
                <c:pt idx="6973">
                  <c:v>332.5</c:v>
                </c:pt>
                <c:pt idx="6974">
                  <c:v>330</c:v>
                </c:pt>
                <c:pt idx="6975">
                  <c:v>328.1</c:v>
                </c:pt>
                <c:pt idx="6976">
                  <c:v>329.6</c:v>
                </c:pt>
                <c:pt idx="6977">
                  <c:v>332.6</c:v>
                </c:pt>
                <c:pt idx="6978">
                  <c:v>333</c:v>
                </c:pt>
                <c:pt idx="6979">
                  <c:v>335.5</c:v>
                </c:pt>
                <c:pt idx="6980">
                  <c:v>338.2</c:v>
                </c:pt>
                <c:pt idx="6981">
                  <c:v>343</c:v>
                </c:pt>
                <c:pt idx="6982">
                  <c:v>344.8</c:v>
                </c:pt>
                <c:pt idx="6983">
                  <c:v>344.8</c:v>
                </c:pt>
                <c:pt idx="6984">
                  <c:v>349.1</c:v>
                </c:pt>
                <c:pt idx="6985">
                  <c:v>346.9</c:v>
                </c:pt>
                <c:pt idx="6986">
                  <c:v>349.8</c:v>
                </c:pt>
                <c:pt idx="6987">
                  <c:v>347.6</c:v>
                </c:pt>
                <c:pt idx="6988">
                  <c:v>350</c:v>
                </c:pt>
                <c:pt idx="6989">
                  <c:v>348.8</c:v>
                </c:pt>
                <c:pt idx="6990">
                  <c:v>352.4</c:v>
                </c:pt>
                <c:pt idx="6991">
                  <c:v>350.2</c:v>
                </c:pt>
                <c:pt idx="6992">
                  <c:v>353.1</c:v>
                </c:pt>
                <c:pt idx="6993">
                  <c:v>347.7</c:v>
                </c:pt>
                <c:pt idx="6994">
                  <c:v>349.7</c:v>
                </c:pt>
                <c:pt idx="6995">
                  <c:v>346.7</c:v>
                </c:pt>
                <c:pt idx="6996">
                  <c:v>348.5</c:v>
                </c:pt>
                <c:pt idx="6997">
                  <c:v>345.3</c:v>
                </c:pt>
                <c:pt idx="6998">
                  <c:v>344.6</c:v>
                </c:pt>
                <c:pt idx="6999">
                  <c:v>342.8</c:v>
                </c:pt>
                <c:pt idx="7000">
                  <c:v>337</c:v>
                </c:pt>
                <c:pt idx="7001">
                  <c:v>337.8</c:v>
                </c:pt>
                <c:pt idx="7003">
                  <c:v>347.7</c:v>
                </c:pt>
                <c:pt idx="7004">
                  <c:v>348.8</c:v>
                </c:pt>
                <c:pt idx="7005">
                  <c:v>352.4</c:v>
                </c:pt>
                <c:pt idx="7006">
                  <c:v>345.1</c:v>
                </c:pt>
                <c:pt idx="7007">
                  <c:v>344.8</c:v>
                </c:pt>
                <c:pt idx="7008">
                  <c:v>343.1</c:v>
                </c:pt>
                <c:pt idx="7009">
                  <c:v>339.9</c:v>
                </c:pt>
                <c:pt idx="7010">
                  <c:v>339</c:v>
                </c:pt>
                <c:pt idx="7011">
                  <c:v>340.5</c:v>
                </c:pt>
                <c:pt idx="7012">
                  <c:v>347.7</c:v>
                </c:pt>
                <c:pt idx="7014">
                  <c:v>365</c:v>
                </c:pt>
                <c:pt idx="7015">
                  <c:v>364.3</c:v>
                </c:pt>
                <c:pt idx="7016">
                  <c:v>362.4</c:v>
                </c:pt>
                <c:pt idx="7017">
                  <c:v>362.6</c:v>
                </c:pt>
                <c:pt idx="7018">
                  <c:v>361.3</c:v>
                </c:pt>
                <c:pt idx="7019">
                  <c:v>359.9</c:v>
                </c:pt>
                <c:pt idx="7020">
                  <c:v>357.7</c:v>
                </c:pt>
                <c:pt idx="7021">
                  <c:v>358.8</c:v>
                </c:pt>
                <c:pt idx="7022">
                  <c:v>358</c:v>
                </c:pt>
                <c:pt idx="7023">
                  <c:v>356.2</c:v>
                </c:pt>
                <c:pt idx="7024">
                  <c:v>355.8</c:v>
                </c:pt>
                <c:pt idx="7025">
                  <c:v>355.2</c:v>
                </c:pt>
                <c:pt idx="7026">
                  <c:v>353.9</c:v>
                </c:pt>
                <c:pt idx="7027">
                  <c:v>354.1</c:v>
                </c:pt>
                <c:pt idx="7028">
                  <c:v>352.3</c:v>
                </c:pt>
                <c:pt idx="7029">
                  <c:v>351.8</c:v>
                </c:pt>
                <c:pt idx="7030">
                  <c:v>350.9</c:v>
                </c:pt>
                <c:pt idx="7031">
                  <c:v>355.6</c:v>
                </c:pt>
                <c:pt idx="7032">
                  <c:v>361.6</c:v>
                </c:pt>
                <c:pt idx="7033">
                  <c:v>364.3</c:v>
                </c:pt>
                <c:pt idx="7034">
                  <c:v>366.9</c:v>
                </c:pt>
                <c:pt idx="7035">
                  <c:v>371.3</c:v>
                </c:pt>
                <c:pt idx="7036">
                  <c:v>368.5</c:v>
                </c:pt>
                <c:pt idx="7037">
                  <c:v>366.2</c:v>
                </c:pt>
                <c:pt idx="7038">
                  <c:v>367.7</c:v>
                </c:pt>
                <c:pt idx="7039">
                  <c:v>366.5</c:v>
                </c:pt>
                <c:pt idx="7040">
                  <c:v>366.6</c:v>
                </c:pt>
                <c:pt idx="7041">
                  <c:v>365.1</c:v>
                </c:pt>
                <c:pt idx="7042">
                  <c:v>364.3</c:v>
                </c:pt>
                <c:pt idx="7043">
                  <c:v>366.1</c:v>
                </c:pt>
                <c:pt idx="7044">
                  <c:v>365</c:v>
                </c:pt>
                <c:pt idx="7046">
                  <c:v>323.7</c:v>
                </c:pt>
                <c:pt idx="7047">
                  <c:v>329.4</c:v>
                </c:pt>
                <c:pt idx="7048">
                  <c:v>329.9</c:v>
                </c:pt>
                <c:pt idx="7049">
                  <c:v>334.2</c:v>
                </c:pt>
                <c:pt idx="7050">
                  <c:v>334.3</c:v>
                </c:pt>
                <c:pt idx="7051">
                  <c:v>330.3</c:v>
                </c:pt>
                <c:pt idx="7052">
                  <c:v>335.1</c:v>
                </c:pt>
                <c:pt idx="7053">
                  <c:v>335</c:v>
                </c:pt>
                <c:pt idx="7054">
                  <c:v>331.1</c:v>
                </c:pt>
                <c:pt idx="7055">
                  <c:v>331.6</c:v>
                </c:pt>
                <c:pt idx="7056">
                  <c:v>325.2</c:v>
                </c:pt>
                <c:pt idx="7057">
                  <c:v>325.3</c:v>
                </c:pt>
                <c:pt idx="7058">
                  <c:v>322.89999999999998</c:v>
                </c:pt>
                <c:pt idx="7059">
                  <c:v>323.8</c:v>
                </c:pt>
                <c:pt idx="7060">
                  <c:v>321.3</c:v>
                </c:pt>
                <c:pt idx="7061">
                  <c:v>316</c:v>
                </c:pt>
                <c:pt idx="7062">
                  <c:v>315</c:v>
                </c:pt>
                <c:pt idx="7063">
                  <c:v>311.2</c:v>
                </c:pt>
                <c:pt idx="7064">
                  <c:v>307.60000000000002</c:v>
                </c:pt>
                <c:pt idx="7065">
                  <c:v>305.60000000000002</c:v>
                </c:pt>
                <c:pt idx="7066">
                  <c:v>306.39999999999998</c:v>
                </c:pt>
                <c:pt idx="7067">
                  <c:v>304.7</c:v>
                </c:pt>
                <c:pt idx="7068">
                  <c:v>307.3</c:v>
                </c:pt>
                <c:pt idx="7069">
                  <c:v>308.7</c:v>
                </c:pt>
                <c:pt idx="7070">
                  <c:v>308.8</c:v>
                </c:pt>
                <c:pt idx="7071">
                  <c:v>314.10000000000002</c:v>
                </c:pt>
                <c:pt idx="7072">
                  <c:v>313.7</c:v>
                </c:pt>
                <c:pt idx="7073">
                  <c:v>316.39999999999998</c:v>
                </c:pt>
                <c:pt idx="7074">
                  <c:v>315.10000000000002</c:v>
                </c:pt>
                <c:pt idx="7075">
                  <c:v>323.7</c:v>
                </c:pt>
                <c:pt idx="7077">
                  <c:v>344.7</c:v>
                </c:pt>
                <c:pt idx="7078">
                  <c:v>347.9</c:v>
                </c:pt>
                <c:pt idx="7079">
                  <c:v>346.4</c:v>
                </c:pt>
                <c:pt idx="7080">
                  <c:v>349.3</c:v>
                </c:pt>
                <c:pt idx="7081">
                  <c:v>340.5</c:v>
                </c:pt>
                <c:pt idx="7082">
                  <c:v>339</c:v>
                </c:pt>
                <c:pt idx="7083">
                  <c:v>340.4</c:v>
                </c:pt>
                <c:pt idx="7084">
                  <c:v>335.7</c:v>
                </c:pt>
                <c:pt idx="7085">
                  <c:v>333</c:v>
                </c:pt>
                <c:pt idx="7086">
                  <c:v>332.6</c:v>
                </c:pt>
                <c:pt idx="7087">
                  <c:v>330.2</c:v>
                </c:pt>
                <c:pt idx="7088">
                  <c:v>328.4</c:v>
                </c:pt>
                <c:pt idx="7089">
                  <c:v>326.3</c:v>
                </c:pt>
                <c:pt idx="7090">
                  <c:v>323.60000000000002</c:v>
                </c:pt>
                <c:pt idx="7091">
                  <c:v>321.5</c:v>
                </c:pt>
                <c:pt idx="7092">
                  <c:v>323.89999999999998</c:v>
                </c:pt>
                <c:pt idx="7093">
                  <c:v>322.89999999999998</c:v>
                </c:pt>
                <c:pt idx="7094">
                  <c:v>325.3</c:v>
                </c:pt>
                <c:pt idx="7095">
                  <c:v>325.3</c:v>
                </c:pt>
                <c:pt idx="7096">
                  <c:v>331.6</c:v>
                </c:pt>
                <c:pt idx="7097">
                  <c:v>331</c:v>
                </c:pt>
                <c:pt idx="7098">
                  <c:v>335</c:v>
                </c:pt>
                <c:pt idx="7099">
                  <c:v>335.2</c:v>
                </c:pt>
                <c:pt idx="7100">
                  <c:v>339.5</c:v>
                </c:pt>
                <c:pt idx="7101">
                  <c:v>342.3</c:v>
                </c:pt>
                <c:pt idx="7102">
                  <c:v>344.7</c:v>
                </c:pt>
                <c:pt idx="7104">
                  <c:v>343.6</c:v>
                </c:pt>
                <c:pt idx="7105">
                  <c:v>344.5</c:v>
                </c:pt>
                <c:pt idx="7106">
                  <c:v>349.4</c:v>
                </c:pt>
                <c:pt idx="7107">
                  <c:v>348</c:v>
                </c:pt>
                <c:pt idx="7108">
                  <c:v>352.3</c:v>
                </c:pt>
                <c:pt idx="7109">
                  <c:v>354.5</c:v>
                </c:pt>
                <c:pt idx="7110">
                  <c:v>353.4</c:v>
                </c:pt>
                <c:pt idx="7111">
                  <c:v>354.4</c:v>
                </c:pt>
                <c:pt idx="7112">
                  <c:v>353</c:v>
                </c:pt>
                <c:pt idx="7113">
                  <c:v>350.1</c:v>
                </c:pt>
                <c:pt idx="7114">
                  <c:v>344.7</c:v>
                </c:pt>
                <c:pt idx="7115">
                  <c:v>342.3</c:v>
                </c:pt>
                <c:pt idx="7116">
                  <c:v>339.5</c:v>
                </c:pt>
                <c:pt idx="7117">
                  <c:v>337.3</c:v>
                </c:pt>
                <c:pt idx="7118">
                  <c:v>330.4</c:v>
                </c:pt>
                <c:pt idx="7119">
                  <c:v>331</c:v>
                </c:pt>
                <c:pt idx="7120">
                  <c:v>334.4</c:v>
                </c:pt>
                <c:pt idx="7121">
                  <c:v>328.2</c:v>
                </c:pt>
                <c:pt idx="7122">
                  <c:v>328.3</c:v>
                </c:pt>
                <c:pt idx="7123">
                  <c:v>333.1</c:v>
                </c:pt>
                <c:pt idx="7124">
                  <c:v>336.6</c:v>
                </c:pt>
                <c:pt idx="7125">
                  <c:v>341.7</c:v>
                </c:pt>
                <c:pt idx="7126">
                  <c:v>341.9</c:v>
                </c:pt>
                <c:pt idx="7127">
                  <c:v>343.6</c:v>
                </c:pt>
                <c:pt idx="7129">
                  <c:v>321.5</c:v>
                </c:pt>
                <c:pt idx="7130">
                  <c:v>328</c:v>
                </c:pt>
                <c:pt idx="7131">
                  <c:v>328.1</c:v>
                </c:pt>
                <c:pt idx="7132">
                  <c:v>330</c:v>
                </c:pt>
                <c:pt idx="7133">
                  <c:v>332.5</c:v>
                </c:pt>
                <c:pt idx="7134">
                  <c:v>334.9</c:v>
                </c:pt>
                <c:pt idx="7135">
                  <c:v>334.5</c:v>
                </c:pt>
                <c:pt idx="7136">
                  <c:v>329.4</c:v>
                </c:pt>
                <c:pt idx="7137">
                  <c:v>330.9</c:v>
                </c:pt>
                <c:pt idx="7138">
                  <c:v>329.7</c:v>
                </c:pt>
                <c:pt idx="7139">
                  <c:v>331.5</c:v>
                </c:pt>
                <c:pt idx="7140">
                  <c:v>331.1</c:v>
                </c:pt>
                <c:pt idx="7141">
                  <c:v>336.9</c:v>
                </c:pt>
                <c:pt idx="7142">
                  <c:v>336.4</c:v>
                </c:pt>
                <c:pt idx="7143">
                  <c:v>338.5</c:v>
                </c:pt>
                <c:pt idx="7144">
                  <c:v>339.7</c:v>
                </c:pt>
                <c:pt idx="7145">
                  <c:v>337.7</c:v>
                </c:pt>
                <c:pt idx="7146">
                  <c:v>340</c:v>
                </c:pt>
                <c:pt idx="7147">
                  <c:v>341.4</c:v>
                </c:pt>
                <c:pt idx="7148">
                  <c:v>339.9</c:v>
                </c:pt>
                <c:pt idx="7149">
                  <c:v>339.3</c:v>
                </c:pt>
                <c:pt idx="7150">
                  <c:v>338.1</c:v>
                </c:pt>
                <c:pt idx="7151">
                  <c:v>338.3</c:v>
                </c:pt>
                <c:pt idx="7152">
                  <c:v>333.1</c:v>
                </c:pt>
                <c:pt idx="7153">
                  <c:v>336.3</c:v>
                </c:pt>
                <c:pt idx="7154">
                  <c:v>332.6</c:v>
                </c:pt>
                <c:pt idx="7155">
                  <c:v>330.8</c:v>
                </c:pt>
                <c:pt idx="7156">
                  <c:v>326.89999999999998</c:v>
                </c:pt>
                <c:pt idx="7157">
                  <c:v>327.3</c:v>
                </c:pt>
                <c:pt idx="7158">
                  <c:v>325.3</c:v>
                </c:pt>
                <c:pt idx="7159">
                  <c:v>323.8</c:v>
                </c:pt>
                <c:pt idx="7160">
                  <c:v>322.10000000000002</c:v>
                </c:pt>
                <c:pt idx="7161">
                  <c:v>321.39999999999998</c:v>
                </c:pt>
                <c:pt idx="7162">
                  <c:v>320</c:v>
                </c:pt>
                <c:pt idx="7163">
                  <c:v>320.89999999999998</c:v>
                </c:pt>
                <c:pt idx="7164">
                  <c:v>317</c:v>
                </c:pt>
                <c:pt idx="7165">
                  <c:v>314.7</c:v>
                </c:pt>
                <c:pt idx="7166">
                  <c:v>315.2</c:v>
                </c:pt>
                <c:pt idx="7167">
                  <c:v>311.2</c:v>
                </c:pt>
                <c:pt idx="7168">
                  <c:v>309.2</c:v>
                </c:pt>
                <c:pt idx="7169">
                  <c:v>308.10000000000002</c:v>
                </c:pt>
                <c:pt idx="7170">
                  <c:v>306.5</c:v>
                </c:pt>
                <c:pt idx="7171">
                  <c:v>309.3</c:v>
                </c:pt>
                <c:pt idx="7172">
                  <c:v>310.60000000000002</c:v>
                </c:pt>
                <c:pt idx="7173">
                  <c:v>312.39999999999998</c:v>
                </c:pt>
                <c:pt idx="7174">
                  <c:v>311.7</c:v>
                </c:pt>
                <c:pt idx="7175">
                  <c:v>316</c:v>
                </c:pt>
                <c:pt idx="7176">
                  <c:v>314.2</c:v>
                </c:pt>
                <c:pt idx="7177">
                  <c:v>314.2</c:v>
                </c:pt>
                <c:pt idx="7178">
                  <c:v>321.5</c:v>
                </c:pt>
                <c:pt idx="7180">
                  <c:v>300.39999999999998</c:v>
                </c:pt>
                <c:pt idx="7181">
                  <c:v>298.39999999999998</c:v>
                </c:pt>
                <c:pt idx="7182">
                  <c:v>299.60000000000002</c:v>
                </c:pt>
                <c:pt idx="7183">
                  <c:v>299.39999999999998</c:v>
                </c:pt>
                <c:pt idx="7184">
                  <c:v>301.7</c:v>
                </c:pt>
                <c:pt idx="7185">
                  <c:v>301.10000000000002</c:v>
                </c:pt>
                <c:pt idx="7186">
                  <c:v>303.39999999999998</c:v>
                </c:pt>
                <c:pt idx="7187">
                  <c:v>302.2</c:v>
                </c:pt>
                <c:pt idx="7188">
                  <c:v>305.10000000000002</c:v>
                </c:pt>
                <c:pt idx="7189">
                  <c:v>299.60000000000002</c:v>
                </c:pt>
                <c:pt idx="7190">
                  <c:v>297.60000000000002</c:v>
                </c:pt>
                <c:pt idx="7191">
                  <c:v>294.8</c:v>
                </c:pt>
                <c:pt idx="7192">
                  <c:v>294.3</c:v>
                </c:pt>
                <c:pt idx="7193">
                  <c:v>297.7</c:v>
                </c:pt>
                <c:pt idx="7194">
                  <c:v>300.39999999999998</c:v>
                </c:pt>
                <c:pt idx="7196">
                  <c:v>289.10000000000002</c:v>
                </c:pt>
                <c:pt idx="7197">
                  <c:v>293.39999999999998</c:v>
                </c:pt>
                <c:pt idx="7198">
                  <c:v>296.60000000000002</c:v>
                </c:pt>
                <c:pt idx="7199">
                  <c:v>300.2</c:v>
                </c:pt>
                <c:pt idx="7200">
                  <c:v>303.3</c:v>
                </c:pt>
                <c:pt idx="7201">
                  <c:v>302</c:v>
                </c:pt>
                <c:pt idx="7202">
                  <c:v>302.39999999999998</c:v>
                </c:pt>
                <c:pt idx="7203">
                  <c:v>300.5</c:v>
                </c:pt>
                <c:pt idx="7204">
                  <c:v>302.8</c:v>
                </c:pt>
                <c:pt idx="7205">
                  <c:v>299.2</c:v>
                </c:pt>
                <c:pt idx="7206">
                  <c:v>298.8</c:v>
                </c:pt>
                <c:pt idx="7207">
                  <c:v>298.10000000000002</c:v>
                </c:pt>
                <c:pt idx="7208">
                  <c:v>296.5</c:v>
                </c:pt>
                <c:pt idx="7209">
                  <c:v>296.10000000000002</c:v>
                </c:pt>
                <c:pt idx="7210">
                  <c:v>293.7</c:v>
                </c:pt>
                <c:pt idx="7211">
                  <c:v>293</c:v>
                </c:pt>
                <c:pt idx="7212">
                  <c:v>289</c:v>
                </c:pt>
                <c:pt idx="7213">
                  <c:v>289.3</c:v>
                </c:pt>
                <c:pt idx="7214">
                  <c:v>285</c:v>
                </c:pt>
                <c:pt idx="7215">
                  <c:v>283.10000000000002</c:v>
                </c:pt>
                <c:pt idx="7216">
                  <c:v>285.10000000000002</c:v>
                </c:pt>
                <c:pt idx="7217">
                  <c:v>280.7</c:v>
                </c:pt>
                <c:pt idx="7218">
                  <c:v>282.5</c:v>
                </c:pt>
                <c:pt idx="7219">
                  <c:v>282.2</c:v>
                </c:pt>
                <c:pt idx="7220">
                  <c:v>285.39999999999998</c:v>
                </c:pt>
                <c:pt idx="7221">
                  <c:v>284.7</c:v>
                </c:pt>
                <c:pt idx="7222">
                  <c:v>288</c:v>
                </c:pt>
                <c:pt idx="7223">
                  <c:v>291</c:v>
                </c:pt>
                <c:pt idx="7224">
                  <c:v>291.39999999999998</c:v>
                </c:pt>
                <c:pt idx="7225">
                  <c:v>291</c:v>
                </c:pt>
                <c:pt idx="7226">
                  <c:v>288.89999999999998</c:v>
                </c:pt>
                <c:pt idx="7227">
                  <c:v>289.10000000000002</c:v>
                </c:pt>
                <c:pt idx="7229">
                  <c:v>265.8</c:v>
                </c:pt>
                <c:pt idx="7230">
                  <c:v>270</c:v>
                </c:pt>
                <c:pt idx="7231">
                  <c:v>271.7</c:v>
                </c:pt>
                <c:pt idx="7232">
                  <c:v>275.10000000000002</c:v>
                </c:pt>
                <c:pt idx="7233">
                  <c:v>277.89999999999998</c:v>
                </c:pt>
                <c:pt idx="7234">
                  <c:v>283.8</c:v>
                </c:pt>
                <c:pt idx="7235">
                  <c:v>286</c:v>
                </c:pt>
                <c:pt idx="7236">
                  <c:v>288.10000000000002</c:v>
                </c:pt>
                <c:pt idx="7237">
                  <c:v>288.3</c:v>
                </c:pt>
                <c:pt idx="7238">
                  <c:v>292.2</c:v>
                </c:pt>
                <c:pt idx="7239">
                  <c:v>291.39999999999998</c:v>
                </c:pt>
                <c:pt idx="7240">
                  <c:v>288.60000000000002</c:v>
                </c:pt>
                <c:pt idx="7241">
                  <c:v>286.89999999999998</c:v>
                </c:pt>
                <c:pt idx="7242">
                  <c:v>289.7</c:v>
                </c:pt>
                <c:pt idx="7243">
                  <c:v>288.2</c:v>
                </c:pt>
                <c:pt idx="7244">
                  <c:v>291.5</c:v>
                </c:pt>
                <c:pt idx="7245">
                  <c:v>290.8</c:v>
                </c:pt>
                <c:pt idx="7246">
                  <c:v>287.2</c:v>
                </c:pt>
                <c:pt idx="7247">
                  <c:v>284.2</c:v>
                </c:pt>
                <c:pt idx="7248">
                  <c:v>283.60000000000002</c:v>
                </c:pt>
                <c:pt idx="7249">
                  <c:v>280</c:v>
                </c:pt>
                <c:pt idx="7250">
                  <c:v>276.39999999999998</c:v>
                </c:pt>
                <c:pt idx="7251">
                  <c:v>278.7</c:v>
                </c:pt>
                <c:pt idx="7252">
                  <c:v>277</c:v>
                </c:pt>
                <c:pt idx="7253">
                  <c:v>271</c:v>
                </c:pt>
                <c:pt idx="7254">
                  <c:v>270.3</c:v>
                </c:pt>
                <c:pt idx="7255">
                  <c:v>264.5</c:v>
                </c:pt>
                <c:pt idx="7256">
                  <c:v>263.8</c:v>
                </c:pt>
                <c:pt idx="7257">
                  <c:v>260.5</c:v>
                </c:pt>
                <c:pt idx="7258">
                  <c:v>260.5</c:v>
                </c:pt>
                <c:pt idx="7259">
                  <c:v>263.8</c:v>
                </c:pt>
                <c:pt idx="7260">
                  <c:v>265.8</c:v>
                </c:pt>
                <c:pt idx="7262">
                  <c:v>285.8</c:v>
                </c:pt>
                <c:pt idx="7263">
                  <c:v>286.8</c:v>
                </c:pt>
                <c:pt idx="7264">
                  <c:v>288.89999999999998</c:v>
                </c:pt>
                <c:pt idx="7265">
                  <c:v>291</c:v>
                </c:pt>
                <c:pt idx="7266">
                  <c:v>294</c:v>
                </c:pt>
                <c:pt idx="7267">
                  <c:v>295.89999999999998</c:v>
                </c:pt>
                <c:pt idx="7268">
                  <c:v>300.2</c:v>
                </c:pt>
                <c:pt idx="7269">
                  <c:v>302.2</c:v>
                </c:pt>
                <c:pt idx="7270">
                  <c:v>305.3</c:v>
                </c:pt>
                <c:pt idx="7271">
                  <c:v>304.5</c:v>
                </c:pt>
                <c:pt idx="7272">
                  <c:v>306.39999999999998</c:v>
                </c:pt>
                <c:pt idx="7273">
                  <c:v>305.7</c:v>
                </c:pt>
                <c:pt idx="7274">
                  <c:v>307.60000000000002</c:v>
                </c:pt>
                <c:pt idx="7275">
                  <c:v>302.60000000000002</c:v>
                </c:pt>
                <c:pt idx="7276">
                  <c:v>301.3</c:v>
                </c:pt>
                <c:pt idx="7277">
                  <c:v>296.3</c:v>
                </c:pt>
                <c:pt idx="7278">
                  <c:v>294.60000000000002</c:v>
                </c:pt>
                <c:pt idx="7279">
                  <c:v>290.5</c:v>
                </c:pt>
                <c:pt idx="7280">
                  <c:v>289.5</c:v>
                </c:pt>
                <c:pt idx="7281">
                  <c:v>287.89999999999998</c:v>
                </c:pt>
                <c:pt idx="7282">
                  <c:v>288.10000000000002</c:v>
                </c:pt>
                <c:pt idx="7283">
                  <c:v>286.10000000000002</c:v>
                </c:pt>
                <c:pt idx="7284">
                  <c:v>283.8</c:v>
                </c:pt>
                <c:pt idx="7285">
                  <c:v>277.89999999999998</c:v>
                </c:pt>
                <c:pt idx="7286">
                  <c:v>275.10000000000002</c:v>
                </c:pt>
                <c:pt idx="7287">
                  <c:v>271.7</c:v>
                </c:pt>
                <c:pt idx="7288">
                  <c:v>270.3</c:v>
                </c:pt>
                <c:pt idx="7289">
                  <c:v>274</c:v>
                </c:pt>
                <c:pt idx="7290">
                  <c:v>275.5</c:v>
                </c:pt>
                <c:pt idx="7291">
                  <c:v>278.3</c:v>
                </c:pt>
                <c:pt idx="7292">
                  <c:v>277.7</c:v>
                </c:pt>
                <c:pt idx="7293">
                  <c:v>281.2</c:v>
                </c:pt>
                <c:pt idx="7294">
                  <c:v>281.5</c:v>
                </c:pt>
                <c:pt idx="7295">
                  <c:v>285.8</c:v>
                </c:pt>
                <c:pt idx="7297">
                  <c:v>270.8</c:v>
                </c:pt>
                <c:pt idx="7298">
                  <c:v>274.2</c:v>
                </c:pt>
                <c:pt idx="7299">
                  <c:v>276.60000000000002</c:v>
                </c:pt>
                <c:pt idx="7300">
                  <c:v>283</c:v>
                </c:pt>
                <c:pt idx="7301">
                  <c:v>286.8</c:v>
                </c:pt>
                <c:pt idx="7302">
                  <c:v>286.2</c:v>
                </c:pt>
                <c:pt idx="7303">
                  <c:v>283.10000000000002</c:v>
                </c:pt>
                <c:pt idx="7304">
                  <c:v>284.89999999999998</c:v>
                </c:pt>
                <c:pt idx="7305">
                  <c:v>281.5</c:v>
                </c:pt>
                <c:pt idx="7306">
                  <c:v>281.2</c:v>
                </c:pt>
                <c:pt idx="7307">
                  <c:v>278.5</c:v>
                </c:pt>
                <c:pt idx="7308">
                  <c:v>279.10000000000002</c:v>
                </c:pt>
                <c:pt idx="7309">
                  <c:v>277.7</c:v>
                </c:pt>
                <c:pt idx="7310">
                  <c:v>278.3</c:v>
                </c:pt>
                <c:pt idx="7311">
                  <c:v>275.5</c:v>
                </c:pt>
                <c:pt idx="7312">
                  <c:v>274</c:v>
                </c:pt>
                <c:pt idx="7313">
                  <c:v>271.2</c:v>
                </c:pt>
                <c:pt idx="7314">
                  <c:v>264.3</c:v>
                </c:pt>
                <c:pt idx="7315">
                  <c:v>263.39999999999998</c:v>
                </c:pt>
                <c:pt idx="7316">
                  <c:v>269</c:v>
                </c:pt>
                <c:pt idx="7317">
                  <c:v>265.7</c:v>
                </c:pt>
                <c:pt idx="7318">
                  <c:v>267.10000000000002</c:v>
                </c:pt>
                <c:pt idx="7319">
                  <c:v>265</c:v>
                </c:pt>
                <c:pt idx="7320">
                  <c:v>261.2</c:v>
                </c:pt>
                <c:pt idx="7321">
                  <c:v>263.60000000000002</c:v>
                </c:pt>
                <c:pt idx="7322">
                  <c:v>265.60000000000002</c:v>
                </c:pt>
                <c:pt idx="7323">
                  <c:v>264.3</c:v>
                </c:pt>
                <c:pt idx="7324">
                  <c:v>267.8</c:v>
                </c:pt>
                <c:pt idx="7325">
                  <c:v>268.3</c:v>
                </c:pt>
                <c:pt idx="7326">
                  <c:v>270.8</c:v>
                </c:pt>
                <c:pt idx="7328">
                  <c:v>287.3</c:v>
                </c:pt>
                <c:pt idx="7329">
                  <c:v>288.2</c:v>
                </c:pt>
                <c:pt idx="7330">
                  <c:v>290.5</c:v>
                </c:pt>
                <c:pt idx="7331">
                  <c:v>291</c:v>
                </c:pt>
                <c:pt idx="7332">
                  <c:v>295.89999999999998</c:v>
                </c:pt>
                <c:pt idx="7333">
                  <c:v>298.5</c:v>
                </c:pt>
                <c:pt idx="7334">
                  <c:v>303.60000000000002</c:v>
                </c:pt>
                <c:pt idx="7335">
                  <c:v>305.39999999999998</c:v>
                </c:pt>
                <c:pt idx="7336">
                  <c:v>300.60000000000002</c:v>
                </c:pt>
                <c:pt idx="7337">
                  <c:v>305.60000000000002</c:v>
                </c:pt>
                <c:pt idx="7338">
                  <c:v>303.8</c:v>
                </c:pt>
                <c:pt idx="7339">
                  <c:v>301.89999999999998</c:v>
                </c:pt>
                <c:pt idx="7340">
                  <c:v>297.8</c:v>
                </c:pt>
                <c:pt idx="7341">
                  <c:v>295.8</c:v>
                </c:pt>
                <c:pt idx="7342">
                  <c:v>293.5</c:v>
                </c:pt>
                <c:pt idx="7343">
                  <c:v>294</c:v>
                </c:pt>
                <c:pt idx="7344">
                  <c:v>292.39999999999998</c:v>
                </c:pt>
                <c:pt idx="7345">
                  <c:v>288.89999999999998</c:v>
                </c:pt>
                <c:pt idx="7346">
                  <c:v>286.8</c:v>
                </c:pt>
                <c:pt idx="7347">
                  <c:v>286.2</c:v>
                </c:pt>
                <c:pt idx="7348">
                  <c:v>283.10000000000002</c:v>
                </c:pt>
                <c:pt idx="7349">
                  <c:v>286.2</c:v>
                </c:pt>
                <c:pt idx="7350">
                  <c:v>286.7</c:v>
                </c:pt>
                <c:pt idx="7351">
                  <c:v>283</c:v>
                </c:pt>
                <c:pt idx="7352">
                  <c:v>276.60000000000002</c:v>
                </c:pt>
                <c:pt idx="7353">
                  <c:v>274.2</c:v>
                </c:pt>
                <c:pt idx="7354">
                  <c:v>269.5</c:v>
                </c:pt>
                <c:pt idx="7355">
                  <c:v>272.89999999999998</c:v>
                </c:pt>
                <c:pt idx="7356">
                  <c:v>275.10000000000002</c:v>
                </c:pt>
                <c:pt idx="7357">
                  <c:v>276.5</c:v>
                </c:pt>
                <c:pt idx="7358">
                  <c:v>281.2</c:v>
                </c:pt>
                <c:pt idx="7359">
                  <c:v>283.89999999999998</c:v>
                </c:pt>
                <c:pt idx="7360">
                  <c:v>285.2</c:v>
                </c:pt>
                <c:pt idx="7361">
                  <c:v>287.3</c:v>
                </c:pt>
                <c:pt idx="7363">
                  <c:v>306.10000000000002</c:v>
                </c:pt>
                <c:pt idx="7364">
                  <c:v>308.3</c:v>
                </c:pt>
                <c:pt idx="7365">
                  <c:v>308.8</c:v>
                </c:pt>
                <c:pt idx="7366">
                  <c:v>311.39999999999998</c:v>
                </c:pt>
                <c:pt idx="7367">
                  <c:v>314.8</c:v>
                </c:pt>
                <c:pt idx="7368">
                  <c:v>315.39999999999998</c:v>
                </c:pt>
                <c:pt idx="7369">
                  <c:v>311.8</c:v>
                </c:pt>
                <c:pt idx="7370">
                  <c:v>311.5</c:v>
                </c:pt>
                <c:pt idx="7371">
                  <c:v>317.60000000000002</c:v>
                </c:pt>
                <c:pt idx="7372">
                  <c:v>318.8</c:v>
                </c:pt>
                <c:pt idx="7373">
                  <c:v>320.5</c:v>
                </c:pt>
                <c:pt idx="7374">
                  <c:v>323.60000000000002</c:v>
                </c:pt>
                <c:pt idx="7375">
                  <c:v>328.1</c:v>
                </c:pt>
                <c:pt idx="7376">
                  <c:v>329.4</c:v>
                </c:pt>
                <c:pt idx="7377">
                  <c:v>328.3</c:v>
                </c:pt>
                <c:pt idx="7378">
                  <c:v>328.2</c:v>
                </c:pt>
                <c:pt idx="7379">
                  <c:v>330.7</c:v>
                </c:pt>
                <c:pt idx="7380">
                  <c:v>329.4</c:v>
                </c:pt>
                <c:pt idx="7381">
                  <c:v>323.10000000000002</c:v>
                </c:pt>
                <c:pt idx="7382">
                  <c:v>315.8</c:v>
                </c:pt>
                <c:pt idx="7383">
                  <c:v>315.10000000000002</c:v>
                </c:pt>
                <c:pt idx="7384">
                  <c:v>316.39999999999998</c:v>
                </c:pt>
                <c:pt idx="7385">
                  <c:v>313.7</c:v>
                </c:pt>
                <c:pt idx="7386">
                  <c:v>314.10000000000002</c:v>
                </c:pt>
                <c:pt idx="7387">
                  <c:v>305.60000000000002</c:v>
                </c:pt>
                <c:pt idx="7388">
                  <c:v>302.10000000000002</c:v>
                </c:pt>
                <c:pt idx="7389">
                  <c:v>300.2</c:v>
                </c:pt>
                <c:pt idx="7390">
                  <c:v>295.89999999999998</c:v>
                </c:pt>
                <c:pt idx="7391">
                  <c:v>293.39999999999998</c:v>
                </c:pt>
                <c:pt idx="7392">
                  <c:v>295.8</c:v>
                </c:pt>
                <c:pt idx="7393">
                  <c:v>297.8</c:v>
                </c:pt>
                <c:pt idx="7394">
                  <c:v>301.89999999999998</c:v>
                </c:pt>
                <c:pt idx="7395">
                  <c:v>303.8</c:v>
                </c:pt>
                <c:pt idx="7396">
                  <c:v>305.60000000000002</c:v>
                </c:pt>
                <c:pt idx="7397">
                  <c:v>300.60000000000002</c:v>
                </c:pt>
                <c:pt idx="7398">
                  <c:v>306.10000000000002</c:v>
                </c:pt>
                <c:pt idx="7400">
                  <c:v>206.7</c:v>
                </c:pt>
                <c:pt idx="7401">
                  <c:v>206.9</c:v>
                </c:pt>
                <c:pt idx="7402">
                  <c:v>204.8</c:v>
                </c:pt>
                <c:pt idx="7403">
                  <c:v>205.7</c:v>
                </c:pt>
                <c:pt idx="7404">
                  <c:v>206.7</c:v>
                </c:pt>
                <c:pt idx="7406">
                  <c:v>201.4</c:v>
                </c:pt>
                <c:pt idx="7407">
                  <c:v>202.4</c:v>
                </c:pt>
                <c:pt idx="7408">
                  <c:v>201.4</c:v>
                </c:pt>
                <c:pt idx="7409">
                  <c:v>189.1</c:v>
                </c:pt>
                <c:pt idx="7410">
                  <c:v>184.2</c:v>
                </c:pt>
                <c:pt idx="7411">
                  <c:v>168.8</c:v>
                </c:pt>
                <c:pt idx="7412">
                  <c:v>161.5</c:v>
                </c:pt>
                <c:pt idx="7413">
                  <c:v>160.4</c:v>
                </c:pt>
                <c:pt idx="7414">
                  <c:v>152.30000000000001</c:v>
                </c:pt>
                <c:pt idx="7415">
                  <c:v>143.9</c:v>
                </c:pt>
                <c:pt idx="7416">
                  <c:v>143.9</c:v>
                </c:pt>
                <c:pt idx="7417">
                  <c:v>139.30000000000001</c:v>
                </c:pt>
                <c:pt idx="7418">
                  <c:v>136.69999999999999</c:v>
                </c:pt>
                <c:pt idx="7419">
                  <c:v>137.30000000000001</c:v>
                </c:pt>
                <c:pt idx="7420">
                  <c:v>144.4</c:v>
                </c:pt>
                <c:pt idx="7421">
                  <c:v>145.5</c:v>
                </c:pt>
                <c:pt idx="7422">
                  <c:v>148.69999999999999</c:v>
                </c:pt>
                <c:pt idx="7423">
                  <c:v>149.9</c:v>
                </c:pt>
                <c:pt idx="7424">
                  <c:v>162</c:v>
                </c:pt>
                <c:pt idx="7425">
                  <c:v>165.7</c:v>
                </c:pt>
                <c:pt idx="7426">
                  <c:v>178</c:v>
                </c:pt>
                <c:pt idx="7427">
                  <c:v>178.9</c:v>
                </c:pt>
                <c:pt idx="7428">
                  <c:v>180.9</c:v>
                </c:pt>
                <c:pt idx="7429">
                  <c:v>189.5</c:v>
                </c:pt>
                <c:pt idx="7430">
                  <c:v>194.9</c:v>
                </c:pt>
                <c:pt idx="7431">
                  <c:v>196.1</c:v>
                </c:pt>
                <c:pt idx="7432">
                  <c:v>200.6</c:v>
                </c:pt>
                <c:pt idx="7433">
                  <c:v>201.4</c:v>
                </c:pt>
                <c:pt idx="7435">
                  <c:v>152.4</c:v>
                </c:pt>
                <c:pt idx="7436">
                  <c:v>151.30000000000001</c:v>
                </c:pt>
                <c:pt idx="7437">
                  <c:v>149</c:v>
                </c:pt>
                <c:pt idx="7438">
                  <c:v>152.4</c:v>
                </c:pt>
                <c:pt idx="7440">
                  <c:v>202.3</c:v>
                </c:pt>
                <c:pt idx="7441">
                  <c:v>203.3</c:v>
                </c:pt>
                <c:pt idx="7442">
                  <c:v>204.4</c:v>
                </c:pt>
                <c:pt idx="7443">
                  <c:v>205.3</c:v>
                </c:pt>
                <c:pt idx="7444">
                  <c:v>204</c:v>
                </c:pt>
                <c:pt idx="7445">
                  <c:v>203.2</c:v>
                </c:pt>
                <c:pt idx="7446">
                  <c:v>204.4</c:v>
                </c:pt>
                <c:pt idx="7447">
                  <c:v>202.7</c:v>
                </c:pt>
                <c:pt idx="7448">
                  <c:v>201.8</c:v>
                </c:pt>
                <c:pt idx="7449">
                  <c:v>198.7</c:v>
                </c:pt>
                <c:pt idx="7450">
                  <c:v>195.6</c:v>
                </c:pt>
                <c:pt idx="7451">
                  <c:v>190.6</c:v>
                </c:pt>
                <c:pt idx="7452">
                  <c:v>187.5</c:v>
                </c:pt>
                <c:pt idx="7453">
                  <c:v>180.1</c:v>
                </c:pt>
                <c:pt idx="7454">
                  <c:v>175</c:v>
                </c:pt>
                <c:pt idx="7455">
                  <c:v>173.1</c:v>
                </c:pt>
                <c:pt idx="7456">
                  <c:v>172.2</c:v>
                </c:pt>
                <c:pt idx="7457">
                  <c:v>171.6</c:v>
                </c:pt>
                <c:pt idx="7458">
                  <c:v>171.9</c:v>
                </c:pt>
                <c:pt idx="7459">
                  <c:v>168.1</c:v>
                </c:pt>
                <c:pt idx="7460">
                  <c:v>163.9</c:v>
                </c:pt>
                <c:pt idx="7461">
                  <c:v>162.5</c:v>
                </c:pt>
                <c:pt idx="7462">
                  <c:v>158.30000000000001</c:v>
                </c:pt>
                <c:pt idx="7463">
                  <c:v>154.6</c:v>
                </c:pt>
                <c:pt idx="7464">
                  <c:v>151.19999999999999</c:v>
                </c:pt>
                <c:pt idx="7465">
                  <c:v>151.19999999999999</c:v>
                </c:pt>
                <c:pt idx="7466">
                  <c:v>148.6</c:v>
                </c:pt>
                <c:pt idx="7467">
                  <c:v>148.30000000000001</c:v>
                </c:pt>
                <c:pt idx="7468">
                  <c:v>146.19999999999999</c:v>
                </c:pt>
                <c:pt idx="7469">
                  <c:v>137.30000000000001</c:v>
                </c:pt>
                <c:pt idx="7470">
                  <c:v>139.30000000000001</c:v>
                </c:pt>
                <c:pt idx="7471">
                  <c:v>143.9</c:v>
                </c:pt>
                <c:pt idx="7472">
                  <c:v>143.9</c:v>
                </c:pt>
                <c:pt idx="7473">
                  <c:v>152.30000000000001</c:v>
                </c:pt>
                <c:pt idx="7474">
                  <c:v>160.4</c:v>
                </c:pt>
                <c:pt idx="7475">
                  <c:v>161.5</c:v>
                </c:pt>
                <c:pt idx="7476">
                  <c:v>165.4</c:v>
                </c:pt>
                <c:pt idx="7477">
                  <c:v>174.1</c:v>
                </c:pt>
                <c:pt idx="7478">
                  <c:v>184</c:v>
                </c:pt>
                <c:pt idx="7479">
                  <c:v>189.1</c:v>
                </c:pt>
                <c:pt idx="7480">
                  <c:v>199.9</c:v>
                </c:pt>
                <c:pt idx="7481">
                  <c:v>202.3</c:v>
                </c:pt>
              </c:numCache>
            </c:numRef>
          </c:xVal>
          <c:yVal>
            <c:numRef>
              <c:f>d_경계!$B$2:$B$7484</c:f>
              <c:numCache>
                <c:formatCode>General</c:formatCode>
                <c:ptCount val="7483"/>
                <c:pt idx="0">
                  <c:v>489.9</c:v>
                </c:pt>
                <c:pt idx="1">
                  <c:v>487.4</c:v>
                </c:pt>
                <c:pt idx="2">
                  <c:v>486.5</c:v>
                </c:pt>
                <c:pt idx="3">
                  <c:v>483.7</c:v>
                </c:pt>
                <c:pt idx="4">
                  <c:v>483</c:v>
                </c:pt>
                <c:pt idx="5">
                  <c:v>484.4</c:v>
                </c:pt>
                <c:pt idx="6">
                  <c:v>489.3</c:v>
                </c:pt>
                <c:pt idx="7">
                  <c:v>489.9</c:v>
                </c:pt>
                <c:pt idx="9">
                  <c:v>483.7</c:v>
                </c:pt>
                <c:pt idx="10">
                  <c:v>480.7</c:v>
                </c:pt>
                <c:pt idx="11">
                  <c:v>481.5</c:v>
                </c:pt>
                <c:pt idx="12">
                  <c:v>483.3</c:v>
                </c:pt>
                <c:pt idx="13">
                  <c:v>483.7</c:v>
                </c:pt>
                <c:pt idx="15">
                  <c:v>481.7</c:v>
                </c:pt>
                <c:pt idx="16">
                  <c:v>480</c:v>
                </c:pt>
                <c:pt idx="17">
                  <c:v>476.6</c:v>
                </c:pt>
                <c:pt idx="18">
                  <c:v>477.8</c:v>
                </c:pt>
                <c:pt idx="19">
                  <c:v>479.5</c:v>
                </c:pt>
                <c:pt idx="20">
                  <c:v>481.7</c:v>
                </c:pt>
                <c:pt idx="22">
                  <c:v>483.7</c:v>
                </c:pt>
                <c:pt idx="23">
                  <c:v>482.3</c:v>
                </c:pt>
                <c:pt idx="24">
                  <c:v>479</c:v>
                </c:pt>
                <c:pt idx="25">
                  <c:v>480.4</c:v>
                </c:pt>
                <c:pt idx="26">
                  <c:v>483.7</c:v>
                </c:pt>
                <c:pt idx="27">
                  <c:v>483.7</c:v>
                </c:pt>
                <c:pt idx="29">
                  <c:v>483.5</c:v>
                </c:pt>
                <c:pt idx="30">
                  <c:v>480.4</c:v>
                </c:pt>
                <c:pt idx="31">
                  <c:v>478.4</c:v>
                </c:pt>
                <c:pt idx="32">
                  <c:v>479</c:v>
                </c:pt>
                <c:pt idx="33">
                  <c:v>483.7</c:v>
                </c:pt>
                <c:pt idx="34">
                  <c:v>483.5</c:v>
                </c:pt>
                <c:pt idx="36">
                  <c:v>486.7</c:v>
                </c:pt>
                <c:pt idx="37">
                  <c:v>482.4</c:v>
                </c:pt>
                <c:pt idx="38">
                  <c:v>483.7</c:v>
                </c:pt>
                <c:pt idx="39">
                  <c:v>486.4</c:v>
                </c:pt>
                <c:pt idx="40">
                  <c:v>487.7</c:v>
                </c:pt>
                <c:pt idx="41">
                  <c:v>486.7</c:v>
                </c:pt>
                <c:pt idx="43">
                  <c:v>488.8</c:v>
                </c:pt>
                <c:pt idx="44">
                  <c:v>484.9</c:v>
                </c:pt>
                <c:pt idx="45">
                  <c:v>483.7</c:v>
                </c:pt>
                <c:pt idx="46">
                  <c:v>488.4</c:v>
                </c:pt>
                <c:pt idx="47">
                  <c:v>488.8</c:v>
                </c:pt>
                <c:pt idx="49">
                  <c:v>490</c:v>
                </c:pt>
                <c:pt idx="50">
                  <c:v>487.9</c:v>
                </c:pt>
                <c:pt idx="51">
                  <c:v>489.3</c:v>
                </c:pt>
                <c:pt idx="52">
                  <c:v>487.5</c:v>
                </c:pt>
                <c:pt idx="53">
                  <c:v>484.6</c:v>
                </c:pt>
                <c:pt idx="54">
                  <c:v>486.5</c:v>
                </c:pt>
                <c:pt idx="55">
                  <c:v>487.4</c:v>
                </c:pt>
                <c:pt idx="56">
                  <c:v>490.1</c:v>
                </c:pt>
                <c:pt idx="57">
                  <c:v>490</c:v>
                </c:pt>
                <c:pt idx="59">
                  <c:v>494.4</c:v>
                </c:pt>
                <c:pt idx="60">
                  <c:v>492.2</c:v>
                </c:pt>
                <c:pt idx="61">
                  <c:v>489.3</c:v>
                </c:pt>
                <c:pt idx="62">
                  <c:v>487.7</c:v>
                </c:pt>
                <c:pt idx="63">
                  <c:v>490.6</c:v>
                </c:pt>
                <c:pt idx="64">
                  <c:v>492.8</c:v>
                </c:pt>
                <c:pt idx="65">
                  <c:v>495.6</c:v>
                </c:pt>
                <c:pt idx="66">
                  <c:v>494.4</c:v>
                </c:pt>
                <c:pt idx="68">
                  <c:v>497.5</c:v>
                </c:pt>
                <c:pt idx="69">
                  <c:v>495.9</c:v>
                </c:pt>
                <c:pt idx="70">
                  <c:v>491.1</c:v>
                </c:pt>
                <c:pt idx="71">
                  <c:v>490</c:v>
                </c:pt>
                <c:pt idx="72">
                  <c:v>492.3</c:v>
                </c:pt>
                <c:pt idx="73">
                  <c:v>496.4</c:v>
                </c:pt>
                <c:pt idx="74">
                  <c:v>497.5</c:v>
                </c:pt>
                <c:pt idx="76">
                  <c:v>496.9</c:v>
                </c:pt>
                <c:pt idx="77">
                  <c:v>496.3</c:v>
                </c:pt>
                <c:pt idx="78">
                  <c:v>492</c:v>
                </c:pt>
                <c:pt idx="79">
                  <c:v>490.2</c:v>
                </c:pt>
                <c:pt idx="80">
                  <c:v>488.9</c:v>
                </c:pt>
                <c:pt idx="81">
                  <c:v>488.3</c:v>
                </c:pt>
                <c:pt idx="82">
                  <c:v>490.1</c:v>
                </c:pt>
                <c:pt idx="83">
                  <c:v>491.1</c:v>
                </c:pt>
                <c:pt idx="84">
                  <c:v>496.1</c:v>
                </c:pt>
                <c:pt idx="85">
                  <c:v>496.9</c:v>
                </c:pt>
                <c:pt idx="87">
                  <c:v>492.6</c:v>
                </c:pt>
                <c:pt idx="88">
                  <c:v>490.3</c:v>
                </c:pt>
                <c:pt idx="89">
                  <c:v>487.9</c:v>
                </c:pt>
                <c:pt idx="90">
                  <c:v>484.1</c:v>
                </c:pt>
                <c:pt idx="91">
                  <c:v>485.7</c:v>
                </c:pt>
                <c:pt idx="92">
                  <c:v>485.6</c:v>
                </c:pt>
                <c:pt idx="93">
                  <c:v>492</c:v>
                </c:pt>
                <c:pt idx="94">
                  <c:v>492.6</c:v>
                </c:pt>
                <c:pt idx="96">
                  <c:v>486.5</c:v>
                </c:pt>
                <c:pt idx="97">
                  <c:v>482.1</c:v>
                </c:pt>
                <c:pt idx="98">
                  <c:v>481.8</c:v>
                </c:pt>
                <c:pt idx="99">
                  <c:v>484.1</c:v>
                </c:pt>
                <c:pt idx="100">
                  <c:v>487.9</c:v>
                </c:pt>
                <c:pt idx="101">
                  <c:v>486.5</c:v>
                </c:pt>
                <c:pt idx="103">
                  <c:v>484.4</c:v>
                </c:pt>
                <c:pt idx="104">
                  <c:v>481.8</c:v>
                </c:pt>
                <c:pt idx="105">
                  <c:v>482.3</c:v>
                </c:pt>
                <c:pt idx="106">
                  <c:v>480.2</c:v>
                </c:pt>
                <c:pt idx="107">
                  <c:v>480.4</c:v>
                </c:pt>
                <c:pt idx="108">
                  <c:v>483.3</c:v>
                </c:pt>
                <c:pt idx="109">
                  <c:v>485.7</c:v>
                </c:pt>
                <c:pt idx="110">
                  <c:v>484.4</c:v>
                </c:pt>
                <c:pt idx="112">
                  <c:v>477</c:v>
                </c:pt>
                <c:pt idx="113">
                  <c:v>477</c:v>
                </c:pt>
                <c:pt idx="114">
                  <c:v>481</c:v>
                </c:pt>
                <c:pt idx="115">
                  <c:v>478.8</c:v>
                </c:pt>
                <c:pt idx="116">
                  <c:v>479.1</c:v>
                </c:pt>
                <c:pt idx="117">
                  <c:v>481.4</c:v>
                </c:pt>
                <c:pt idx="118">
                  <c:v>481.1</c:v>
                </c:pt>
                <c:pt idx="119">
                  <c:v>479.3</c:v>
                </c:pt>
                <c:pt idx="120">
                  <c:v>477</c:v>
                </c:pt>
                <c:pt idx="122">
                  <c:v>485.5</c:v>
                </c:pt>
                <c:pt idx="123">
                  <c:v>482</c:v>
                </c:pt>
                <c:pt idx="124">
                  <c:v>481.4</c:v>
                </c:pt>
                <c:pt idx="125">
                  <c:v>479.1</c:v>
                </c:pt>
                <c:pt idx="126">
                  <c:v>478.8</c:v>
                </c:pt>
                <c:pt idx="127">
                  <c:v>481</c:v>
                </c:pt>
                <c:pt idx="128">
                  <c:v>479.8</c:v>
                </c:pt>
                <c:pt idx="129">
                  <c:v>481.9</c:v>
                </c:pt>
                <c:pt idx="130">
                  <c:v>487.2</c:v>
                </c:pt>
                <c:pt idx="131">
                  <c:v>485.5</c:v>
                </c:pt>
                <c:pt idx="133">
                  <c:v>477</c:v>
                </c:pt>
                <c:pt idx="134">
                  <c:v>476.9</c:v>
                </c:pt>
                <c:pt idx="135">
                  <c:v>473.6</c:v>
                </c:pt>
                <c:pt idx="136">
                  <c:v>475.3</c:v>
                </c:pt>
                <c:pt idx="137">
                  <c:v>473</c:v>
                </c:pt>
                <c:pt idx="138">
                  <c:v>473.2</c:v>
                </c:pt>
                <c:pt idx="139">
                  <c:v>476.7</c:v>
                </c:pt>
                <c:pt idx="140">
                  <c:v>477</c:v>
                </c:pt>
                <c:pt idx="142">
                  <c:v>474.3</c:v>
                </c:pt>
                <c:pt idx="143">
                  <c:v>473.8</c:v>
                </c:pt>
                <c:pt idx="144">
                  <c:v>470.6</c:v>
                </c:pt>
                <c:pt idx="145">
                  <c:v>468.7</c:v>
                </c:pt>
                <c:pt idx="146">
                  <c:v>474.3</c:v>
                </c:pt>
                <c:pt idx="148">
                  <c:v>480.1</c:v>
                </c:pt>
                <c:pt idx="149">
                  <c:v>477.8</c:v>
                </c:pt>
                <c:pt idx="150">
                  <c:v>477.6</c:v>
                </c:pt>
                <c:pt idx="151">
                  <c:v>474.3</c:v>
                </c:pt>
                <c:pt idx="152">
                  <c:v>477.9</c:v>
                </c:pt>
                <c:pt idx="153">
                  <c:v>479.3</c:v>
                </c:pt>
                <c:pt idx="154">
                  <c:v>481.6</c:v>
                </c:pt>
                <c:pt idx="155">
                  <c:v>480.1</c:v>
                </c:pt>
                <c:pt idx="157">
                  <c:v>475.4</c:v>
                </c:pt>
                <c:pt idx="158">
                  <c:v>473.3</c:v>
                </c:pt>
                <c:pt idx="159">
                  <c:v>475.2</c:v>
                </c:pt>
                <c:pt idx="160">
                  <c:v>474.3</c:v>
                </c:pt>
                <c:pt idx="161">
                  <c:v>477.6</c:v>
                </c:pt>
                <c:pt idx="162">
                  <c:v>477.5</c:v>
                </c:pt>
                <c:pt idx="163">
                  <c:v>475.4</c:v>
                </c:pt>
                <c:pt idx="165">
                  <c:v>475.1</c:v>
                </c:pt>
                <c:pt idx="166">
                  <c:v>475.2</c:v>
                </c:pt>
                <c:pt idx="167">
                  <c:v>472.4</c:v>
                </c:pt>
                <c:pt idx="168">
                  <c:v>469.4</c:v>
                </c:pt>
                <c:pt idx="169">
                  <c:v>469</c:v>
                </c:pt>
                <c:pt idx="170">
                  <c:v>473.6</c:v>
                </c:pt>
                <c:pt idx="171">
                  <c:v>475.1</c:v>
                </c:pt>
                <c:pt idx="173">
                  <c:v>478.4</c:v>
                </c:pt>
                <c:pt idx="174">
                  <c:v>472.4</c:v>
                </c:pt>
                <c:pt idx="175">
                  <c:v>473.3</c:v>
                </c:pt>
                <c:pt idx="176">
                  <c:v>471.7</c:v>
                </c:pt>
                <c:pt idx="177">
                  <c:v>468.4</c:v>
                </c:pt>
                <c:pt idx="178">
                  <c:v>469.3</c:v>
                </c:pt>
                <c:pt idx="179">
                  <c:v>472.2</c:v>
                </c:pt>
                <c:pt idx="180">
                  <c:v>471.5</c:v>
                </c:pt>
                <c:pt idx="181">
                  <c:v>476.6</c:v>
                </c:pt>
                <c:pt idx="182">
                  <c:v>478.4</c:v>
                </c:pt>
                <c:pt idx="184">
                  <c:v>478.6</c:v>
                </c:pt>
                <c:pt idx="185">
                  <c:v>476.2</c:v>
                </c:pt>
                <c:pt idx="186">
                  <c:v>474.7</c:v>
                </c:pt>
                <c:pt idx="187">
                  <c:v>471.4</c:v>
                </c:pt>
                <c:pt idx="188">
                  <c:v>471.2</c:v>
                </c:pt>
                <c:pt idx="189">
                  <c:v>473.3</c:v>
                </c:pt>
                <c:pt idx="190">
                  <c:v>472.4</c:v>
                </c:pt>
                <c:pt idx="191">
                  <c:v>474.2</c:v>
                </c:pt>
                <c:pt idx="192">
                  <c:v>478.7</c:v>
                </c:pt>
                <c:pt idx="193">
                  <c:v>479.8</c:v>
                </c:pt>
                <c:pt idx="194">
                  <c:v>478.6</c:v>
                </c:pt>
                <c:pt idx="196">
                  <c:v>480.1</c:v>
                </c:pt>
                <c:pt idx="197">
                  <c:v>476.5</c:v>
                </c:pt>
                <c:pt idx="198">
                  <c:v>475.9</c:v>
                </c:pt>
                <c:pt idx="199">
                  <c:v>472.3</c:v>
                </c:pt>
                <c:pt idx="200">
                  <c:v>475.1</c:v>
                </c:pt>
                <c:pt idx="201">
                  <c:v>476.2</c:v>
                </c:pt>
                <c:pt idx="202">
                  <c:v>478.5</c:v>
                </c:pt>
                <c:pt idx="203">
                  <c:v>480.1</c:v>
                </c:pt>
                <c:pt idx="205">
                  <c:v>484.4</c:v>
                </c:pt>
                <c:pt idx="206">
                  <c:v>480.8</c:v>
                </c:pt>
                <c:pt idx="207">
                  <c:v>480.8</c:v>
                </c:pt>
                <c:pt idx="208">
                  <c:v>477.7</c:v>
                </c:pt>
                <c:pt idx="209">
                  <c:v>478.9</c:v>
                </c:pt>
                <c:pt idx="210">
                  <c:v>482.3</c:v>
                </c:pt>
                <c:pt idx="211">
                  <c:v>484.4</c:v>
                </c:pt>
                <c:pt idx="213">
                  <c:v>218.1</c:v>
                </c:pt>
                <c:pt idx="214">
                  <c:v>217</c:v>
                </c:pt>
                <c:pt idx="215">
                  <c:v>215.8</c:v>
                </c:pt>
                <c:pt idx="216">
                  <c:v>218.1</c:v>
                </c:pt>
                <c:pt idx="218">
                  <c:v>220.6</c:v>
                </c:pt>
                <c:pt idx="219">
                  <c:v>220.2</c:v>
                </c:pt>
                <c:pt idx="220">
                  <c:v>217.7</c:v>
                </c:pt>
                <c:pt idx="221">
                  <c:v>211.1</c:v>
                </c:pt>
                <c:pt idx="222">
                  <c:v>220.6</c:v>
                </c:pt>
                <c:pt idx="224">
                  <c:v>221</c:v>
                </c:pt>
                <c:pt idx="225">
                  <c:v>219.6</c:v>
                </c:pt>
                <c:pt idx="226">
                  <c:v>217.1</c:v>
                </c:pt>
                <c:pt idx="227">
                  <c:v>218.2</c:v>
                </c:pt>
                <c:pt idx="228">
                  <c:v>220.2</c:v>
                </c:pt>
                <c:pt idx="229">
                  <c:v>221</c:v>
                </c:pt>
                <c:pt idx="231">
                  <c:v>216.4</c:v>
                </c:pt>
                <c:pt idx="232">
                  <c:v>213.6</c:v>
                </c:pt>
                <c:pt idx="233">
                  <c:v>214.2</c:v>
                </c:pt>
                <c:pt idx="234">
                  <c:v>213.2</c:v>
                </c:pt>
                <c:pt idx="235">
                  <c:v>212</c:v>
                </c:pt>
                <c:pt idx="236">
                  <c:v>210.8</c:v>
                </c:pt>
                <c:pt idx="237">
                  <c:v>214.7</c:v>
                </c:pt>
                <c:pt idx="238">
                  <c:v>215.7</c:v>
                </c:pt>
                <c:pt idx="239">
                  <c:v>216.4</c:v>
                </c:pt>
                <c:pt idx="241">
                  <c:v>227.1</c:v>
                </c:pt>
                <c:pt idx="242">
                  <c:v>224.1</c:v>
                </c:pt>
                <c:pt idx="243">
                  <c:v>222.3</c:v>
                </c:pt>
                <c:pt idx="244">
                  <c:v>220.8</c:v>
                </c:pt>
                <c:pt idx="245">
                  <c:v>220.2</c:v>
                </c:pt>
                <c:pt idx="246">
                  <c:v>224.3</c:v>
                </c:pt>
                <c:pt idx="247">
                  <c:v>227.1</c:v>
                </c:pt>
                <c:pt idx="249">
                  <c:v>229.9</c:v>
                </c:pt>
                <c:pt idx="250">
                  <c:v>228.2</c:v>
                </c:pt>
                <c:pt idx="251">
                  <c:v>225.4</c:v>
                </c:pt>
                <c:pt idx="252">
                  <c:v>227.1</c:v>
                </c:pt>
                <c:pt idx="253">
                  <c:v>226.5</c:v>
                </c:pt>
                <c:pt idx="254">
                  <c:v>229.8</c:v>
                </c:pt>
                <c:pt idx="255">
                  <c:v>229.9</c:v>
                </c:pt>
                <c:pt idx="257">
                  <c:v>222.9</c:v>
                </c:pt>
                <c:pt idx="258">
                  <c:v>218.3</c:v>
                </c:pt>
                <c:pt idx="259">
                  <c:v>215.4</c:v>
                </c:pt>
                <c:pt idx="260">
                  <c:v>217.3</c:v>
                </c:pt>
                <c:pt idx="261">
                  <c:v>217.3</c:v>
                </c:pt>
                <c:pt idx="262">
                  <c:v>221.6</c:v>
                </c:pt>
                <c:pt idx="263">
                  <c:v>222.9</c:v>
                </c:pt>
                <c:pt idx="265">
                  <c:v>235.4</c:v>
                </c:pt>
                <c:pt idx="266">
                  <c:v>235.2</c:v>
                </c:pt>
                <c:pt idx="267">
                  <c:v>230.4</c:v>
                </c:pt>
                <c:pt idx="268">
                  <c:v>229.9</c:v>
                </c:pt>
                <c:pt idx="269">
                  <c:v>227.1</c:v>
                </c:pt>
                <c:pt idx="270">
                  <c:v>226</c:v>
                </c:pt>
                <c:pt idx="271">
                  <c:v>226.7</c:v>
                </c:pt>
                <c:pt idx="272">
                  <c:v>231</c:v>
                </c:pt>
                <c:pt idx="273">
                  <c:v>235.1</c:v>
                </c:pt>
                <c:pt idx="274">
                  <c:v>235.4</c:v>
                </c:pt>
                <c:pt idx="276">
                  <c:v>231.1</c:v>
                </c:pt>
                <c:pt idx="277">
                  <c:v>230.1</c:v>
                </c:pt>
                <c:pt idx="278">
                  <c:v>227.8</c:v>
                </c:pt>
                <c:pt idx="279">
                  <c:v>226</c:v>
                </c:pt>
                <c:pt idx="280">
                  <c:v>226.8</c:v>
                </c:pt>
                <c:pt idx="281">
                  <c:v>225.2</c:v>
                </c:pt>
                <c:pt idx="282">
                  <c:v>222.8</c:v>
                </c:pt>
                <c:pt idx="283">
                  <c:v>221.9</c:v>
                </c:pt>
                <c:pt idx="284">
                  <c:v>223.4</c:v>
                </c:pt>
                <c:pt idx="285">
                  <c:v>228.2</c:v>
                </c:pt>
                <c:pt idx="286">
                  <c:v>232.6</c:v>
                </c:pt>
                <c:pt idx="287">
                  <c:v>231.1</c:v>
                </c:pt>
                <c:pt idx="289">
                  <c:v>212.2</c:v>
                </c:pt>
                <c:pt idx="290">
                  <c:v>211.4</c:v>
                </c:pt>
                <c:pt idx="291">
                  <c:v>210.6</c:v>
                </c:pt>
                <c:pt idx="292">
                  <c:v>211.4</c:v>
                </c:pt>
                <c:pt idx="293">
                  <c:v>211</c:v>
                </c:pt>
                <c:pt idx="294">
                  <c:v>213.6</c:v>
                </c:pt>
                <c:pt idx="295">
                  <c:v>212.2</c:v>
                </c:pt>
                <c:pt idx="297">
                  <c:v>210.9</c:v>
                </c:pt>
                <c:pt idx="298">
                  <c:v>217</c:v>
                </c:pt>
                <c:pt idx="299">
                  <c:v>214</c:v>
                </c:pt>
                <c:pt idx="300">
                  <c:v>217.6</c:v>
                </c:pt>
                <c:pt idx="301">
                  <c:v>220.3</c:v>
                </c:pt>
                <c:pt idx="302">
                  <c:v>218.3</c:v>
                </c:pt>
                <c:pt idx="303">
                  <c:v>218.8</c:v>
                </c:pt>
                <c:pt idx="304">
                  <c:v>215.3</c:v>
                </c:pt>
                <c:pt idx="305">
                  <c:v>213.8</c:v>
                </c:pt>
                <c:pt idx="306">
                  <c:v>214.6</c:v>
                </c:pt>
                <c:pt idx="307">
                  <c:v>210.8</c:v>
                </c:pt>
                <c:pt idx="308">
                  <c:v>211.6</c:v>
                </c:pt>
                <c:pt idx="309">
                  <c:v>211.1</c:v>
                </c:pt>
                <c:pt idx="310">
                  <c:v>209</c:v>
                </c:pt>
                <c:pt idx="311">
                  <c:v>210.9</c:v>
                </c:pt>
                <c:pt idx="313">
                  <c:v>238.3</c:v>
                </c:pt>
                <c:pt idx="314">
                  <c:v>237.2</c:v>
                </c:pt>
                <c:pt idx="315">
                  <c:v>233.8</c:v>
                </c:pt>
                <c:pt idx="316">
                  <c:v>232.6</c:v>
                </c:pt>
                <c:pt idx="317">
                  <c:v>228.2</c:v>
                </c:pt>
                <c:pt idx="318">
                  <c:v>230.4</c:v>
                </c:pt>
                <c:pt idx="319">
                  <c:v>233.1</c:v>
                </c:pt>
                <c:pt idx="320">
                  <c:v>233.7</c:v>
                </c:pt>
                <c:pt idx="321">
                  <c:v>237.4</c:v>
                </c:pt>
                <c:pt idx="322">
                  <c:v>238.3</c:v>
                </c:pt>
                <c:pt idx="324">
                  <c:v>211.9</c:v>
                </c:pt>
                <c:pt idx="325">
                  <c:v>204.3</c:v>
                </c:pt>
                <c:pt idx="326">
                  <c:v>207</c:v>
                </c:pt>
                <c:pt idx="327">
                  <c:v>207.8</c:v>
                </c:pt>
                <c:pt idx="328">
                  <c:v>209.8</c:v>
                </c:pt>
                <c:pt idx="329">
                  <c:v>212.2</c:v>
                </c:pt>
                <c:pt idx="330">
                  <c:v>213.2</c:v>
                </c:pt>
                <c:pt idx="331">
                  <c:v>213.9</c:v>
                </c:pt>
                <c:pt idx="332">
                  <c:v>215.2</c:v>
                </c:pt>
                <c:pt idx="333">
                  <c:v>211.5</c:v>
                </c:pt>
                <c:pt idx="334">
                  <c:v>211.9</c:v>
                </c:pt>
                <c:pt idx="336">
                  <c:v>216</c:v>
                </c:pt>
                <c:pt idx="337">
                  <c:v>217.7</c:v>
                </c:pt>
                <c:pt idx="338">
                  <c:v>222.6</c:v>
                </c:pt>
                <c:pt idx="339">
                  <c:v>223.6</c:v>
                </c:pt>
                <c:pt idx="340">
                  <c:v>221.8</c:v>
                </c:pt>
                <c:pt idx="341">
                  <c:v>228.2</c:v>
                </c:pt>
                <c:pt idx="342">
                  <c:v>231</c:v>
                </c:pt>
                <c:pt idx="343">
                  <c:v>215.5</c:v>
                </c:pt>
                <c:pt idx="344">
                  <c:v>214</c:v>
                </c:pt>
                <c:pt idx="345">
                  <c:v>218.5</c:v>
                </c:pt>
                <c:pt idx="346">
                  <c:v>214.1</c:v>
                </c:pt>
                <c:pt idx="347">
                  <c:v>215.1</c:v>
                </c:pt>
                <c:pt idx="348">
                  <c:v>214.4</c:v>
                </c:pt>
                <c:pt idx="349">
                  <c:v>216</c:v>
                </c:pt>
                <c:pt idx="351">
                  <c:v>226.4</c:v>
                </c:pt>
                <c:pt idx="352">
                  <c:v>225.3</c:v>
                </c:pt>
                <c:pt idx="353">
                  <c:v>222.6</c:v>
                </c:pt>
                <c:pt idx="354">
                  <c:v>224.5</c:v>
                </c:pt>
                <c:pt idx="355">
                  <c:v>226.3</c:v>
                </c:pt>
                <c:pt idx="356">
                  <c:v>226.4</c:v>
                </c:pt>
                <c:pt idx="358">
                  <c:v>225.6</c:v>
                </c:pt>
                <c:pt idx="359">
                  <c:v>222.3</c:v>
                </c:pt>
                <c:pt idx="360">
                  <c:v>220.2</c:v>
                </c:pt>
                <c:pt idx="361">
                  <c:v>223.4</c:v>
                </c:pt>
                <c:pt idx="362">
                  <c:v>225.6</c:v>
                </c:pt>
                <c:pt idx="364">
                  <c:v>226.7</c:v>
                </c:pt>
                <c:pt idx="365">
                  <c:v>225.8</c:v>
                </c:pt>
                <c:pt idx="366">
                  <c:v>221</c:v>
                </c:pt>
                <c:pt idx="367">
                  <c:v>220.7</c:v>
                </c:pt>
                <c:pt idx="368">
                  <c:v>218.8</c:v>
                </c:pt>
                <c:pt idx="369">
                  <c:v>218.2</c:v>
                </c:pt>
                <c:pt idx="370">
                  <c:v>225.4</c:v>
                </c:pt>
                <c:pt idx="371">
                  <c:v>226.7</c:v>
                </c:pt>
                <c:pt idx="373">
                  <c:v>246.5</c:v>
                </c:pt>
                <c:pt idx="374">
                  <c:v>247.4</c:v>
                </c:pt>
                <c:pt idx="375">
                  <c:v>242.4</c:v>
                </c:pt>
                <c:pt idx="376">
                  <c:v>240.6</c:v>
                </c:pt>
                <c:pt idx="377">
                  <c:v>239.6</c:v>
                </c:pt>
                <c:pt idx="378">
                  <c:v>235.2</c:v>
                </c:pt>
                <c:pt idx="379">
                  <c:v>233.7</c:v>
                </c:pt>
                <c:pt idx="380">
                  <c:v>233.6</c:v>
                </c:pt>
                <c:pt idx="381">
                  <c:v>232.2</c:v>
                </c:pt>
                <c:pt idx="382">
                  <c:v>229.4</c:v>
                </c:pt>
                <c:pt idx="383">
                  <c:v>229.8</c:v>
                </c:pt>
                <c:pt idx="384">
                  <c:v>225.6</c:v>
                </c:pt>
                <c:pt idx="385">
                  <c:v>225.2</c:v>
                </c:pt>
                <c:pt idx="386">
                  <c:v>226.8</c:v>
                </c:pt>
                <c:pt idx="387">
                  <c:v>226</c:v>
                </c:pt>
                <c:pt idx="388">
                  <c:v>227.8</c:v>
                </c:pt>
                <c:pt idx="389">
                  <c:v>230.1</c:v>
                </c:pt>
                <c:pt idx="390">
                  <c:v>233.8</c:v>
                </c:pt>
                <c:pt idx="391">
                  <c:v>237.7</c:v>
                </c:pt>
                <c:pt idx="392">
                  <c:v>238.4</c:v>
                </c:pt>
                <c:pt idx="393">
                  <c:v>243.5</c:v>
                </c:pt>
                <c:pt idx="394">
                  <c:v>245.4</c:v>
                </c:pt>
                <c:pt idx="395">
                  <c:v>243.5</c:v>
                </c:pt>
                <c:pt idx="396">
                  <c:v>245.1</c:v>
                </c:pt>
                <c:pt idx="397">
                  <c:v>247.6</c:v>
                </c:pt>
                <c:pt idx="398">
                  <c:v>246.5</c:v>
                </c:pt>
                <c:pt idx="400">
                  <c:v>300.2</c:v>
                </c:pt>
                <c:pt idx="401">
                  <c:v>300</c:v>
                </c:pt>
                <c:pt idx="402">
                  <c:v>298</c:v>
                </c:pt>
                <c:pt idx="403">
                  <c:v>298.5</c:v>
                </c:pt>
                <c:pt idx="404">
                  <c:v>300.60000000000002</c:v>
                </c:pt>
                <c:pt idx="405">
                  <c:v>300.2</c:v>
                </c:pt>
                <c:pt idx="407">
                  <c:v>315.3</c:v>
                </c:pt>
                <c:pt idx="408">
                  <c:v>314</c:v>
                </c:pt>
                <c:pt idx="409">
                  <c:v>310.7</c:v>
                </c:pt>
                <c:pt idx="410">
                  <c:v>306</c:v>
                </c:pt>
                <c:pt idx="411">
                  <c:v>303.7</c:v>
                </c:pt>
                <c:pt idx="412">
                  <c:v>300</c:v>
                </c:pt>
                <c:pt idx="413">
                  <c:v>297.60000000000002</c:v>
                </c:pt>
                <c:pt idx="414">
                  <c:v>298.39999999999998</c:v>
                </c:pt>
                <c:pt idx="415">
                  <c:v>300.3</c:v>
                </c:pt>
                <c:pt idx="416">
                  <c:v>299.2</c:v>
                </c:pt>
                <c:pt idx="417">
                  <c:v>300.3</c:v>
                </c:pt>
                <c:pt idx="418">
                  <c:v>302.10000000000002</c:v>
                </c:pt>
                <c:pt idx="419">
                  <c:v>304.60000000000002</c:v>
                </c:pt>
                <c:pt idx="420">
                  <c:v>309.10000000000002</c:v>
                </c:pt>
                <c:pt idx="421">
                  <c:v>312.3</c:v>
                </c:pt>
                <c:pt idx="422">
                  <c:v>314.3</c:v>
                </c:pt>
                <c:pt idx="423">
                  <c:v>315.3</c:v>
                </c:pt>
                <c:pt idx="425">
                  <c:v>301.7</c:v>
                </c:pt>
                <c:pt idx="426">
                  <c:v>301.2</c:v>
                </c:pt>
                <c:pt idx="427">
                  <c:v>298.8</c:v>
                </c:pt>
                <c:pt idx="428">
                  <c:v>297.89999999999998</c:v>
                </c:pt>
                <c:pt idx="429">
                  <c:v>299.5</c:v>
                </c:pt>
                <c:pt idx="430">
                  <c:v>301.2</c:v>
                </c:pt>
                <c:pt idx="431">
                  <c:v>302.5</c:v>
                </c:pt>
                <c:pt idx="432">
                  <c:v>301.7</c:v>
                </c:pt>
                <c:pt idx="434">
                  <c:v>298.5</c:v>
                </c:pt>
                <c:pt idx="435">
                  <c:v>297.89999999999998</c:v>
                </c:pt>
                <c:pt idx="436">
                  <c:v>295</c:v>
                </c:pt>
                <c:pt idx="437">
                  <c:v>292.89999999999998</c:v>
                </c:pt>
                <c:pt idx="438">
                  <c:v>295.7</c:v>
                </c:pt>
                <c:pt idx="439">
                  <c:v>298.5</c:v>
                </c:pt>
                <c:pt idx="441">
                  <c:v>311.2</c:v>
                </c:pt>
                <c:pt idx="442">
                  <c:v>302.2</c:v>
                </c:pt>
                <c:pt idx="443">
                  <c:v>300.10000000000002</c:v>
                </c:pt>
                <c:pt idx="444">
                  <c:v>302.5</c:v>
                </c:pt>
                <c:pt idx="445">
                  <c:v>301.3</c:v>
                </c:pt>
                <c:pt idx="446">
                  <c:v>301.89999999999998</c:v>
                </c:pt>
                <c:pt idx="447">
                  <c:v>306.7</c:v>
                </c:pt>
                <c:pt idx="448">
                  <c:v>311.5</c:v>
                </c:pt>
                <c:pt idx="449">
                  <c:v>309.39999999999998</c:v>
                </c:pt>
                <c:pt idx="450">
                  <c:v>312.3</c:v>
                </c:pt>
                <c:pt idx="451">
                  <c:v>311.2</c:v>
                </c:pt>
                <c:pt idx="453">
                  <c:v>300.3</c:v>
                </c:pt>
                <c:pt idx="454">
                  <c:v>298.39999999999998</c:v>
                </c:pt>
                <c:pt idx="455">
                  <c:v>298.3</c:v>
                </c:pt>
                <c:pt idx="456">
                  <c:v>294.89999999999998</c:v>
                </c:pt>
                <c:pt idx="457">
                  <c:v>292.8</c:v>
                </c:pt>
                <c:pt idx="458">
                  <c:v>291.5</c:v>
                </c:pt>
                <c:pt idx="459">
                  <c:v>293</c:v>
                </c:pt>
                <c:pt idx="460">
                  <c:v>299.39999999999998</c:v>
                </c:pt>
                <c:pt idx="461">
                  <c:v>300.3</c:v>
                </c:pt>
                <c:pt idx="463">
                  <c:v>293.7</c:v>
                </c:pt>
                <c:pt idx="464">
                  <c:v>296.2</c:v>
                </c:pt>
                <c:pt idx="465">
                  <c:v>299.39999999999998</c:v>
                </c:pt>
                <c:pt idx="466">
                  <c:v>299.5</c:v>
                </c:pt>
                <c:pt idx="467">
                  <c:v>297.89999999999998</c:v>
                </c:pt>
                <c:pt idx="468">
                  <c:v>298.8</c:v>
                </c:pt>
                <c:pt idx="469">
                  <c:v>295.7</c:v>
                </c:pt>
                <c:pt idx="470">
                  <c:v>292.89999999999998</c:v>
                </c:pt>
                <c:pt idx="471">
                  <c:v>291.5</c:v>
                </c:pt>
                <c:pt idx="472">
                  <c:v>289.3</c:v>
                </c:pt>
                <c:pt idx="473">
                  <c:v>290.7</c:v>
                </c:pt>
                <c:pt idx="474">
                  <c:v>293.89999999999998</c:v>
                </c:pt>
                <c:pt idx="475">
                  <c:v>293.7</c:v>
                </c:pt>
                <c:pt idx="477">
                  <c:v>293.8</c:v>
                </c:pt>
                <c:pt idx="478">
                  <c:v>289.10000000000002</c:v>
                </c:pt>
                <c:pt idx="479">
                  <c:v>293</c:v>
                </c:pt>
                <c:pt idx="480">
                  <c:v>291.5</c:v>
                </c:pt>
                <c:pt idx="481">
                  <c:v>287.39999999999998</c:v>
                </c:pt>
                <c:pt idx="482">
                  <c:v>284.5</c:v>
                </c:pt>
                <c:pt idx="483">
                  <c:v>281.5</c:v>
                </c:pt>
                <c:pt idx="484">
                  <c:v>285.39999999999998</c:v>
                </c:pt>
                <c:pt idx="485">
                  <c:v>285.2</c:v>
                </c:pt>
                <c:pt idx="486">
                  <c:v>282.60000000000002</c:v>
                </c:pt>
                <c:pt idx="487">
                  <c:v>279.39999999999998</c:v>
                </c:pt>
                <c:pt idx="488">
                  <c:v>278.3</c:v>
                </c:pt>
                <c:pt idx="489">
                  <c:v>274.7</c:v>
                </c:pt>
                <c:pt idx="490">
                  <c:v>274.5</c:v>
                </c:pt>
                <c:pt idx="491">
                  <c:v>271.3</c:v>
                </c:pt>
                <c:pt idx="492">
                  <c:v>275.3</c:v>
                </c:pt>
                <c:pt idx="493">
                  <c:v>278.60000000000002</c:v>
                </c:pt>
                <c:pt idx="494">
                  <c:v>281.60000000000002</c:v>
                </c:pt>
                <c:pt idx="495">
                  <c:v>280.8</c:v>
                </c:pt>
                <c:pt idx="496">
                  <c:v>282.3</c:v>
                </c:pt>
                <c:pt idx="497">
                  <c:v>287.89999999999998</c:v>
                </c:pt>
                <c:pt idx="498">
                  <c:v>293</c:v>
                </c:pt>
                <c:pt idx="499">
                  <c:v>293.8</c:v>
                </c:pt>
                <c:pt idx="501">
                  <c:v>306.7</c:v>
                </c:pt>
                <c:pt idx="502">
                  <c:v>302.89999999999998</c:v>
                </c:pt>
                <c:pt idx="503">
                  <c:v>301.60000000000002</c:v>
                </c:pt>
                <c:pt idx="504">
                  <c:v>299.5</c:v>
                </c:pt>
                <c:pt idx="505">
                  <c:v>299.39999999999998</c:v>
                </c:pt>
                <c:pt idx="506">
                  <c:v>296.3</c:v>
                </c:pt>
                <c:pt idx="507">
                  <c:v>297.7</c:v>
                </c:pt>
                <c:pt idx="508">
                  <c:v>305.89999999999998</c:v>
                </c:pt>
                <c:pt idx="509">
                  <c:v>307.5</c:v>
                </c:pt>
                <c:pt idx="510">
                  <c:v>306.7</c:v>
                </c:pt>
                <c:pt idx="512">
                  <c:v>466.1</c:v>
                </c:pt>
                <c:pt idx="513">
                  <c:v>463.5</c:v>
                </c:pt>
                <c:pt idx="514">
                  <c:v>461.3</c:v>
                </c:pt>
                <c:pt idx="515">
                  <c:v>464.3</c:v>
                </c:pt>
                <c:pt idx="516">
                  <c:v>466.1</c:v>
                </c:pt>
                <c:pt idx="518">
                  <c:v>473.7</c:v>
                </c:pt>
                <c:pt idx="519">
                  <c:v>472.4</c:v>
                </c:pt>
                <c:pt idx="520">
                  <c:v>468.3</c:v>
                </c:pt>
                <c:pt idx="521">
                  <c:v>468.3</c:v>
                </c:pt>
                <c:pt idx="522">
                  <c:v>470.9</c:v>
                </c:pt>
                <c:pt idx="523">
                  <c:v>469.2</c:v>
                </c:pt>
                <c:pt idx="524">
                  <c:v>471.2</c:v>
                </c:pt>
                <c:pt idx="525">
                  <c:v>471.8</c:v>
                </c:pt>
                <c:pt idx="526">
                  <c:v>471.7</c:v>
                </c:pt>
                <c:pt idx="527">
                  <c:v>473.4</c:v>
                </c:pt>
                <c:pt idx="528">
                  <c:v>472.6</c:v>
                </c:pt>
                <c:pt idx="529">
                  <c:v>473.7</c:v>
                </c:pt>
                <c:pt idx="531">
                  <c:v>467.4</c:v>
                </c:pt>
                <c:pt idx="532">
                  <c:v>470.1</c:v>
                </c:pt>
                <c:pt idx="533">
                  <c:v>468.9</c:v>
                </c:pt>
                <c:pt idx="534">
                  <c:v>469.6</c:v>
                </c:pt>
                <c:pt idx="535">
                  <c:v>473</c:v>
                </c:pt>
                <c:pt idx="536">
                  <c:v>475.6</c:v>
                </c:pt>
                <c:pt idx="537">
                  <c:v>475.9</c:v>
                </c:pt>
                <c:pt idx="538">
                  <c:v>476.7</c:v>
                </c:pt>
                <c:pt idx="539">
                  <c:v>479.6</c:v>
                </c:pt>
                <c:pt idx="540">
                  <c:v>476.3</c:v>
                </c:pt>
                <c:pt idx="541">
                  <c:v>474.7</c:v>
                </c:pt>
                <c:pt idx="542">
                  <c:v>473.7</c:v>
                </c:pt>
                <c:pt idx="543">
                  <c:v>472.2</c:v>
                </c:pt>
                <c:pt idx="544">
                  <c:v>467.3</c:v>
                </c:pt>
                <c:pt idx="545">
                  <c:v>467.4</c:v>
                </c:pt>
                <c:pt idx="547">
                  <c:v>480</c:v>
                </c:pt>
                <c:pt idx="548">
                  <c:v>478.4</c:v>
                </c:pt>
                <c:pt idx="549">
                  <c:v>478.3</c:v>
                </c:pt>
                <c:pt idx="550">
                  <c:v>480</c:v>
                </c:pt>
                <c:pt idx="552">
                  <c:v>475.4</c:v>
                </c:pt>
                <c:pt idx="553">
                  <c:v>473.2</c:v>
                </c:pt>
                <c:pt idx="554">
                  <c:v>474.2</c:v>
                </c:pt>
                <c:pt idx="555">
                  <c:v>472.5</c:v>
                </c:pt>
                <c:pt idx="556">
                  <c:v>474.1</c:v>
                </c:pt>
                <c:pt idx="557">
                  <c:v>475.1</c:v>
                </c:pt>
                <c:pt idx="558">
                  <c:v>474</c:v>
                </c:pt>
                <c:pt idx="559">
                  <c:v>475.4</c:v>
                </c:pt>
                <c:pt idx="561">
                  <c:v>473.3</c:v>
                </c:pt>
                <c:pt idx="562">
                  <c:v>471.7</c:v>
                </c:pt>
                <c:pt idx="563">
                  <c:v>468.7</c:v>
                </c:pt>
                <c:pt idx="564">
                  <c:v>468.3</c:v>
                </c:pt>
                <c:pt idx="565">
                  <c:v>470.7</c:v>
                </c:pt>
                <c:pt idx="566">
                  <c:v>474.2</c:v>
                </c:pt>
                <c:pt idx="567">
                  <c:v>473.3</c:v>
                </c:pt>
                <c:pt idx="569">
                  <c:v>466.8</c:v>
                </c:pt>
                <c:pt idx="570">
                  <c:v>468</c:v>
                </c:pt>
                <c:pt idx="571">
                  <c:v>467</c:v>
                </c:pt>
                <c:pt idx="572">
                  <c:v>468.5</c:v>
                </c:pt>
                <c:pt idx="573">
                  <c:v>468.9</c:v>
                </c:pt>
                <c:pt idx="574">
                  <c:v>468.8</c:v>
                </c:pt>
                <c:pt idx="575">
                  <c:v>464.2</c:v>
                </c:pt>
                <c:pt idx="576">
                  <c:v>463.3</c:v>
                </c:pt>
                <c:pt idx="577">
                  <c:v>459.7</c:v>
                </c:pt>
                <c:pt idx="578">
                  <c:v>459.3</c:v>
                </c:pt>
                <c:pt idx="579">
                  <c:v>459</c:v>
                </c:pt>
                <c:pt idx="580">
                  <c:v>458.3</c:v>
                </c:pt>
                <c:pt idx="581">
                  <c:v>459.4</c:v>
                </c:pt>
                <c:pt idx="582">
                  <c:v>460.2</c:v>
                </c:pt>
                <c:pt idx="583">
                  <c:v>460.3</c:v>
                </c:pt>
                <c:pt idx="584">
                  <c:v>462.9</c:v>
                </c:pt>
                <c:pt idx="585">
                  <c:v>466.8</c:v>
                </c:pt>
                <c:pt idx="586">
                  <c:v>466.8</c:v>
                </c:pt>
                <c:pt idx="588">
                  <c:v>472.6</c:v>
                </c:pt>
                <c:pt idx="589">
                  <c:v>472.8</c:v>
                </c:pt>
                <c:pt idx="590">
                  <c:v>468</c:v>
                </c:pt>
                <c:pt idx="591">
                  <c:v>463.2</c:v>
                </c:pt>
                <c:pt idx="592">
                  <c:v>463.9</c:v>
                </c:pt>
                <c:pt idx="593">
                  <c:v>468.7</c:v>
                </c:pt>
                <c:pt idx="594">
                  <c:v>472.6</c:v>
                </c:pt>
                <c:pt idx="595">
                  <c:v>472.6</c:v>
                </c:pt>
                <c:pt idx="596">
                  <c:v>473.7</c:v>
                </c:pt>
                <c:pt idx="597">
                  <c:v>472.6</c:v>
                </c:pt>
                <c:pt idx="599">
                  <c:v>478.5</c:v>
                </c:pt>
                <c:pt idx="600">
                  <c:v>476.8</c:v>
                </c:pt>
                <c:pt idx="601">
                  <c:v>474.5</c:v>
                </c:pt>
                <c:pt idx="602">
                  <c:v>472.6</c:v>
                </c:pt>
                <c:pt idx="603">
                  <c:v>473</c:v>
                </c:pt>
                <c:pt idx="604">
                  <c:v>474.3</c:v>
                </c:pt>
                <c:pt idx="605">
                  <c:v>478.3</c:v>
                </c:pt>
                <c:pt idx="606">
                  <c:v>478.5</c:v>
                </c:pt>
                <c:pt idx="608">
                  <c:v>485.9</c:v>
                </c:pt>
                <c:pt idx="609">
                  <c:v>484.5</c:v>
                </c:pt>
                <c:pt idx="610">
                  <c:v>484.7</c:v>
                </c:pt>
                <c:pt idx="611">
                  <c:v>481.9</c:v>
                </c:pt>
                <c:pt idx="612">
                  <c:v>478.5</c:v>
                </c:pt>
                <c:pt idx="613">
                  <c:v>478.4</c:v>
                </c:pt>
                <c:pt idx="614">
                  <c:v>479.7</c:v>
                </c:pt>
                <c:pt idx="615">
                  <c:v>481.6</c:v>
                </c:pt>
                <c:pt idx="616">
                  <c:v>484.9</c:v>
                </c:pt>
                <c:pt idx="617">
                  <c:v>484.3</c:v>
                </c:pt>
                <c:pt idx="618">
                  <c:v>485.9</c:v>
                </c:pt>
                <c:pt idx="620">
                  <c:v>485.8</c:v>
                </c:pt>
                <c:pt idx="621">
                  <c:v>484.3</c:v>
                </c:pt>
                <c:pt idx="622">
                  <c:v>484.9</c:v>
                </c:pt>
                <c:pt idx="623">
                  <c:v>481.6</c:v>
                </c:pt>
                <c:pt idx="624">
                  <c:v>479.4</c:v>
                </c:pt>
                <c:pt idx="625">
                  <c:v>474.3</c:v>
                </c:pt>
                <c:pt idx="626">
                  <c:v>472.8</c:v>
                </c:pt>
                <c:pt idx="627">
                  <c:v>476.3</c:v>
                </c:pt>
                <c:pt idx="628">
                  <c:v>475.4</c:v>
                </c:pt>
                <c:pt idx="629">
                  <c:v>481.8</c:v>
                </c:pt>
                <c:pt idx="630">
                  <c:v>485.4</c:v>
                </c:pt>
                <c:pt idx="631">
                  <c:v>487</c:v>
                </c:pt>
                <c:pt idx="632">
                  <c:v>490.8</c:v>
                </c:pt>
                <c:pt idx="633">
                  <c:v>485.8</c:v>
                </c:pt>
                <c:pt idx="635">
                  <c:v>492.6</c:v>
                </c:pt>
                <c:pt idx="636">
                  <c:v>492.3</c:v>
                </c:pt>
                <c:pt idx="637">
                  <c:v>489.4</c:v>
                </c:pt>
                <c:pt idx="638">
                  <c:v>491</c:v>
                </c:pt>
                <c:pt idx="639">
                  <c:v>492.5</c:v>
                </c:pt>
                <c:pt idx="640">
                  <c:v>492.6</c:v>
                </c:pt>
                <c:pt idx="642">
                  <c:v>495.9</c:v>
                </c:pt>
                <c:pt idx="643">
                  <c:v>492.9</c:v>
                </c:pt>
                <c:pt idx="644">
                  <c:v>494.6</c:v>
                </c:pt>
                <c:pt idx="645">
                  <c:v>495.9</c:v>
                </c:pt>
                <c:pt idx="647">
                  <c:v>499.5</c:v>
                </c:pt>
                <c:pt idx="648">
                  <c:v>499.8</c:v>
                </c:pt>
                <c:pt idx="649">
                  <c:v>501.1</c:v>
                </c:pt>
                <c:pt idx="650">
                  <c:v>499.5</c:v>
                </c:pt>
                <c:pt idx="652">
                  <c:v>502.5</c:v>
                </c:pt>
                <c:pt idx="653">
                  <c:v>498.9</c:v>
                </c:pt>
                <c:pt idx="654">
                  <c:v>495.6</c:v>
                </c:pt>
                <c:pt idx="655">
                  <c:v>491.5</c:v>
                </c:pt>
                <c:pt idx="656">
                  <c:v>495.6</c:v>
                </c:pt>
                <c:pt idx="657">
                  <c:v>498.7</c:v>
                </c:pt>
                <c:pt idx="658">
                  <c:v>499</c:v>
                </c:pt>
                <c:pt idx="659">
                  <c:v>502.4</c:v>
                </c:pt>
                <c:pt idx="660">
                  <c:v>502.5</c:v>
                </c:pt>
                <c:pt idx="662">
                  <c:v>510</c:v>
                </c:pt>
                <c:pt idx="663">
                  <c:v>508.5</c:v>
                </c:pt>
                <c:pt idx="664">
                  <c:v>509.2</c:v>
                </c:pt>
                <c:pt idx="665">
                  <c:v>507.2</c:v>
                </c:pt>
                <c:pt idx="666">
                  <c:v>504.3</c:v>
                </c:pt>
                <c:pt idx="667">
                  <c:v>504.6</c:v>
                </c:pt>
                <c:pt idx="668">
                  <c:v>503.1</c:v>
                </c:pt>
                <c:pt idx="669">
                  <c:v>505.3</c:v>
                </c:pt>
                <c:pt idx="670">
                  <c:v>510.1</c:v>
                </c:pt>
                <c:pt idx="671">
                  <c:v>510</c:v>
                </c:pt>
                <c:pt idx="673">
                  <c:v>511</c:v>
                </c:pt>
                <c:pt idx="674">
                  <c:v>506.5</c:v>
                </c:pt>
                <c:pt idx="675">
                  <c:v>502.7</c:v>
                </c:pt>
                <c:pt idx="676">
                  <c:v>494.8</c:v>
                </c:pt>
                <c:pt idx="677">
                  <c:v>488.7</c:v>
                </c:pt>
                <c:pt idx="678">
                  <c:v>487.9</c:v>
                </c:pt>
                <c:pt idx="679">
                  <c:v>484.5</c:v>
                </c:pt>
                <c:pt idx="680">
                  <c:v>485.7</c:v>
                </c:pt>
                <c:pt idx="681">
                  <c:v>486.6</c:v>
                </c:pt>
                <c:pt idx="682">
                  <c:v>486</c:v>
                </c:pt>
                <c:pt idx="683">
                  <c:v>488.2</c:v>
                </c:pt>
                <c:pt idx="684">
                  <c:v>490.5</c:v>
                </c:pt>
                <c:pt idx="685">
                  <c:v>492.3</c:v>
                </c:pt>
                <c:pt idx="686">
                  <c:v>497</c:v>
                </c:pt>
                <c:pt idx="687">
                  <c:v>499.2</c:v>
                </c:pt>
                <c:pt idx="688">
                  <c:v>507.2</c:v>
                </c:pt>
                <c:pt idx="689">
                  <c:v>509.1</c:v>
                </c:pt>
                <c:pt idx="690">
                  <c:v>510.8</c:v>
                </c:pt>
                <c:pt idx="691">
                  <c:v>511</c:v>
                </c:pt>
                <c:pt idx="693">
                  <c:v>426.2</c:v>
                </c:pt>
                <c:pt idx="694">
                  <c:v>424.5</c:v>
                </c:pt>
                <c:pt idx="695">
                  <c:v>425.1</c:v>
                </c:pt>
                <c:pt idx="696">
                  <c:v>423.7</c:v>
                </c:pt>
                <c:pt idx="697">
                  <c:v>426.2</c:v>
                </c:pt>
                <c:pt idx="699">
                  <c:v>431.4</c:v>
                </c:pt>
                <c:pt idx="700">
                  <c:v>429.1</c:v>
                </c:pt>
                <c:pt idx="701">
                  <c:v>430.6</c:v>
                </c:pt>
                <c:pt idx="702">
                  <c:v>431.4</c:v>
                </c:pt>
                <c:pt idx="704">
                  <c:v>433.3</c:v>
                </c:pt>
                <c:pt idx="705">
                  <c:v>430.8</c:v>
                </c:pt>
                <c:pt idx="706">
                  <c:v>433.4</c:v>
                </c:pt>
                <c:pt idx="707">
                  <c:v>433.3</c:v>
                </c:pt>
                <c:pt idx="709">
                  <c:v>441.3</c:v>
                </c:pt>
                <c:pt idx="710">
                  <c:v>438.9</c:v>
                </c:pt>
                <c:pt idx="711">
                  <c:v>440.6</c:v>
                </c:pt>
                <c:pt idx="712">
                  <c:v>441.3</c:v>
                </c:pt>
                <c:pt idx="714">
                  <c:v>441.5</c:v>
                </c:pt>
                <c:pt idx="715">
                  <c:v>439.7</c:v>
                </c:pt>
                <c:pt idx="716">
                  <c:v>440.9</c:v>
                </c:pt>
                <c:pt idx="717">
                  <c:v>442.2</c:v>
                </c:pt>
                <c:pt idx="718">
                  <c:v>441.5</c:v>
                </c:pt>
                <c:pt idx="720">
                  <c:v>443.2</c:v>
                </c:pt>
                <c:pt idx="721">
                  <c:v>441.4</c:v>
                </c:pt>
                <c:pt idx="722">
                  <c:v>441.6</c:v>
                </c:pt>
                <c:pt idx="723">
                  <c:v>443.2</c:v>
                </c:pt>
                <c:pt idx="725">
                  <c:v>446.2</c:v>
                </c:pt>
                <c:pt idx="726">
                  <c:v>444.4</c:v>
                </c:pt>
                <c:pt idx="727">
                  <c:v>442.9</c:v>
                </c:pt>
                <c:pt idx="728">
                  <c:v>444.8</c:v>
                </c:pt>
                <c:pt idx="729">
                  <c:v>446.2</c:v>
                </c:pt>
                <c:pt idx="731">
                  <c:v>447.4</c:v>
                </c:pt>
                <c:pt idx="732">
                  <c:v>449.2</c:v>
                </c:pt>
                <c:pt idx="733">
                  <c:v>450.1</c:v>
                </c:pt>
                <c:pt idx="734">
                  <c:v>447.1</c:v>
                </c:pt>
                <c:pt idx="735">
                  <c:v>447.4</c:v>
                </c:pt>
                <c:pt idx="737">
                  <c:v>450.7</c:v>
                </c:pt>
                <c:pt idx="738">
                  <c:v>449.9</c:v>
                </c:pt>
                <c:pt idx="739">
                  <c:v>448.3</c:v>
                </c:pt>
                <c:pt idx="740">
                  <c:v>449.8</c:v>
                </c:pt>
                <c:pt idx="741">
                  <c:v>450.7</c:v>
                </c:pt>
                <c:pt idx="743">
                  <c:v>451.3</c:v>
                </c:pt>
                <c:pt idx="744">
                  <c:v>448.6</c:v>
                </c:pt>
                <c:pt idx="745">
                  <c:v>447</c:v>
                </c:pt>
                <c:pt idx="746">
                  <c:v>444.9</c:v>
                </c:pt>
                <c:pt idx="747">
                  <c:v>444.4</c:v>
                </c:pt>
                <c:pt idx="748">
                  <c:v>446.7</c:v>
                </c:pt>
                <c:pt idx="749">
                  <c:v>445.8</c:v>
                </c:pt>
                <c:pt idx="750">
                  <c:v>451.3</c:v>
                </c:pt>
                <c:pt idx="752">
                  <c:v>448.2</c:v>
                </c:pt>
                <c:pt idx="753">
                  <c:v>446</c:v>
                </c:pt>
                <c:pt idx="754">
                  <c:v>447</c:v>
                </c:pt>
                <c:pt idx="755">
                  <c:v>451.5</c:v>
                </c:pt>
                <c:pt idx="756">
                  <c:v>452.4</c:v>
                </c:pt>
                <c:pt idx="757">
                  <c:v>449.7</c:v>
                </c:pt>
                <c:pt idx="758">
                  <c:v>449.2</c:v>
                </c:pt>
                <c:pt idx="759">
                  <c:v>448.2</c:v>
                </c:pt>
                <c:pt idx="761">
                  <c:v>479.9</c:v>
                </c:pt>
                <c:pt idx="762">
                  <c:v>477.2</c:v>
                </c:pt>
                <c:pt idx="763">
                  <c:v>477.6</c:v>
                </c:pt>
                <c:pt idx="764">
                  <c:v>480.7</c:v>
                </c:pt>
                <c:pt idx="765">
                  <c:v>479.9</c:v>
                </c:pt>
                <c:pt idx="767">
                  <c:v>482</c:v>
                </c:pt>
                <c:pt idx="768">
                  <c:v>479.2</c:v>
                </c:pt>
                <c:pt idx="769">
                  <c:v>478.3</c:v>
                </c:pt>
                <c:pt idx="770">
                  <c:v>482</c:v>
                </c:pt>
                <c:pt idx="772">
                  <c:v>495.2</c:v>
                </c:pt>
                <c:pt idx="773">
                  <c:v>492.4</c:v>
                </c:pt>
                <c:pt idx="774">
                  <c:v>495.3</c:v>
                </c:pt>
                <c:pt idx="775">
                  <c:v>495.2</c:v>
                </c:pt>
                <c:pt idx="777">
                  <c:v>506</c:v>
                </c:pt>
                <c:pt idx="778">
                  <c:v>504.7</c:v>
                </c:pt>
                <c:pt idx="779">
                  <c:v>504.1</c:v>
                </c:pt>
                <c:pt idx="780">
                  <c:v>506</c:v>
                </c:pt>
                <c:pt idx="781">
                  <c:v>506</c:v>
                </c:pt>
                <c:pt idx="783">
                  <c:v>511.1</c:v>
                </c:pt>
                <c:pt idx="784">
                  <c:v>509.8</c:v>
                </c:pt>
                <c:pt idx="785">
                  <c:v>508.3</c:v>
                </c:pt>
                <c:pt idx="786">
                  <c:v>509.8</c:v>
                </c:pt>
                <c:pt idx="787">
                  <c:v>510.7</c:v>
                </c:pt>
                <c:pt idx="788">
                  <c:v>510.5</c:v>
                </c:pt>
                <c:pt idx="789">
                  <c:v>513.70000000000005</c:v>
                </c:pt>
                <c:pt idx="790">
                  <c:v>512.70000000000005</c:v>
                </c:pt>
                <c:pt idx="791">
                  <c:v>511.1</c:v>
                </c:pt>
                <c:pt idx="793">
                  <c:v>527.9</c:v>
                </c:pt>
                <c:pt idx="794">
                  <c:v>528</c:v>
                </c:pt>
                <c:pt idx="795">
                  <c:v>525.4</c:v>
                </c:pt>
                <c:pt idx="796">
                  <c:v>525.9</c:v>
                </c:pt>
                <c:pt idx="797">
                  <c:v>525</c:v>
                </c:pt>
                <c:pt idx="798">
                  <c:v>524</c:v>
                </c:pt>
                <c:pt idx="799">
                  <c:v>521.1</c:v>
                </c:pt>
                <c:pt idx="800">
                  <c:v>521.70000000000005</c:v>
                </c:pt>
                <c:pt idx="801">
                  <c:v>525.79999999999995</c:v>
                </c:pt>
                <c:pt idx="802">
                  <c:v>527.79999999999995</c:v>
                </c:pt>
                <c:pt idx="803">
                  <c:v>526.6</c:v>
                </c:pt>
                <c:pt idx="804">
                  <c:v>527.9</c:v>
                </c:pt>
                <c:pt idx="806">
                  <c:v>222.9</c:v>
                </c:pt>
                <c:pt idx="807">
                  <c:v>218.6</c:v>
                </c:pt>
                <c:pt idx="808">
                  <c:v>215.8</c:v>
                </c:pt>
                <c:pt idx="809">
                  <c:v>213.4</c:v>
                </c:pt>
                <c:pt idx="810">
                  <c:v>213.5</c:v>
                </c:pt>
                <c:pt idx="811">
                  <c:v>217.5</c:v>
                </c:pt>
                <c:pt idx="812">
                  <c:v>219.2</c:v>
                </c:pt>
                <c:pt idx="813">
                  <c:v>221.9</c:v>
                </c:pt>
                <c:pt idx="814">
                  <c:v>223.4</c:v>
                </c:pt>
                <c:pt idx="815">
                  <c:v>222.9</c:v>
                </c:pt>
                <c:pt idx="817">
                  <c:v>224</c:v>
                </c:pt>
                <c:pt idx="818">
                  <c:v>221.6</c:v>
                </c:pt>
                <c:pt idx="819">
                  <c:v>221.3</c:v>
                </c:pt>
                <c:pt idx="820">
                  <c:v>218.1</c:v>
                </c:pt>
                <c:pt idx="821">
                  <c:v>215.6</c:v>
                </c:pt>
                <c:pt idx="822">
                  <c:v>220.8</c:v>
                </c:pt>
                <c:pt idx="823">
                  <c:v>223.4</c:v>
                </c:pt>
                <c:pt idx="824">
                  <c:v>224.8</c:v>
                </c:pt>
                <c:pt idx="825">
                  <c:v>224</c:v>
                </c:pt>
                <c:pt idx="827">
                  <c:v>221.6</c:v>
                </c:pt>
                <c:pt idx="828">
                  <c:v>219.2</c:v>
                </c:pt>
                <c:pt idx="829">
                  <c:v>218</c:v>
                </c:pt>
                <c:pt idx="830">
                  <c:v>216</c:v>
                </c:pt>
                <c:pt idx="831">
                  <c:v>214.4</c:v>
                </c:pt>
                <c:pt idx="832">
                  <c:v>214</c:v>
                </c:pt>
                <c:pt idx="833">
                  <c:v>211.2</c:v>
                </c:pt>
                <c:pt idx="834">
                  <c:v>211.9</c:v>
                </c:pt>
                <c:pt idx="835">
                  <c:v>215.8</c:v>
                </c:pt>
                <c:pt idx="836">
                  <c:v>218.1</c:v>
                </c:pt>
                <c:pt idx="837">
                  <c:v>221.3</c:v>
                </c:pt>
                <c:pt idx="838">
                  <c:v>221.6</c:v>
                </c:pt>
                <c:pt idx="840">
                  <c:v>232.2</c:v>
                </c:pt>
                <c:pt idx="841">
                  <c:v>225.1</c:v>
                </c:pt>
                <c:pt idx="842">
                  <c:v>225.9</c:v>
                </c:pt>
                <c:pt idx="843">
                  <c:v>224.2</c:v>
                </c:pt>
                <c:pt idx="844">
                  <c:v>218.6</c:v>
                </c:pt>
                <c:pt idx="845">
                  <c:v>220.7</c:v>
                </c:pt>
                <c:pt idx="846">
                  <c:v>222.9</c:v>
                </c:pt>
                <c:pt idx="847">
                  <c:v>223.4</c:v>
                </c:pt>
                <c:pt idx="848">
                  <c:v>221.9</c:v>
                </c:pt>
                <c:pt idx="849">
                  <c:v>224.8</c:v>
                </c:pt>
                <c:pt idx="850">
                  <c:v>225.6</c:v>
                </c:pt>
                <c:pt idx="851">
                  <c:v>229</c:v>
                </c:pt>
                <c:pt idx="852">
                  <c:v>230.3</c:v>
                </c:pt>
                <c:pt idx="853">
                  <c:v>231.1</c:v>
                </c:pt>
                <c:pt idx="854">
                  <c:v>233.4</c:v>
                </c:pt>
                <c:pt idx="855">
                  <c:v>232.2</c:v>
                </c:pt>
                <c:pt idx="857">
                  <c:v>233.2</c:v>
                </c:pt>
                <c:pt idx="858">
                  <c:v>230.8</c:v>
                </c:pt>
                <c:pt idx="859">
                  <c:v>229.1</c:v>
                </c:pt>
                <c:pt idx="860">
                  <c:v>230.6</c:v>
                </c:pt>
                <c:pt idx="861">
                  <c:v>229.5</c:v>
                </c:pt>
                <c:pt idx="862">
                  <c:v>225.6</c:v>
                </c:pt>
                <c:pt idx="863">
                  <c:v>223.4</c:v>
                </c:pt>
                <c:pt idx="864">
                  <c:v>219</c:v>
                </c:pt>
                <c:pt idx="865">
                  <c:v>213.1</c:v>
                </c:pt>
                <c:pt idx="866">
                  <c:v>217.7</c:v>
                </c:pt>
                <c:pt idx="867">
                  <c:v>216.9</c:v>
                </c:pt>
                <c:pt idx="868">
                  <c:v>221.3</c:v>
                </c:pt>
                <c:pt idx="869">
                  <c:v>224.1</c:v>
                </c:pt>
                <c:pt idx="870">
                  <c:v>226.3</c:v>
                </c:pt>
                <c:pt idx="871">
                  <c:v>226.2</c:v>
                </c:pt>
                <c:pt idx="872">
                  <c:v>228.8</c:v>
                </c:pt>
                <c:pt idx="873">
                  <c:v>228.5</c:v>
                </c:pt>
                <c:pt idx="874">
                  <c:v>232.8</c:v>
                </c:pt>
                <c:pt idx="875">
                  <c:v>233.2</c:v>
                </c:pt>
                <c:pt idx="877">
                  <c:v>357.8</c:v>
                </c:pt>
                <c:pt idx="878">
                  <c:v>359.4</c:v>
                </c:pt>
                <c:pt idx="879">
                  <c:v>356.7</c:v>
                </c:pt>
                <c:pt idx="880">
                  <c:v>355.6</c:v>
                </c:pt>
                <c:pt idx="881">
                  <c:v>352.1</c:v>
                </c:pt>
                <c:pt idx="882">
                  <c:v>348.2</c:v>
                </c:pt>
                <c:pt idx="883">
                  <c:v>339.4</c:v>
                </c:pt>
                <c:pt idx="884">
                  <c:v>334.7</c:v>
                </c:pt>
                <c:pt idx="885">
                  <c:v>336.2</c:v>
                </c:pt>
                <c:pt idx="886">
                  <c:v>339.5</c:v>
                </c:pt>
                <c:pt idx="887">
                  <c:v>341.2</c:v>
                </c:pt>
                <c:pt idx="888">
                  <c:v>342.9</c:v>
                </c:pt>
                <c:pt idx="889">
                  <c:v>345.1</c:v>
                </c:pt>
                <c:pt idx="890">
                  <c:v>345.4</c:v>
                </c:pt>
                <c:pt idx="891">
                  <c:v>350.8</c:v>
                </c:pt>
                <c:pt idx="892">
                  <c:v>352.7</c:v>
                </c:pt>
                <c:pt idx="893">
                  <c:v>351.6</c:v>
                </c:pt>
                <c:pt idx="894">
                  <c:v>356.9</c:v>
                </c:pt>
                <c:pt idx="895">
                  <c:v>361.1</c:v>
                </c:pt>
                <c:pt idx="896">
                  <c:v>357.8</c:v>
                </c:pt>
                <c:pt idx="898">
                  <c:v>350.3</c:v>
                </c:pt>
                <c:pt idx="899">
                  <c:v>345.4</c:v>
                </c:pt>
                <c:pt idx="900">
                  <c:v>345.2</c:v>
                </c:pt>
                <c:pt idx="901">
                  <c:v>342.9</c:v>
                </c:pt>
                <c:pt idx="902">
                  <c:v>341.2</c:v>
                </c:pt>
                <c:pt idx="903">
                  <c:v>339.5</c:v>
                </c:pt>
                <c:pt idx="904">
                  <c:v>336.1</c:v>
                </c:pt>
                <c:pt idx="905">
                  <c:v>339</c:v>
                </c:pt>
                <c:pt idx="906">
                  <c:v>342</c:v>
                </c:pt>
                <c:pt idx="907">
                  <c:v>344.5</c:v>
                </c:pt>
                <c:pt idx="908">
                  <c:v>351.5</c:v>
                </c:pt>
                <c:pt idx="909">
                  <c:v>350.3</c:v>
                </c:pt>
                <c:pt idx="911">
                  <c:v>353.8</c:v>
                </c:pt>
                <c:pt idx="912">
                  <c:v>350.3</c:v>
                </c:pt>
                <c:pt idx="913">
                  <c:v>342.2</c:v>
                </c:pt>
                <c:pt idx="914">
                  <c:v>337.3</c:v>
                </c:pt>
                <c:pt idx="915">
                  <c:v>333.5</c:v>
                </c:pt>
                <c:pt idx="916">
                  <c:v>335.4</c:v>
                </c:pt>
                <c:pt idx="917">
                  <c:v>338.5</c:v>
                </c:pt>
                <c:pt idx="918">
                  <c:v>337.8</c:v>
                </c:pt>
                <c:pt idx="919">
                  <c:v>341</c:v>
                </c:pt>
                <c:pt idx="920">
                  <c:v>346.3</c:v>
                </c:pt>
                <c:pt idx="921">
                  <c:v>351.9</c:v>
                </c:pt>
                <c:pt idx="922">
                  <c:v>353.8</c:v>
                </c:pt>
                <c:pt idx="924">
                  <c:v>366.6</c:v>
                </c:pt>
                <c:pt idx="925">
                  <c:v>361.5</c:v>
                </c:pt>
                <c:pt idx="926">
                  <c:v>358.6</c:v>
                </c:pt>
                <c:pt idx="927">
                  <c:v>354.8</c:v>
                </c:pt>
                <c:pt idx="928">
                  <c:v>351.9</c:v>
                </c:pt>
                <c:pt idx="929">
                  <c:v>349.6</c:v>
                </c:pt>
                <c:pt idx="930">
                  <c:v>349.4</c:v>
                </c:pt>
                <c:pt idx="931">
                  <c:v>343.2</c:v>
                </c:pt>
                <c:pt idx="932">
                  <c:v>342.3</c:v>
                </c:pt>
                <c:pt idx="933">
                  <c:v>345.1</c:v>
                </c:pt>
                <c:pt idx="934">
                  <c:v>350.9</c:v>
                </c:pt>
                <c:pt idx="935">
                  <c:v>358.5</c:v>
                </c:pt>
                <c:pt idx="936">
                  <c:v>360.3</c:v>
                </c:pt>
                <c:pt idx="937">
                  <c:v>366.5</c:v>
                </c:pt>
                <c:pt idx="938">
                  <c:v>367.8</c:v>
                </c:pt>
                <c:pt idx="939">
                  <c:v>366.6</c:v>
                </c:pt>
                <c:pt idx="941">
                  <c:v>362.6</c:v>
                </c:pt>
                <c:pt idx="942">
                  <c:v>362.3</c:v>
                </c:pt>
                <c:pt idx="943">
                  <c:v>354.9</c:v>
                </c:pt>
                <c:pt idx="944">
                  <c:v>351.7</c:v>
                </c:pt>
                <c:pt idx="945">
                  <c:v>352.7</c:v>
                </c:pt>
                <c:pt idx="946">
                  <c:v>350.5</c:v>
                </c:pt>
                <c:pt idx="947">
                  <c:v>353.9</c:v>
                </c:pt>
                <c:pt idx="948">
                  <c:v>354.8</c:v>
                </c:pt>
                <c:pt idx="949">
                  <c:v>358.4</c:v>
                </c:pt>
                <c:pt idx="950">
                  <c:v>361.8</c:v>
                </c:pt>
                <c:pt idx="951">
                  <c:v>363</c:v>
                </c:pt>
                <c:pt idx="952">
                  <c:v>362.4</c:v>
                </c:pt>
                <c:pt idx="953">
                  <c:v>365.3</c:v>
                </c:pt>
                <c:pt idx="954">
                  <c:v>362.6</c:v>
                </c:pt>
                <c:pt idx="956">
                  <c:v>269.7</c:v>
                </c:pt>
                <c:pt idx="957">
                  <c:v>269.89999999999998</c:v>
                </c:pt>
                <c:pt idx="958">
                  <c:v>264.89999999999998</c:v>
                </c:pt>
                <c:pt idx="959">
                  <c:v>264.39999999999998</c:v>
                </c:pt>
                <c:pt idx="960">
                  <c:v>266.2</c:v>
                </c:pt>
                <c:pt idx="961">
                  <c:v>269.3</c:v>
                </c:pt>
                <c:pt idx="962">
                  <c:v>267.8</c:v>
                </c:pt>
                <c:pt idx="963">
                  <c:v>269.7</c:v>
                </c:pt>
                <c:pt idx="964">
                  <c:v>269.7</c:v>
                </c:pt>
                <c:pt idx="966">
                  <c:v>265.60000000000002</c:v>
                </c:pt>
                <c:pt idx="967">
                  <c:v>263.7</c:v>
                </c:pt>
                <c:pt idx="968">
                  <c:v>259.8</c:v>
                </c:pt>
                <c:pt idx="969">
                  <c:v>260</c:v>
                </c:pt>
                <c:pt idx="970">
                  <c:v>257.2</c:v>
                </c:pt>
                <c:pt idx="971">
                  <c:v>254.6</c:v>
                </c:pt>
                <c:pt idx="972">
                  <c:v>259</c:v>
                </c:pt>
                <c:pt idx="973">
                  <c:v>262.7</c:v>
                </c:pt>
                <c:pt idx="974">
                  <c:v>263.5</c:v>
                </c:pt>
                <c:pt idx="975">
                  <c:v>265.60000000000002</c:v>
                </c:pt>
                <c:pt idx="977">
                  <c:v>267.10000000000002</c:v>
                </c:pt>
                <c:pt idx="978">
                  <c:v>262.60000000000002</c:v>
                </c:pt>
                <c:pt idx="979">
                  <c:v>262.7</c:v>
                </c:pt>
                <c:pt idx="980">
                  <c:v>260.5</c:v>
                </c:pt>
                <c:pt idx="981">
                  <c:v>260.2</c:v>
                </c:pt>
                <c:pt idx="982">
                  <c:v>258.7</c:v>
                </c:pt>
                <c:pt idx="983">
                  <c:v>256.60000000000002</c:v>
                </c:pt>
                <c:pt idx="984">
                  <c:v>262.5</c:v>
                </c:pt>
                <c:pt idx="985">
                  <c:v>261.3</c:v>
                </c:pt>
                <c:pt idx="986">
                  <c:v>265.89999999999998</c:v>
                </c:pt>
                <c:pt idx="987">
                  <c:v>267.10000000000002</c:v>
                </c:pt>
                <c:pt idx="989">
                  <c:v>278.89999999999998</c:v>
                </c:pt>
                <c:pt idx="990">
                  <c:v>275.89999999999998</c:v>
                </c:pt>
                <c:pt idx="991">
                  <c:v>273.7</c:v>
                </c:pt>
                <c:pt idx="992">
                  <c:v>270.89999999999998</c:v>
                </c:pt>
                <c:pt idx="993">
                  <c:v>267.3</c:v>
                </c:pt>
                <c:pt idx="994">
                  <c:v>265.10000000000002</c:v>
                </c:pt>
                <c:pt idx="995">
                  <c:v>261.3</c:v>
                </c:pt>
                <c:pt idx="996">
                  <c:v>264.89999999999998</c:v>
                </c:pt>
                <c:pt idx="997">
                  <c:v>269.89999999999998</c:v>
                </c:pt>
                <c:pt idx="998">
                  <c:v>269.7</c:v>
                </c:pt>
                <c:pt idx="999">
                  <c:v>276.60000000000002</c:v>
                </c:pt>
                <c:pt idx="1000">
                  <c:v>278.89999999999998</c:v>
                </c:pt>
                <c:pt idx="1002">
                  <c:v>282.89999999999998</c:v>
                </c:pt>
                <c:pt idx="1003">
                  <c:v>283.5</c:v>
                </c:pt>
                <c:pt idx="1004">
                  <c:v>281</c:v>
                </c:pt>
                <c:pt idx="1005">
                  <c:v>276.89999999999998</c:v>
                </c:pt>
                <c:pt idx="1006">
                  <c:v>275</c:v>
                </c:pt>
                <c:pt idx="1007">
                  <c:v>271.89999999999998</c:v>
                </c:pt>
                <c:pt idx="1008">
                  <c:v>267.8</c:v>
                </c:pt>
                <c:pt idx="1009">
                  <c:v>269.3</c:v>
                </c:pt>
                <c:pt idx="1010">
                  <c:v>265.7</c:v>
                </c:pt>
                <c:pt idx="1011">
                  <c:v>263.5</c:v>
                </c:pt>
                <c:pt idx="1012">
                  <c:v>262.7</c:v>
                </c:pt>
                <c:pt idx="1013">
                  <c:v>259</c:v>
                </c:pt>
                <c:pt idx="1014">
                  <c:v>257.7</c:v>
                </c:pt>
                <c:pt idx="1015">
                  <c:v>252.9</c:v>
                </c:pt>
                <c:pt idx="1016">
                  <c:v>253.8</c:v>
                </c:pt>
                <c:pt idx="1017">
                  <c:v>252.1</c:v>
                </c:pt>
                <c:pt idx="1018">
                  <c:v>251.7</c:v>
                </c:pt>
                <c:pt idx="1019">
                  <c:v>249.5</c:v>
                </c:pt>
                <c:pt idx="1020">
                  <c:v>246.4</c:v>
                </c:pt>
                <c:pt idx="1021">
                  <c:v>244.3</c:v>
                </c:pt>
                <c:pt idx="1022">
                  <c:v>244</c:v>
                </c:pt>
                <c:pt idx="1023">
                  <c:v>241</c:v>
                </c:pt>
                <c:pt idx="1024">
                  <c:v>242.4</c:v>
                </c:pt>
                <c:pt idx="1025">
                  <c:v>247.4</c:v>
                </c:pt>
                <c:pt idx="1026">
                  <c:v>246.5</c:v>
                </c:pt>
                <c:pt idx="1027">
                  <c:v>247.4</c:v>
                </c:pt>
                <c:pt idx="1028">
                  <c:v>249.6</c:v>
                </c:pt>
                <c:pt idx="1029">
                  <c:v>253</c:v>
                </c:pt>
                <c:pt idx="1030">
                  <c:v>252.2</c:v>
                </c:pt>
                <c:pt idx="1031">
                  <c:v>255.6</c:v>
                </c:pt>
                <c:pt idx="1032">
                  <c:v>259.2</c:v>
                </c:pt>
                <c:pt idx="1033">
                  <c:v>261.10000000000002</c:v>
                </c:pt>
                <c:pt idx="1034">
                  <c:v>263.10000000000002</c:v>
                </c:pt>
                <c:pt idx="1035">
                  <c:v>262.60000000000002</c:v>
                </c:pt>
                <c:pt idx="1036">
                  <c:v>264.3</c:v>
                </c:pt>
                <c:pt idx="1037">
                  <c:v>265.8</c:v>
                </c:pt>
                <c:pt idx="1038">
                  <c:v>269.39999999999998</c:v>
                </c:pt>
                <c:pt idx="1039">
                  <c:v>271.8</c:v>
                </c:pt>
                <c:pt idx="1040">
                  <c:v>272.89999999999998</c:v>
                </c:pt>
                <c:pt idx="1041">
                  <c:v>273.89999999999998</c:v>
                </c:pt>
                <c:pt idx="1042">
                  <c:v>275.89999999999998</c:v>
                </c:pt>
                <c:pt idx="1043">
                  <c:v>275.10000000000002</c:v>
                </c:pt>
                <c:pt idx="1044">
                  <c:v>278.10000000000002</c:v>
                </c:pt>
                <c:pt idx="1045">
                  <c:v>280.8</c:v>
                </c:pt>
                <c:pt idx="1046">
                  <c:v>283.8</c:v>
                </c:pt>
                <c:pt idx="1047">
                  <c:v>282.89999999999998</c:v>
                </c:pt>
                <c:pt idx="1049">
                  <c:v>392.7</c:v>
                </c:pt>
                <c:pt idx="1050">
                  <c:v>392.2</c:v>
                </c:pt>
                <c:pt idx="1051">
                  <c:v>388.8</c:v>
                </c:pt>
                <c:pt idx="1052">
                  <c:v>387.7</c:v>
                </c:pt>
                <c:pt idx="1053">
                  <c:v>385.9</c:v>
                </c:pt>
                <c:pt idx="1054">
                  <c:v>382.9</c:v>
                </c:pt>
                <c:pt idx="1055">
                  <c:v>382.4</c:v>
                </c:pt>
                <c:pt idx="1056">
                  <c:v>377.1</c:v>
                </c:pt>
                <c:pt idx="1057">
                  <c:v>376.8</c:v>
                </c:pt>
                <c:pt idx="1058">
                  <c:v>374.5</c:v>
                </c:pt>
                <c:pt idx="1059">
                  <c:v>375.1</c:v>
                </c:pt>
                <c:pt idx="1060">
                  <c:v>372.2</c:v>
                </c:pt>
                <c:pt idx="1061">
                  <c:v>371.8</c:v>
                </c:pt>
                <c:pt idx="1062">
                  <c:v>367.3</c:v>
                </c:pt>
                <c:pt idx="1063">
                  <c:v>366.5</c:v>
                </c:pt>
                <c:pt idx="1064">
                  <c:v>362.4</c:v>
                </c:pt>
                <c:pt idx="1065">
                  <c:v>359.3</c:v>
                </c:pt>
                <c:pt idx="1066">
                  <c:v>357.6</c:v>
                </c:pt>
                <c:pt idx="1067">
                  <c:v>361.2</c:v>
                </c:pt>
                <c:pt idx="1068">
                  <c:v>366.6</c:v>
                </c:pt>
                <c:pt idx="1069">
                  <c:v>368.7</c:v>
                </c:pt>
                <c:pt idx="1070">
                  <c:v>370</c:v>
                </c:pt>
                <c:pt idx="1071">
                  <c:v>372.3</c:v>
                </c:pt>
                <c:pt idx="1072">
                  <c:v>372.7</c:v>
                </c:pt>
                <c:pt idx="1073">
                  <c:v>376.2</c:v>
                </c:pt>
                <c:pt idx="1074">
                  <c:v>379.2</c:v>
                </c:pt>
                <c:pt idx="1075">
                  <c:v>388.3</c:v>
                </c:pt>
                <c:pt idx="1076">
                  <c:v>388.3</c:v>
                </c:pt>
                <c:pt idx="1077">
                  <c:v>390.3</c:v>
                </c:pt>
                <c:pt idx="1078">
                  <c:v>392.7</c:v>
                </c:pt>
                <c:pt idx="1080">
                  <c:v>459.5</c:v>
                </c:pt>
                <c:pt idx="1081">
                  <c:v>453.6</c:v>
                </c:pt>
                <c:pt idx="1082">
                  <c:v>452.8</c:v>
                </c:pt>
                <c:pt idx="1083">
                  <c:v>457.7</c:v>
                </c:pt>
                <c:pt idx="1084">
                  <c:v>459.5</c:v>
                </c:pt>
                <c:pt idx="1086">
                  <c:v>448.3</c:v>
                </c:pt>
                <c:pt idx="1087">
                  <c:v>446.1</c:v>
                </c:pt>
                <c:pt idx="1088">
                  <c:v>446.6</c:v>
                </c:pt>
                <c:pt idx="1089">
                  <c:v>450</c:v>
                </c:pt>
                <c:pt idx="1090">
                  <c:v>454.6</c:v>
                </c:pt>
                <c:pt idx="1091">
                  <c:v>454.5</c:v>
                </c:pt>
                <c:pt idx="1092">
                  <c:v>448.3</c:v>
                </c:pt>
                <c:pt idx="1094">
                  <c:v>453.3</c:v>
                </c:pt>
                <c:pt idx="1095">
                  <c:v>449.6</c:v>
                </c:pt>
                <c:pt idx="1096">
                  <c:v>450.3</c:v>
                </c:pt>
                <c:pt idx="1097">
                  <c:v>453</c:v>
                </c:pt>
                <c:pt idx="1098">
                  <c:v>453.3</c:v>
                </c:pt>
                <c:pt idx="1100">
                  <c:v>456</c:v>
                </c:pt>
                <c:pt idx="1101">
                  <c:v>453.9</c:v>
                </c:pt>
                <c:pt idx="1102">
                  <c:v>454.1</c:v>
                </c:pt>
                <c:pt idx="1103">
                  <c:v>451.1</c:v>
                </c:pt>
                <c:pt idx="1104">
                  <c:v>450.1</c:v>
                </c:pt>
                <c:pt idx="1105">
                  <c:v>451</c:v>
                </c:pt>
                <c:pt idx="1106">
                  <c:v>448.8</c:v>
                </c:pt>
                <c:pt idx="1107">
                  <c:v>446.8</c:v>
                </c:pt>
                <c:pt idx="1108">
                  <c:v>450.7</c:v>
                </c:pt>
                <c:pt idx="1109">
                  <c:v>451.5</c:v>
                </c:pt>
                <c:pt idx="1110">
                  <c:v>455.5</c:v>
                </c:pt>
                <c:pt idx="1111">
                  <c:v>456</c:v>
                </c:pt>
                <c:pt idx="1113">
                  <c:v>472.8</c:v>
                </c:pt>
                <c:pt idx="1114">
                  <c:v>472.2</c:v>
                </c:pt>
                <c:pt idx="1115">
                  <c:v>469.9</c:v>
                </c:pt>
                <c:pt idx="1116">
                  <c:v>468.6</c:v>
                </c:pt>
                <c:pt idx="1117">
                  <c:v>466.1</c:v>
                </c:pt>
                <c:pt idx="1118">
                  <c:v>464.8</c:v>
                </c:pt>
                <c:pt idx="1119">
                  <c:v>465.5</c:v>
                </c:pt>
                <c:pt idx="1120">
                  <c:v>468.1</c:v>
                </c:pt>
                <c:pt idx="1121">
                  <c:v>468.4</c:v>
                </c:pt>
                <c:pt idx="1122">
                  <c:v>473.1</c:v>
                </c:pt>
                <c:pt idx="1123">
                  <c:v>472.8</c:v>
                </c:pt>
                <c:pt idx="1125">
                  <c:v>473</c:v>
                </c:pt>
                <c:pt idx="1126">
                  <c:v>469.8</c:v>
                </c:pt>
                <c:pt idx="1127">
                  <c:v>466.8</c:v>
                </c:pt>
                <c:pt idx="1128">
                  <c:v>465.6</c:v>
                </c:pt>
                <c:pt idx="1129">
                  <c:v>466.8</c:v>
                </c:pt>
                <c:pt idx="1130">
                  <c:v>468.6</c:v>
                </c:pt>
                <c:pt idx="1131">
                  <c:v>469.9</c:v>
                </c:pt>
                <c:pt idx="1132">
                  <c:v>473</c:v>
                </c:pt>
                <c:pt idx="1134">
                  <c:v>466.2</c:v>
                </c:pt>
                <c:pt idx="1135">
                  <c:v>465.7</c:v>
                </c:pt>
                <c:pt idx="1136">
                  <c:v>463.7</c:v>
                </c:pt>
                <c:pt idx="1137">
                  <c:v>460.5</c:v>
                </c:pt>
                <c:pt idx="1138">
                  <c:v>458.6</c:v>
                </c:pt>
                <c:pt idx="1139">
                  <c:v>458</c:v>
                </c:pt>
                <c:pt idx="1140">
                  <c:v>462</c:v>
                </c:pt>
                <c:pt idx="1141">
                  <c:v>465.5</c:v>
                </c:pt>
                <c:pt idx="1142">
                  <c:v>464.8</c:v>
                </c:pt>
                <c:pt idx="1143">
                  <c:v>466.9</c:v>
                </c:pt>
                <c:pt idx="1144">
                  <c:v>466.2</c:v>
                </c:pt>
                <c:pt idx="1146">
                  <c:v>505.6</c:v>
                </c:pt>
                <c:pt idx="1147">
                  <c:v>503.1</c:v>
                </c:pt>
                <c:pt idx="1148">
                  <c:v>502.7</c:v>
                </c:pt>
                <c:pt idx="1149">
                  <c:v>498.4</c:v>
                </c:pt>
                <c:pt idx="1150">
                  <c:v>496</c:v>
                </c:pt>
                <c:pt idx="1151">
                  <c:v>497.7</c:v>
                </c:pt>
                <c:pt idx="1152">
                  <c:v>504.3</c:v>
                </c:pt>
                <c:pt idx="1153">
                  <c:v>505.6</c:v>
                </c:pt>
                <c:pt idx="1155">
                  <c:v>469</c:v>
                </c:pt>
                <c:pt idx="1156">
                  <c:v>467.5</c:v>
                </c:pt>
                <c:pt idx="1157">
                  <c:v>466.2</c:v>
                </c:pt>
                <c:pt idx="1158">
                  <c:v>462.6</c:v>
                </c:pt>
                <c:pt idx="1159">
                  <c:v>460.7</c:v>
                </c:pt>
                <c:pt idx="1160">
                  <c:v>466.4</c:v>
                </c:pt>
                <c:pt idx="1161">
                  <c:v>466.3</c:v>
                </c:pt>
                <c:pt idx="1162">
                  <c:v>469.3</c:v>
                </c:pt>
                <c:pt idx="1163">
                  <c:v>470.5</c:v>
                </c:pt>
                <c:pt idx="1164">
                  <c:v>469</c:v>
                </c:pt>
                <c:pt idx="1166">
                  <c:v>469.3</c:v>
                </c:pt>
                <c:pt idx="1167">
                  <c:v>467.3</c:v>
                </c:pt>
                <c:pt idx="1168">
                  <c:v>465.1</c:v>
                </c:pt>
                <c:pt idx="1169">
                  <c:v>460.9</c:v>
                </c:pt>
                <c:pt idx="1170">
                  <c:v>466.2</c:v>
                </c:pt>
                <c:pt idx="1171">
                  <c:v>467.5</c:v>
                </c:pt>
                <c:pt idx="1172">
                  <c:v>469.2</c:v>
                </c:pt>
                <c:pt idx="1173">
                  <c:v>469.3</c:v>
                </c:pt>
                <c:pt idx="1175">
                  <c:v>481.1</c:v>
                </c:pt>
                <c:pt idx="1176">
                  <c:v>479.8</c:v>
                </c:pt>
                <c:pt idx="1177">
                  <c:v>480.3</c:v>
                </c:pt>
                <c:pt idx="1178">
                  <c:v>476.8</c:v>
                </c:pt>
                <c:pt idx="1179">
                  <c:v>475.5</c:v>
                </c:pt>
                <c:pt idx="1180">
                  <c:v>473.2</c:v>
                </c:pt>
                <c:pt idx="1181">
                  <c:v>473.4</c:v>
                </c:pt>
                <c:pt idx="1182">
                  <c:v>471.5</c:v>
                </c:pt>
                <c:pt idx="1183">
                  <c:v>474.5</c:v>
                </c:pt>
                <c:pt idx="1184">
                  <c:v>476.8</c:v>
                </c:pt>
                <c:pt idx="1185">
                  <c:v>481.1</c:v>
                </c:pt>
                <c:pt idx="1187">
                  <c:v>474.8</c:v>
                </c:pt>
                <c:pt idx="1188">
                  <c:v>468.9</c:v>
                </c:pt>
                <c:pt idx="1189">
                  <c:v>466.3</c:v>
                </c:pt>
                <c:pt idx="1190">
                  <c:v>465.2</c:v>
                </c:pt>
                <c:pt idx="1191">
                  <c:v>471.5</c:v>
                </c:pt>
                <c:pt idx="1192">
                  <c:v>473.4</c:v>
                </c:pt>
                <c:pt idx="1193">
                  <c:v>474.8</c:v>
                </c:pt>
                <c:pt idx="1195">
                  <c:v>437.4</c:v>
                </c:pt>
                <c:pt idx="1196">
                  <c:v>435.1</c:v>
                </c:pt>
                <c:pt idx="1197">
                  <c:v>430.6</c:v>
                </c:pt>
                <c:pt idx="1198">
                  <c:v>429.2</c:v>
                </c:pt>
                <c:pt idx="1199">
                  <c:v>428.2</c:v>
                </c:pt>
                <c:pt idx="1200">
                  <c:v>425.6</c:v>
                </c:pt>
                <c:pt idx="1201">
                  <c:v>424.9</c:v>
                </c:pt>
                <c:pt idx="1202">
                  <c:v>421.6</c:v>
                </c:pt>
                <c:pt idx="1203">
                  <c:v>417.5</c:v>
                </c:pt>
                <c:pt idx="1204">
                  <c:v>415.6</c:v>
                </c:pt>
                <c:pt idx="1205">
                  <c:v>414</c:v>
                </c:pt>
                <c:pt idx="1206">
                  <c:v>414.8</c:v>
                </c:pt>
                <c:pt idx="1207">
                  <c:v>411.2</c:v>
                </c:pt>
                <c:pt idx="1208">
                  <c:v>414.2</c:v>
                </c:pt>
                <c:pt idx="1209">
                  <c:v>416</c:v>
                </c:pt>
                <c:pt idx="1210">
                  <c:v>420.4</c:v>
                </c:pt>
                <c:pt idx="1211">
                  <c:v>420.9</c:v>
                </c:pt>
                <c:pt idx="1212">
                  <c:v>422.6</c:v>
                </c:pt>
                <c:pt idx="1213">
                  <c:v>423.8</c:v>
                </c:pt>
                <c:pt idx="1214">
                  <c:v>429.1</c:v>
                </c:pt>
                <c:pt idx="1215">
                  <c:v>429.7</c:v>
                </c:pt>
                <c:pt idx="1216">
                  <c:v>428.4</c:v>
                </c:pt>
                <c:pt idx="1217">
                  <c:v>429.3</c:v>
                </c:pt>
                <c:pt idx="1218">
                  <c:v>435.7</c:v>
                </c:pt>
                <c:pt idx="1219">
                  <c:v>436.6</c:v>
                </c:pt>
                <c:pt idx="1220">
                  <c:v>435.4</c:v>
                </c:pt>
                <c:pt idx="1221">
                  <c:v>435.5</c:v>
                </c:pt>
                <c:pt idx="1222">
                  <c:v>437.4</c:v>
                </c:pt>
                <c:pt idx="1224">
                  <c:v>527.4</c:v>
                </c:pt>
                <c:pt idx="1225">
                  <c:v>526.9</c:v>
                </c:pt>
                <c:pt idx="1226">
                  <c:v>523.9</c:v>
                </c:pt>
                <c:pt idx="1227">
                  <c:v>518.70000000000005</c:v>
                </c:pt>
                <c:pt idx="1228">
                  <c:v>516.6</c:v>
                </c:pt>
                <c:pt idx="1229">
                  <c:v>514.9</c:v>
                </c:pt>
                <c:pt idx="1230">
                  <c:v>515.79999999999995</c:v>
                </c:pt>
                <c:pt idx="1231">
                  <c:v>518.70000000000005</c:v>
                </c:pt>
                <c:pt idx="1232">
                  <c:v>520.79999999999995</c:v>
                </c:pt>
                <c:pt idx="1233">
                  <c:v>527.70000000000005</c:v>
                </c:pt>
                <c:pt idx="1234">
                  <c:v>527.4</c:v>
                </c:pt>
                <c:pt idx="1236">
                  <c:v>462.6</c:v>
                </c:pt>
                <c:pt idx="1237">
                  <c:v>460.7</c:v>
                </c:pt>
                <c:pt idx="1238">
                  <c:v>456.5</c:v>
                </c:pt>
                <c:pt idx="1239">
                  <c:v>456.6</c:v>
                </c:pt>
                <c:pt idx="1240">
                  <c:v>453.7</c:v>
                </c:pt>
                <c:pt idx="1241">
                  <c:v>452</c:v>
                </c:pt>
                <c:pt idx="1242">
                  <c:v>453.3</c:v>
                </c:pt>
                <c:pt idx="1243">
                  <c:v>450.7</c:v>
                </c:pt>
                <c:pt idx="1244">
                  <c:v>454.2</c:v>
                </c:pt>
                <c:pt idx="1245">
                  <c:v>454.9</c:v>
                </c:pt>
                <c:pt idx="1246">
                  <c:v>461</c:v>
                </c:pt>
                <c:pt idx="1247">
                  <c:v>460.9</c:v>
                </c:pt>
                <c:pt idx="1248">
                  <c:v>462.6</c:v>
                </c:pt>
                <c:pt idx="1250">
                  <c:v>453.3</c:v>
                </c:pt>
                <c:pt idx="1251">
                  <c:v>450.4</c:v>
                </c:pt>
                <c:pt idx="1252">
                  <c:v>451.3</c:v>
                </c:pt>
                <c:pt idx="1253">
                  <c:v>450.2</c:v>
                </c:pt>
                <c:pt idx="1254">
                  <c:v>452.2</c:v>
                </c:pt>
                <c:pt idx="1255">
                  <c:v>451.2</c:v>
                </c:pt>
                <c:pt idx="1256">
                  <c:v>442.5</c:v>
                </c:pt>
                <c:pt idx="1257">
                  <c:v>445.1</c:v>
                </c:pt>
                <c:pt idx="1258">
                  <c:v>445.4</c:v>
                </c:pt>
                <c:pt idx="1259">
                  <c:v>443.7</c:v>
                </c:pt>
                <c:pt idx="1260">
                  <c:v>447.4</c:v>
                </c:pt>
                <c:pt idx="1261">
                  <c:v>447</c:v>
                </c:pt>
                <c:pt idx="1262">
                  <c:v>444.5</c:v>
                </c:pt>
                <c:pt idx="1263">
                  <c:v>443.3</c:v>
                </c:pt>
                <c:pt idx="1264">
                  <c:v>445.8</c:v>
                </c:pt>
                <c:pt idx="1265">
                  <c:v>445.7</c:v>
                </c:pt>
                <c:pt idx="1266">
                  <c:v>442.7</c:v>
                </c:pt>
                <c:pt idx="1267">
                  <c:v>444.1</c:v>
                </c:pt>
                <c:pt idx="1268">
                  <c:v>445.4</c:v>
                </c:pt>
                <c:pt idx="1269">
                  <c:v>447.1</c:v>
                </c:pt>
                <c:pt idx="1270">
                  <c:v>447.4</c:v>
                </c:pt>
                <c:pt idx="1271">
                  <c:v>453.1</c:v>
                </c:pt>
                <c:pt idx="1272">
                  <c:v>451.8</c:v>
                </c:pt>
                <c:pt idx="1273">
                  <c:v>454</c:v>
                </c:pt>
                <c:pt idx="1274">
                  <c:v>455.8</c:v>
                </c:pt>
                <c:pt idx="1275">
                  <c:v>453.3</c:v>
                </c:pt>
                <c:pt idx="1277">
                  <c:v>461</c:v>
                </c:pt>
                <c:pt idx="1278">
                  <c:v>461.1</c:v>
                </c:pt>
                <c:pt idx="1279">
                  <c:v>454.9</c:v>
                </c:pt>
                <c:pt idx="1280">
                  <c:v>453.4</c:v>
                </c:pt>
                <c:pt idx="1281">
                  <c:v>455.2</c:v>
                </c:pt>
                <c:pt idx="1282">
                  <c:v>458.7</c:v>
                </c:pt>
                <c:pt idx="1283">
                  <c:v>458.4</c:v>
                </c:pt>
                <c:pt idx="1284">
                  <c:v>460.2</c:v>
                </c:pt>
                <c:pt idx="1285">
                  <c:v>461</c:v>
                </c:pt>
                <c:pt idx="1287">
                  <c:v>502.7</c:v>
                </c:pt>
                <c:pt idx="1288">
                  <c:v>494.3</c:v>
                </c:pt>
                <c:pt idx="1289">
                  <c:v>494.4</c:v>
                </c:pt>
                <c:pt idx="1290">
                  <c:v>496.8</c:v>
                </c:pt>
                <c:pt idx="1291">
                  <c:v>495.9</c:v>
                </c:pt>
                <c:pt idx="1292">
                  <c:v>494.6</c:v>
                </c:pt>
                <c:pt idx="1293">
                  <c:v>490.6</c:v>
                </c:pt>
                <c:pt idx="1294">
                  <c:v>489.9</c:v>
                </c:pt>
                <c:pt idx="1295">
                  <c:v>493.1</c:v>
                </c:pt>
                <c:pt idx="1296">
                  <c:v>492</c:v>
                </c:pt>
                <c:pt idx="1297">
                  <c:v>485.6</c:v>
                </c:pt>
                <c:pt idx="1298">
                  <c:v>486</c:v>
                </c:pt>
                <c:pt idx="1299">
                  <c:v>483.7</c:v>
                </c:pt>
                <c:pt idx="1300">
                  <c:v>489.9</c:v>
                </c:pt>
                <c:pt idx="1301">
                  <c:v>489.5</c:v>
                </c:pt>
                <c:pt idx="1302">
                  <c:v>491.7</c:v>
                </c:pt>
                <c:pt idx="1303">
                  <c:v>494.4</c:v>
                </c:pt>
                <c:pt idx="1304">
                  <c:v>496.2</c:v>
                </c:pt>
                <c:pt idx="1305">
                  <c:v>500.9</c:v>
                </c:pt>
                <c:pt idx="1306">
                  <c:v>500</c:v>
                </c:pt>
                <c:pt idx="1307">
                  <c:v>502.6</c:v>
                </c:pt>
                <c:pt idx="1308">
                  <c:v>502.7</c:v>
                </c:pt>
                <c:pt idx="1310">
                  <c:v>500.2</c:v>
                </c:pt>
                <c:pt idx="1311">
                  <c:v>500.5</c:v>
                </c:pt>
                <c:pt idx="1312">
                  <c:v>496.2</c:v>
                </c:pt>
                <c:pt idx="1313">
                  <c:v>494.4</c:v>
                </c:pt>
                <c:pt idx="1314">
                  <c:v>491.7</c:v>
                </c:pt>
                <c:pt idx="1315">
                  <c:v>489.5</c:v>
                </c:pt>
                <c:pt idx="1316">
                  <c:v>490.2</c:v>
                </c:pt>
                <c:pt idx="1317">
                  <c:v>491.8</c:v>
                </c:pt>
                <c:pt idx="1318">
                  <c:v>494.6</c:v>
                </c:pt>
                <c:pt idx="1319">
                  <c:v>498.7</c:v>
                </c:pt>
                <c:pt idx="1320">
                  <c:v>501.3</c:v>
                </c:pt>
                <c:pt idx="1321">
                  <c:v>500.2</c:v>
                </c:pt>
                <c:pt idx="1323">
                  <c:v>497.9</c:v>
                </c:pt>
                <c:pt idx="1324">
                  <c:v>494.6</c:v>
                </c:pt>
                <c:pt idx="1325">
                  <c:v>491.8</c:v>
                </c:pt>
                <c:pt idx="1326">
                  <c:v>495.5</c:v>
                </c:pt>
                <c:pt idx="1327">
                  <c:v>497.6</c:v>
                </c:pt>
                <c:pt idx="1328">
                  <c:v>496.3</c:v>
                </c:pt>
                <c:pt idx="1329">
                  <c:v>498</c:v>
                </c:pt>
                <c:pt idx="1330">
                  <c:v>497.9</c:v>
                </c:pt>
                <c:pt idx="1332">
                  <c:v>472.3</c:v>
                </c:pt>
                <c:pt idx="1333">
                  <c:v>471</c:v>
                </c:pt>
                <c:pt idx="1334">
                  <c:v>472</c:v>
                </c:pt>
                <c:pt idx="1335">
                  <c:v>468.4</c:v>
                </c:pt>
                <c:pt idx="1336">
                  <c:v>466.6</c:v>
                </c:pt>
                <c:pt idx="1337">
                  <c:v>465.1</c:v>
                </c:pt>
                <c:pt idx="1338">
                  <c:v>467.3</c:v>
                </c:pt>
                <c:pt idx="1339">
                  <c:v>470</c:v>
                </c:pt>
                <c:pt idx="1340">
                  <c:v>472.3</c:v>
                </c:pt>
                <c:pt idx="1342">
                  <c:v>491.4</c:v>
                </c:pt>
                <c:pt idx="1343">
                  <c:v>487.4</c:v>
                </c:pt>
                <c:pt idx="1344">
                  <c:v>484.6</c:v>
                </c:pt>
                <c:pt idx="1345">
                  <c:v>482</c:v>
                </c:pt>
                <c:pt idx="1346">
                  <c:v>491.3</c:v>
                </c:pt>
                <c:pt idx="1347">
                  <c:v>491.4</c:v>
                </c:pt>
                <c:pt idx="1349">
                  <c:v>505.5</c:v>
                </c:pt>
                <c:pt idx="1350">
                  <c:v>504.7</c:v>
                </c:pt>
                <c:pt idx="1351">
                  <c:v>495.1</c:v>
                </c:pt>
                <c:pt idx="1352">
                  <c:v>476.5</c:v>
                </c:pt>
                <c:pt idx="1353">
                  <c:v>485.5</c:v>
                </c:pt>
                <c:pt idx="1354">
                  <c:v>485.1</c:v>
                </c:pt>
                <c:pt idx="1355">
                  <c:v>491.4</c:v>
                </c:pt>
                <c:pt idx="1356">
                  <c:v>491.5</c:v>
                </c:pt>
                <c:pt idx="1357">
                  <c:v>496.3</c:v>
                </c:pt>
                <c:pt idx="1358">
                  <c:v>497.5</c:v>
                </c:pt>
                <c:pt idx="1359">
                  <c:v>498.4</c:v>
                </c:pt>
                <c:pt idx="1360">
                  <c:v>503.6</c:v>
                </c:pt>
                <c:pt idx="1361">
                  <c:v>502.6</c:v>
                </c:pt>
                <c:pt idx="1362">
                  <c:v>505</c:v>
                </c:pt>
                <c:pt idx="1363">
                  <c:v>503.3</c:v>
                </c:pt>
                <c:pt idx="1364">
                  <c:v>506.2</c:v>
                </c:pt>
                <c:pt idx="1365">
                  <c:v>505.5</c:v>
                </c:pt>
                <c:pt idx="1367">
                  <c:v>443.2</c:v>
                </c:pt>
                <c:pt idx="1368">
                  <c:v>443.3</c:v>
                </c:pt>
                <c:pt idx="1369">
                  <c:v>440</c:v>
                </c:pt>
                <c:pt idx="1370">
                  <c:v>438.6</c:v>
                </c:pt>
                <c:pt idx="1371">
                  <c:v>435.5</c:v>
                </c:pt>
                <c:pt idx="1372">
                  <c:v>435.5</c:v>
                </c:pt>
                <c:pt idx="1373">
                  <c:v>439.6</c:v>
                </c:pt>
                <c:pt idx="1374">
                  <c:v>440.7</c:v>
                </c:pt>
                <c:pt idx="1375">
                  <c:v>442.7</c:v>
                </c:pt>
                <c:pt idx="1376">
                  <c:v>443.2</c:v>
                </c:pt>
                <c:pt idx="1378">
                  <c:v>464.4</c:v>
                </c:pt>
                <c:pt idx="1379">
                  <c:v>464.3</c:v>
                </c:pt>
                <c:pt idx="1380">
                  <c:v>465.9</c:v>
                </c:pt>
                <c:pt idx="1381">
                  <c:v>464.2</c:v>
                </c:pt>
                <c:pt idx="1382">
                  <c:v>465.5</c:v>
                </c:pt>
                <c:pt idx="1383">
                  <c:v>472.8</c:v>
                </c:pt>
                <c:pt idx="1384">
                  <c:v>471.4</c:v>
                </c:pt>
                <c:pt idx="1385">
                  <c:v>466.4</c:v>
                </c:pt>
                <c:pt idx="1386">
                  <c:v>465.3</c:v>
                </c:pt>
                <c:pt idx="1387">
                  <c:v>462.3</c:v>
                </c:pt>
                <c:pt idx="1388">
                  <c:v>460.7</c:v>
                </c:pt>
                <c:pt idx="1389">
                  <c:v>461.4</c:v>
                </c:pt>
                <c:pt idx="1390">
                  <c:v>460.2</c:v>
                </c:pt>
                <c:pt idx="1391">
                  <c:v>458.4</c:v>
                </c:pt>
                <c:pt idx="1392">
                  <c:v>458.7</c:v>
                </c:pt>
                <c:pt idx="1393">
                  <c:v>455.2</c:v>
                </c:pt>
                <c:pt idx="1394">
                  <c:v>457.4</c:v>
                </c:pt>
                <c:pt idx="1395">
                  <c:v>455.8</c:v>
                </c:pt>
                <c:pt idx="1396">
                  <c:v>458.1</c:v>
                </c:pt>
                <c:pt idx="1397">
                  <c:v>459.5</c:v>
                </c:pt>
                <c:pt idx="1398">
                  <c:v>463.6</c:v>
                </c:pt>
                <c:pt idx="1399">
                  <c:v>463.2</c:v>
                </c:pt>
                <c:pt idx="1400">
                  <c:v>464.9</c:v>
                </c:pt>
                <c:pt idx="1401">
                  <c:v>464.4</c:v>
                </c:pt>
                <c:pt idx="1403">
                  <c:v>462.8</c:v>
                </c:pt>
                <c:pt idx="1404">
                  <c:v>459.8</c:v>
                </c:pt>
                <c:pt idx="1405">
                  <c:v>455.1</c:v>
                </c:pt>
                <c:pt idx="1406">
                  <c:v>456.5</c:v>
                </c:pt>
                <c:pt idx="1407">
                  <c:v>462.2</c:v>
                </c:pt>
                <c:pt idx="1408">
                  <c:v>462.8</c:v>
                </c:pt>
                <c:pt idx="1410">
                  <c:v>466.6</c:v>
                </c:pt>
                <c:pt idx="1411">
                  <c:v>458.5</c:v>
                </c:pt>
                <c:pt idx="1412">
                  <c:v>457.7</c:v>
                </c:pt>
                <c:pt idx="1413">
                  <c:v>454.5</c:v>
                </c:pt>
                <c:pt idx="1414">
                  <c:v>454.6</c:v>
                </c:pt>
                <c:pt idx="1415">
                  <c:v>465.8</c:v>
                </c:pt>
                <c:pt idx="1416">
                  <c:v>466.6</c:v>
                </c:pt>
                <c:pt idx="1418">
                  <c:v>485.8</c:v>
                </c:pt>
                <c:pt idx="1419">
                  <c:v>478.2</c:v>
                </c:pt>
                <c:pt idx="1420">
                  <c:v>476.6</c:v>
                </c:pt>
                <c:pt idx="1421">
                  <c:v>473.4</c:v>
                </c:pt>
                <c:pt idx="1422">
                  <c:v>474.5</c:v>
                </c:pt>
                <c:pt idx="1423">
                  <c:v>472.6</c:v>
                </c:pt>
                <c:pt idx="1424">
                  <c:v>473.1</c:v>
                </c:pt>
                <c:pt idx="1425">
                  <c:v>475.9</c:v>
                </c:pt>
                <c:pt idx="1426">
                  <c:v>477</c:v>
                </c:pt>
                <c:pt idx="1427">
                  <c:v>480.8</c:v>
                </c:pt>
                <c:pt idx="1428">
                  <c:v>480.8</c:v>
                </c:pt>
                <c:pt idx="1429">
                  <c:v>484.4</c:v>
                </c:pt>
                <c:pt idx="1430">
                  <c:v>485.8</c:v>
                </c:pt>
                <c:pt idx="1432">
                  <c:v>460.7</c:v>
                </c:pt>
                <c:pt idx="1433">
                  <c:v>459.1</c:v>
                </c:pt>
                <c:pt idx="1434">
                  <c:v>451</c:v>
                </c:pt>
                <c:pt idx="1435">
                  <c:v>451.1</c:v>
                </c:pt>
                <c:pt idx="1436">
                  <c:v>445.6</c:v>
                </c:pt>
                <c:pt idx="1437">
                  <c:v>443.9</c:v>
                </c:pt>
                <c:pt idx="1438">
                  <c:v>441.9</c:v>
                </c:pt>
                <c:pt idx="1439">
                  <c:v>441.5</c:v>
                </c:pt>
                <c:pt idx="1440">
                  <c:v>438.6</c:v>
                </c:pt>
                <c:pt idx="1441">
                  <c:v>437.6</c:v>
                </c:pt>
                <c:pt idx="1442">
                  <c:v>431.4</c:v>
                </c:pt>
                <c:pt idx="1443">
                  <c:v>433.5</c:v>
                </c:pt>
                <c:pt idx="1444">
                  <c:v>432.7</c:v>
                </c:pt>
                <c:pt idx="1445">
                  <c:v>434.7</c:v>
                </c:pt>
                <c:pt idx="1446">
                  <c:v>433.2</c:v>
                </c:pt>
                <c:pt idx="1447">
                  <c:v>438.7</c:v>
                </c:pt>
                <c:pt idx="1448">
                  <c:v>435.1</c:v>
                </c:pt>
                <c:pt idx="1449">
                  <c:v>433.8</c:v>
                </c:pt>
                <c:pt idx="1450">
                  <c:v>430.9</c:v>
                </c:pt>
                <c:pt idx="1451">
                  <c:v>431.6</c:v>
                </c:pt>
                <c:pt idx="1452">
                  <c:v>435.1</c:v>
                </c:pt>
                <c:pt idx="1453">
                  <c:v>440.1</c:v>
                </c:pt>
                <c:pt idx="1454">
                  <c:v>441.3</c:v>
                </c:pt>
                <c:pt idx="1455">
                  <c:v>447.9</c:v>
                </c:pt>
                <c:pt idx="1456">
                  <c:v>449.8</c:v>
                </c:pt>
                <c:pt idx="1457">
                  <c:v>453</c:v>
                </c:pt>
                <c:pt idx="1458">
                  <c:v>456.4</c:v>
                </c:pt>
                <c:pt idx="1459">
                  <c:v>458.2</c:v>
                </c:pt>
                <c:pt idx="1460">
                  <c:v>459.4</c:v>
                </c:pt>
                <c:pt idx="1461">
                  <c:v>457.3</c:v>
                </c:pt>
                <c:pt idx="1462">
                  <c:v>460.2</c:v>
                </c:pt>
                <c:pt idx="1463">
                  <c:v>460.7</c:v>
                </c:pt>
                <c:pt idx="1465">
                  <c:v>456.4</c:v>
                </c:pt>
                <c:pt idx="1466">
                  <c:v>454.2</c:v>
                </c:pt>
                <c:pt idx="1467">
                  <c:v>449.8</c:v>
                </c:pt>
                <c:pt idx="1468">
                  <c:v>448</c:v>
                </c:pt>
                <c:pt idx="1469">
                  <c:v>445.6</c:v>
                </c:pt>
                <c:pt idx="1470">
                  <c:v>445.2</c:v>
                </c:pt>
                <c:pt idx="1471">
                  <c:v>448.2</c:v>
                </c:pt>
                <c:pt idx="1472">
                  <c:v>450.9</c:v>
                </c:pt>
                <c:pt idx="1473">
                  <c:v>450.1</c:v>
                </c:pt>
                <c:pt idx="1474">
                  <c:v>451.3</c:v>
                </c:pt>
                <c:pt idx="1475">
                  <c:v>452.8</c:v>
                </c:pt>
                <c:pt idx="1476">
                  <c:v>456.6</c:v>
                </c:pt>
                <c:pt idx="1477">
                  <c:v>456.4</c:v>
                </c:pt>
                <c:pt idx="1479">
                  <c:v>460.7</c:v>
                </c:pt>
                <c:pt idx="1480">
                  <c:v>457.9</c:v>
                </c:pt>
                <c:pt idx="1481">
                  <c:v>458.6</c:v>
                </c:pt>
                <c:pt idx="1482">
                  <c:v>457</c:v>
                </c:pt>
                <c:pt idx="1483">
                  <c:v>456.6</c:v>
                </c:pt>
                <c:pt idx="1484">
                  <c:v>454.1</c:v>
                </c:pt>
                <c:pt idx="1485">
                  <c:v>453.9</c:v>
                </c:pt>
                <c:pt idx="1486">
                  <c:v>460.3</c:v>
                </c:pt>
                <c:pt idx="1487">
                  <c:v>462</c:v>
                </c:pt>
                <c:pt idx="1488">
                  <c:v>460.7</c:v>
                </c:pt>
                <c:pt idx="1490">
                  <c:v>530.70000000000005</c:v>
                </c:pt>
                <c:pt idx="1491">
                  <c:v>528.5</c:v>
                </c:pt>
                <c:pt idx="1492">
                  <c:v>521.1</c:v>
                </c:pt>
                <c:pt idx="1493">
                  <c:v>512.79999999999995</c:v>
                </c:pt>
                <c:pt idx="1494">
                  <c:v>512.70000000000005</c:v>
                </c:pt>
                <c:pt idx="1495">
                  <c:v>511</c:v>
                </c:pt>
                <c:pt idx="1496">
                  <c:v>507.3</c:v>
                </c:pt>
                <c:pt idx="1497">
                  <c:v>506.9</c:v>
                </c:pt>
                <c:pt idx="1498">
                  <c:v>503</c:v>
                </c:pt>
                <c:pt idx="1499">
                  <c:v>500</c:v>
                </c:pt>
                <c:pt idx="1500">
                  <c:v>501.3</c:v>
                </c:pt>
                <c:pt idx="1501">
                  <c:v>500.1</c:v>
                </c:pt>
                <c:pt idx="1502">
                  <c:v>501.5</c:v>
                </c:pt>
                <c:pt idx="1503">
                  <c:v>497.9</c:v>
                </c:pt>
                <c:pt idx="1504">
                  <c:v>498</c:v>
                </c:pt>
                <c:pt idx="1505">
                  <c:v>496.3</c:v>
                </c:pt>
                <c:pt idx="1506">
                  <c:v>497.5</c:v>
                </c:pt>
                <c:pt idx="1507">
                  <c:v>500.9</c:v>
                </c:pt>
                <c:pt idx="1508">
                  <c:v>506.2</c:v>
                </c:pt>
                <c:pt idx="1509">
                  <c:v>512.1</c:v>
                </c:pt>
                <c:pt idx="1510">
                  <c:v>512.70000000000005</c:v>
                </c:pt>
                <c:pt idx="1511">
                  <c:v>515.70000000000005</c:v>
                </c:pt>
                <c:pt idx="1512">
                  <c:v>515.9</c:v>
                </c:pt>
                <c:pt idx="1513">
                  <c:v>520.5</c:v>
                </c:pt>
                <c:pt idx="1514">
                  <c:v>521.20000000000005</c:v>
                </c:pt>
                <c:pt idx="1515">
                  <c:v>525.1</c:v>
                </c:pt>
                <c:pt idx="1516">
                  <c:v>527.20000000000005</c:v>
                </c:pt>
                <c:pt idx="1517">
                  <c:v>526.29999999999995</c:v>
                </c:pt>
                <c:pt idx="1518">
                  <c:v>529.29999999999995</c:v>
                </c:pt>
                <c:pt idx="1519">
                  <c:v>525.4</c:v>
                </c:pt>
                <c:pt idx="1520">
                  <c:v>528.5</c:v>
                </c:pt>
                <c:pt idx="1521">
                  <c:v>526.29999999999995</c:v>
                </c:pt>
                <c:pt idx="1522">
                  <c:v>529.4</c:v>
                </c:pt>
                <c:pt idx="1523">
                  <c:v>527.9</c:v>
                </c:pt>
                <c:pt idx="1524">
                  <c:v>530.70000000000005</c:v>
                </c:pt>
                <c:pt idx="1526">
                  <c:v>460.6</c:v>
                </c:pt>
                <c:pt idx="1527">
                  <c:v>455.4</c:v>
                </c:pt>
                <c:pt idx="1528">
                  <c:v>441.5</c:v>
                </c:pt>
                <c:pt idx="1529">
                  <c:v>440.2</c:v>
                </c:pt>
                <c:pt idx="1530">
                  <c:v>442.1</c:v>
                </c:pt>
                <c:pt idx="1531">
                  <c:v>442.3</c:v>
                </c:pt>
                <c:pt idx="1532">
                  <c:v>439.5</c:v>
                </c:pt>
                <c:pt idx="1533">
                  <c:v>439.3</c:v>
                </c:pt>
                <c:pt idx="1534">
                  <c:v>432.5</c:v>
                </c:pt>
                <c:pt idx="1535">
                  <c:v>431.3</c:v>
                </c:pt>
                <c:pt idx="1536">
                  <c:v>429.2</c:v>
                </c:pt>
                <c:pt idx="1537">
                  <c:v>430</c:v>
                </c:pt>
                <c:pt idx="1538">
                  <c:v>426.3</c:v>
                </c:pt>
                <c:pt idx="1539">
                  <c:v>428.1</c:v>
                </c:pt>
                <c:pt idx="1540">
                  <c:v>427.6</c:v>
                </c:pt>
                <c:pt idx="1541">
                  <c:v>430.6</c:v>
                </c:pt>
                <c:pt idx="1542">
                  <c:v>435.1</c:v>
                </c:pt>
                <c:pt idx="1543">
                  <c:v>438.3</c:v>
                </c:pt>
                <c:pt idx="1544">
                  <c:v>441.6</c:v>
                </c:pt>
                <c:pt idx="1545">
                  <c:v>441.9</c:v>
                </c:pt>
                <c:pt idx="1546">
                  <c:v>443.9</c:v>
                </c:pt>
                <c:pt idx="1547">
                  <c:v>445.6</c:v>
                </c:pt>
                <c:pt idx="1548">
                  <c:v>451.8</c:v>
                </c:pt>
                <c:pt idx="1549">
                  <c:v>453</c:v>
                </c:pt>
                <c:pt idx="1550">
                  <c:v>456</c:v>
                </c:pt>
                <c:pt idx="1551">
                  <c:v>457.2</c:v>
                </c:pt>
                <c:pt idx="1552">
                  <c:v>460.6</c:v>
                </c:pt>
                <c:pt idx="1553">
                  <c:v>460.6</c:v>
                </c:pt>
                <c:pt idx="1555">
                  <c:v>438.3</c:v>
                </c:pt>
                <c:pt idx="1556">
                  <c:v>433.2</c:v>
                </c:pt>
                <c:pt idx="1557">
                  <c:v>434.7</c:v>
                </c:pt>
                <c:pt idx="1558">
                  <c:v>432.7</c:v>
                </c:pt>
                <c:pt idx="1559">
                  <c:v>433.5</c:v>
                </c:pt>
                <c:pt idx="1560">
                  <c:v>431.4</c:v>
                </c:pt>
                <c:pt idx="1561">
                  <c:v>433.9</c:v>
                </c:pt>
                <c:pt idx="1562">
                  <c:v>434.7</c:v>
                </c:pt>
                <c:pt idx="1563">
                  <c:v>437.9</c:v>
                </c:pt>
                <c:pt idx="1564">
                  <c:v>435.2</c:v>
                </c:pt>
                <c:pt idx="1565">
                  <c:v>432.8</c:v>
                </c:pt>
                <c:pt idx="1566">
                  <c:v>428.5</c:v>
                </c:pt>
                <c:pt idx="1567">
                  <c:v>427.6</c:v>
                </c:pt>
                <c:pt idx="1568">
                  <c:v>423</c:v>
                </c:pt>
                <c:pt idx="1569">
                  <c:v>421.5</c:v>
                </c:pt>
                <c:pt idx="1570">
                  <c:v>420</c:v>
                </c:pt>
                <c:pt idx="1571">
                  <c:v>418.3</c:v>
                </c:pt>
                <c:pt idx="1572">
                  <c:v>416.3</c:v>
                </c:pt>
                <c:pt idx="1573">
                  <c:v>416.7</c:v>
                </c:pt>
                <c:pt idx="1574">
                  <c:v>414.4</c:v>
                </c:pt>
                <c:pt idx="1575">
                  <c:v>412.8</c:v>
                </c:pt>
                <c:pt idx="1576">
                  <c:v>410.3</c:v>
                </c:pt>
                <c:pt idx="1577">
                  <c:v>413.4</c:v>
                </c:pt>
                <c:pt idx="1578">
                  <c:v>414.3</c:v>
                </c:pt>
                <c:pt idx="1579">
                  <c:v>416.5</c:v>
                </c:pt>
                <c:pt idx="1580">
                  <c:v>417.8</c:v>
                </c:pt>
                <c:pt idx="1581">
                  <c:v>418.4</c:v>
                </c:pt>
                <c:pt idx="1582">
                  <c:v>421.6</c:v>
                </c:pt>
                <c:pt idx="1583">
                  <c:v>424.8</c:v>
                </c:pt>
                <c:pt idx="1584">
                  <c:v>424.7</c:v>
                </c:pt>
                <c:pt idx="1585">
                  <c:v>425.7</c:v>
                </c:pt>
                <c:pt idx="1586">
                  <c:v>428.2</c:v>
                </c:pt>
                <c:pt idx="1587">
                  <c:v>429.2</c:v>
                </c:pt>
                <c:pt idx="1588">
                  <c:v>430.2</c:v>
                </c:pt>
                <c:pt idx="1589">
                  <c:v>431.7</c:v>
                </c:pt>
                <c:pt idx="1590">
                  <c:v>430.9</c:v>
                </c:pt>
                <c:pt idx="1591">
                  <c:v>433.8</c:v>
                </c:pt>
                <c:pt idx="1592">
                  <c:v>435.1</c:v>
                </c:pt>
                <c:pt idx="1593">
                  <c:v>437.5</c:v>
                </c:pt>
                <c:pt idx="1594">
                  <c:v>438.3</c:v>
                </c:pt>
                <c:pt idx="1596">
                  <c:v>504.3</c:v>
                </c:pt>
                <c:pt idx="1597">
                  <c:v>506.2</c:v>
                </c:pt>
                <c:pt idx="1598">
                  <c:v>500.9</c:v>
                </c:pt>
                <c:pt idx="1599">
                  <c:v>495.1</c:v>
                </c:pt>
                <c:pt idx="1600">
                  <c:v>487.2</c:v>
                </c:pt>
                <c:pt idx="1601">
                  <c:v>484.7</c:v>
                </c:pt>
                <c:pt idx="1602">
                  <c:v>484.5</c:v>
                </c:pt>
                <c:pt idx="1603">
                  <c:v>490.8</c:v>
                </c:pt>
                <c:pt idx="1604">
                  <c:v>487</c:v>
                </c:pt>
                <c:pt idx="1605">
                  <c:v>485.9</c:v>
                </c:pt>
                <c:pt idx="1606">
                  <c:v>486.8</c:v>
                </c:pt>
                <c:pt idx="1607">
                  <c:v>492.6</c:v>
                </c:pt>
                <c:pt idx="1608">
                  <c:v>493.5</c:v>
                </c:pt>
                <c:pt idx="1609">
                  <c:v>494.7</c:v>
                </c:pt>
                <c:pt idx="1610">
                  <c:v>502.8</c:v>
                </c:pt>
                <c:pt idx="1611">
                  <c:v>505.2</c:v>
                </c:pt>
                <c:pt idx="1612">
                  <c:v>507.3</c:v>
                </c:pt>
                <c:pt idx="1613">
                  <c:v>504.3</c:v>
                </c:pt>
                <c:pt idx="1615">
                  <c:v>425.9</c:v>
                </c:pt>
                <c:pt idx="1616">
                  <c:v>427.8</c:v>
                </c:pt>
                <c:pt idx="1617">
                  <c:v>434.5</c:v>
                </c:pt>
                <c:pt idx="1618">
                  <c:v>437.3</c:v>
                </c:pt>
                <c:pt idx="1619">
                  <c:v>436.7</c:v>
                </c:pt>
                <c:pt idx="1620">
                  <c:v>438.1</c:v>
                </c:pt>
                <c:pt idx="1621">
                  <c:v>439.2</c:v>
                </c:pt>
                <c:pt idx="1622">
                  <c:v>438.5</c:v>
                </c:pt>
                <c:pt idx="1623">
                  <c:v>441.4</c:v>
                </c:pt>
                <c:pt idx="1624">
                  <c:v>442.3</c:v>
                </c:pt>
                <c:pt idx="1625">
                  <c:v>441.7</c:v>
                </c:pt>
                <c:pt idx="1626">
                  <c:v>450.9</c:v>
                </c:pt>
                <c:pt idx="1627">
                  <c:v>452.8</c:v>
                </c:pt>
                <c:pt idx="1628">
                  <c:v>451.9</c:v>
                </c:pt>
                <c:pt idx="1629">
                  <c:v>453.3</c:v>
                </c:pt>
                <c:pt idx="1630">
                  <c:v>453.1</c:v>
                </c:pt>
                <c:pt idx="1631">
                  <c:v>452.2</c:v>
                </c:pt>
                <c:pt idx="1632">
                  <c:v>451.4</c:v>
                </c:pt>
                <c:pt idx="1633">
                  <c:v>449.6</c:v>
                </c:pt>
                <c:pt idx="1634">
                  <c:v>448.7</c:v>
                </c:pt>
                <c:pt idx="1635">
                  <c:v>446.7</c:v>
                </c:pt>
                <c:pt idx="1636">
                  <c:v>450.7</c:v>
                </c:pt>
                <c:pt idx="1637">
                  <c:v>450.8</c:v>
                </c:pt>
                <c:pt idx="1638">
                  <c:v>453.6</c:v>
                </c:pt>
                <c:pt idx="1639">
                  <c:v>449.6</c:v>
                </c:pt>
                <c:pt idx="1640">
                  <c:v>451.8</c:v>
                </c:pt>
                <c:pt idx="1641">
                  <c:v>452.2</c:v>
                </c:pt>
                <c:pt idx="1642">
                  <c:v>453.3</c:v>
                </c:pt>
                <c:pt idx="1643">
                  <c:v>446.6</c:v>
                </c:pt>
                <c:pt idx="1644">
                  <c:v>446.1</c:v>
                </c:pt>
                <c:pt idx="1645">
                  <c:v>448.6</c:v>
                </c:pt>
                <c:pt idx="1646">
                  <c:v>447.3</c:v>
                </c:pt>
                <c:pt idx="1647">
                  <c:v>447.8</c:v>
                </c:pt>
                <c:pt idx="1648">
                  <c:v>445.2</c:v>
                </c:pt>
                <c:pt idx="1649">
                  <c:v>445.4</c:v>
                </c:pt>
                <c:pt idx="1650">
                  <c:v>441.3</c:v>
                </c:pt>
                <c:pt idx="1651">
                  <c:v>440.1</c:v>
                </c:pt>
                <c:pt idx="1652">
                  <c:v>437.4</c:v>
                </c:pt>
                <c:pt idx="1653">
                  <c:v>437.2</c:v>
                </c:pt>
                <c:pt idx="1654">
                  <c:v>439.4</c:v>
                </c:pt>
                <c:pt idx="1655">
                  <c:v>443.3</c:v>
                </c:pt>
                <c:pt idx="1656">
                  <c:v>442.7</c:v>
                </c:pt>
                <c:pt idx="1657">
                  <c:v>440.8</c:v>
                </c:pt>
                <c:pt idx="1658">
                  <c:v>439.6</c:v>
                </c:pt>
                <c:pt idx="1659">
                  <c:v>436.6</c:v>
                </c:pt>
                <c:pt idx="1660">
                  <c:v>435.4</c:v>
                </c:pt>
                <c:pt idx="1661">
                  <c:v>429.3</c:v>
                </c:pt>
                <c:pt idx="1662">
                  <c:v>429.1</c:v>
                </c:pt>
                <c:pt idx="1663">
                  <c:v>423.4</c:v>
                </c:pt>
                <c:pt idx="1664">
                  <c:v>423.3</c:v>
                </c:pt>
                <c:pt idx="1665">
                  <c:v>425</c:v>
                </c:pt>
                <c:pt idx="1666">
                  <c:v>425.9</c:v>
                </c:pt>
                <c:pt idx="1668">
                  <c:v>479.7</c:v>
                </c:pt>
                <c:pt idx="1669">
                  <c:v>475.7</c:v>
                </c:pt>
                <c:pt idx="1670">
                  <c:v>469.9</c:v>
                </c:pt>
                <c:pt idx="1671">
                  <c:v>463.6</c:v>
                </c:pt>
                <c:pt idx="1672">
                  <c:v>463.7</c:v>
                </c:pt>
                <c:pt idx="1673">
                  <c:v>461</c:v>
                </c:pt>
                <c:pt idx="1674">
                  <c:v>457.2</c:v>
                </c:pt>
                <c:pt idx="1675">
                  <c:v>456</c:v>
                </c:pt>
                <c:pt idx="1676">
                  <c:v>453</c:v>
                </c:pt>
                <c:pt idx="1677">
                  <c:v>451.4</c:v>
                </c:pt>
                <c:pt idx="1678">
                  <c:v>450.5</c:v>
                </c:pt>
                <c:pt idx="1679">
                  <c:v>451.5</c:v>
                </c:pt>
                <c:pt idx="1680">
                  <c:v>459.1</c:v>
                </c:pt>
                <c:pt idx="1681">
                  <c:v>460.8</c:v>
                </c:pt>
                <c:pt idx="1682">
                  <c:v>460.2</c:v>
                </c:pt>
                <c:pt idx="1683">
                  <c:v>457.3</c:v>
                </c:pt>
                <c:pt idx="1684">
                  <c:v>459.4</c:v>
                </c:pt>
                <c:pt idx="1685">
                  <c:v>458.2</c:v>
                </c:pt>
                <c:pt idx="1686">
                  <c:v>459.7</c:v>
                </c:pt>
                <c:pt idx="1687">
                  <c:v>463.5</c:v>
                </c:pt>
                <c:pt idx="1688">
                  <c:v>464.6</c:v>
                </c:pt>
                <c:pt idx="1689">
                  <c:v>467.7</c:v>
                </c:pt>
                <c:pt idx="1690">
                  <c:v>474.5</c:v>
                </c:pt>
                <c:pt idx="1691">
                  <c:v>473.4</c:v>
                </c:pt>
                <c:pt idx="1692">
                  <c:v>476.6</c:v>
                </c:pt>
                <c:pt idx="1693">
                  <c:v>477.4</c:v>
                </c:pt>
                <c:pt idx="1694">
                  <c:v>476.5</c:v>
                </c:pt>
                <c:pt idx="1695">
                  <c:v>479.7</c:v>
                </c:pt>
                <c:pt idx="1696">
                  <c:v>479.7</c:v>
                </c:pt>
                <c:pt idx="1698">
                  <c:v>523.20000000000005</c:v>
                </c:pt>
                <c:pt idx="1699">
                  <c:v>523</c:v>
                </c:pt>
                <c:pt idx="1700">
                  <c:v>519.70000000000005</c:v>
                </c:pt>
                <c:pt idx="1701">
                  <c:v>518.70000000000005</c:v>
                </c:pt>
                <c:pt idx="1702">
                  <c:v>515.79999999999995</c:v>
                </c:pt>
                <c:pt idx="1703">
                  <c:v>515.1</c:v>
                </c:pt>
                <c:pt idx="1704">
                  <c:v>509.6</c:v>
                </c:pt>
                <c:pt idx="1705">
                  <c:v>506</c:v>
                </c:pt>
                <c:pt idx="1706">
                  <c:v>504.2</c:v>
                </c:pt>
                <c:pt idx="1707">
                  <c:v>504.3</c:v>
                </c:pt>
                <c:pt idx="1708">
                  <c:v>498.1</c:v>
                </c:pt>
                <c:pt idx="1709">
                  <c:v>495.8</c:v>
                </c:pt>
                <c:pt idx="1710">
                  <c:v>496.8</c:v>
                </c:pt>
                <c:pt idx="1711">
                  <c:v>494.5</c:v>
                </c:pt>
                <c:pt idx="1712">
                  <c:v>494.1</c:v>
                </c:pt>
                <c:pt idx="1713">
                  <c:v>506.9</c:v>
                </c:pt>
                <c:pt idx="1714">
                  <c:v>507.3</c:v>
                </c:pt>
                <c:pt idx="1715">
                  <c:v>511</c:v>
                </c:pt>
                <c:pt idx="1716">
                  <c:v>512.70000000000005</c:v>
                </c:pt>
                <c:pt idx="1717">
                  <c:v>512.79999999999995</c:v>
                </c:pt>
                <c:pt idx="1718">
                  <c:v>521.1</c:v>
                </c:pt>
                <c:pt idx="1719">
                  <c:v>523.20000000000005</c:v>
                </c:pt>
                <c:pt idx="1721">
                  <c:v>550.1</c:v>
                </c:pt>
                <c:pt idx="1722">
                  <c:v>547.4</c:v>
                </c:pt>
                <c:pt idx="1723">
                  <c:v>544.79999999999995</c:v>
                </c:pt>
                <c:pt idx="1724">
                  <c:v>549.5</c:v>
                </c:pt>
                <c:pt idx="1725">
                  <c:v>549</c:v>
                </c:pt>
                <c:pt idx="1726">
                  <c:v>543.4</c:v>
                </c:pt>
                <c:pt idx="1727">
                  <c:v>542.79999999999995</c:v>
                </c:pt>
                <c:pt idx="1728">
                  <c:v>539.70000000000005</c:v>
                </c:pt>
                <c:pt idx="1729">
                  <c:v>542.79999999999995</c:v>
                </c:pt>
                <c:pt idx="1730">
                  <c:v>541</c:v>
                </c:pt>
                <c:pt idx="1731">
                  <c:v>542.4</c:v>
                </c:pt>
                <c:pt idx="1732">
                  <c:v>535.79999999999995</c:v>
                </c:pt>
                <c:pt idx="1733">
                  <c:v>529.70000000000005</c:v>
                </c:pt>
                <c:pt idx="1734">
                  <c:v>528.1</c:v>
                </c:pt>
                <c:pt idx="1735">
                  <c:v>523.79999999999995</c:v>
                </c:pt>
                <c:pt idx="1736">
                  <c:v>521.4</c:v>
                </c:pt>
                <c:pt idx="1737">
                  <c:v>521.9</c:v>
                </c:pt>
                <c:pt idx="1738">
                  <c:v>516.1</c:v>
                </c:pt>
                <c:pt idx="1739">
                  <c:v>515.79999999999995</c:v>
                </c:pt>
                <c:pt idx="1740">
                  <c:v>504.9</c:v>
                </c:pt>
                <c:pt idx="1741">
                  <c:v>503.3</c:v>
                </c:pt>
                <c:pt idx="1742">
                  <c:v>505</c:v>
                </c:pt>
                <c:pt idx="1743">
                  <c:v>504.5</c:v>
                </c:pt>
                <c:pt idx="1744">
                  <c:v>502.6</c:v>
                </c:pt>
                <c:pt idx="1745">
                  <c:v>506.2</c:v>
                </c:pt>
                <c:pt idx="1746">
                  <c:v>509.6</c:v>
                </c:pt>
                <c:pt idx="1747">
                  <c:v>514.9</c:v>
                </c:pt>
                <c:pt idx="1748">
                  <c:v>516.6</c:v>
                </c:pt>
                <c:pt idx="1749">
                  <c:v>518.70000000000005</c:v>
                </c:pt>
                <c:pt idx="1750">
                  <c:v>523.9</c:v>
                </c:pt>
                <c:pt idx="1751">
                  <c:v>528.20000000000005</c:v>
                </c:pt>
                <c:pt idx="1752">
                  <c:v>528.79999999999995</c:v>
                </c:pt>
                <c:pt idx="1753">
                  <c:v>527.70000000000005</c:v>
                </c:pt>
                <c:pt idx="1754">
                  <c:v>529.6</c:v>
                </c:pt>
                <c:pt idx="1755">
                  <c:v>534.1</c:v>
                </c:pt>
                <c:pt idx="1756">
                  <c:v>534.29999999999995</c:v>
                </c:pt>
                <c:pt idx="1757">
                  <c:v>536.5</c:v>
                </c:pt>
                <c:pt idx="1758">
                  <c:v>537.9</c:v>
                </c:pt>
                <c:pt idx="1759">
                  <c:v>536.20000000000005</c:v>
                </c:pt>
                <c:pt idx="1760">
                  <c:v>536.9</c:v>
                </c:pt>
                <c:pt idx="1761">
                  <c:v>543.1</c:v>
                </c:pt>
                <c:pt idx="1762">
                  <c:v>549.5</c:v>
                </c:pt>
                <c:pt idx="1763">
                  <c:v>550.1</c:v>
                </c:pt>
                <c:pt idx="1765">
                  <c:v>468.6</c:v>
                </c:pt>
                <c:pt idx="1766">
                  <c:v>466.1</c:v>
                </c:pt>
                <c:pt idx="1767">
                  <c:v>467.5</c:v>
                </c:pt>
                <c:pt idx="1768">
                  <c:v>465.6</c:v>
                </c:pt>
                <c:pt idx="1769">
                  <c:v>466.9</c:v>
                </c:pt>
                <c:pt idx="1770">
                  <c:v>466.6</c:v>
                </c:pt>
                <c:pt idx="1771">
                  <c:v>464.9</c:v>
                </c:pt>
                <c:pt idx="1772">
                  <c:v>466.2</c:v>
                </c:pt>
                <c:pt idx="1773">
                  <c:v>462.1</c:v>
                </c:pt>
                <c:pt idx="1774">
                  <c:v>461.5</c:v>
                </c:pt>
                <c:pt idx="1775">
                  <c:v>455</c:v>
                </c:pt>
                <c:pt idx="1776">
                  <c:v>453.9</c:v>
                </c:pt>
                <c:pt idx="1777">
                  <c:v>451.3</c:v>
                </c:pt>
                <c:pt idx="1778">
                  <c:v>445.4</c:v>
                </c:pt>
                <c:pt idx="1779">
                  <c:v>436.5</c:v>
                </c:pt>
                <c:pt idx="1780">
                  <c:v>438.5</c:v>
                </c:pt>
                <c:pt idx="1781">
                  <c:v>442.3</c:v>
                </c:pt>
                <c:pt idx="1782">
                  <c:v>442.1</c:v>
                </c:pt>
                <c:pt idx="1783">
                  <c:v>440.2</c:v>
                </c:pt>
                <c:pt idx="1784">
                  <c:v>441.5</c:v>
                </c:pt>
                <c:pt idx="1785">
                  <c:v>455.5</c:v>
                </c:pt>
                <c:pt idx="1786">
                  <c:v>460.9</c:v>
                </c:pt>
                <c:pt idx="1787">
                  <c:v>459.9</c:v>
                </c:pt>
                <c:pt idx="1788">
                  <c:v>463.5</c:v>
                </c:pt>
                <c:pt idx="1789">
                  <c:v>463.6</c:v>
                </c:pt>
                <c:pt idx="1790">
                  <c:v>466.8</c:v>
                </c:pt>
                <c:pt idx="1791">
                  <c:v>469.3</c:v>
                </c:pt>
                <c:pt idx="1792">
                  <c:v>467.5</c:v>
                </c:pt>
                <c:pt idx="1793">
                  <c:v>469.4</c:v>
                </c:pt>
                <c:pt idx="1794">
                  <c:v>468.6</c:v>
                </c:pt>
                <c:pt idx="1796">
                  <c:v>560.4</c:v>
                </c:pt>
                <c:pt idx="1797">
                  <c:v>559.29999999999995</c:v>
                </c:pt>
                <c:pt idx="1798">
                  <c:v>555.6</c:v>
                </c:pt>
                <c:pt idx="1799">
                  <c:v>555.79999999999995</c:v>
                </c:pt>
                <c:pt idx="1800">
                  <c:v>550.1</c:v>
                </c:pt>
                <c:pt idx="1801">
                  <c:v>543.1</c:v>
                </c:pt>
                <c:pt idx="1802">
                  <c:v>536.9</c:v>
                </c:pt>
                <c:pt idx="1803">
                  <c:v>536.20000000000005</c:v>
                </c:pt>
                <c:pt idx="1804">
                  <c:v>537.9</c:v>
                </c:pt>
                <c:pt idx="1805">
                  <c:v>535.5</c:v>
                </c:pt>
                <c:pt idx="1806">
                  <c:v>534.20000000000005</c:v>
                </c:pt>
                <c:pt idx="1807">
                  <c:v>534.1</c:v>
                </c:pt>
                <c:pt idx="1808">
                  <c:v>529.1</c:v>
                </c:pt>
                <c:pt idx="1809">
                  <c:v>527.70000000000005</c:v>
                </c:pt>
                <c:pt idx="1810">
                  <c:v>528.79999999999995</c:v>
                </c:pt>
                <c:pt idx="1811">
                  <c:v>526.9</c:v>
                </c:pt>
                <c:pt idx="1812">
                  <c:v>527.9</c:v>
                </c:pt>
                <c:pt idx="1813">
                  <c:v>522.20000000000005</c:v>
                </c:pt>
                <c:pt idx="1814">
                  <c:v>523.70000000000005</c:v>
                </c:pt>
                <c:pt idx="1815">
                  <c:v>528.6</c:v>
                </c:pt>
                <c:pt idx="1816">
                  <c:v>531.1</c:v>
                </c:pt>
                <c:pt idx="1817">
                  <c:v>527.9</c:v>
                </c:pt>
                <c:pt idx="1818">
                  <c:v>529.4</c:v>
                </c:pt>
                <c:pt idx="1819">
                  <c:v>526.29999999999995</c:v>
                </c:pt>
                <c:pt idx="1820">
                  <c:v>528.5</c:v>
                </c:pt>
                <c:pt idx="1821">
                  <c:v>525.4</c:v>
                </c:pt>
                <c:pt idx="1822">
                  <c:v>529.29999999999995</c:v>
                </c:pt>
                <c:pt idx="1823">
                  <c:v>533.4</c:v>
                </c:pt>
                <c:pt idx="1824">
                  <c:v>538.4</c:v>
                </c:pt>
                <c:pt idx="1825">
                  <c:v>541.5</c:v>
                </c:pt>
                <c:pt idx="1826">
                  <c:v>544.9</c:v>
                </c:pt>
                <c:pt idx="1827">
                  <c:v>543.70000000000005</c:v>
                </c:pt>
                <c:pt idx="1828">
                  <c:v>544.79999999999995</c:v>
                </c:pt>
                <c:pt idx="1829">
                  <c:v>547.5</c:v>
                </c:pt>
                <c:pt idx="1830">
                  <c:v>548.5</c:v>
                </c:pt>
                <c:pt idx="1831">
                  <c:v>554.6</c:v>
                </c:pt>
                <c:pt idx="1832">
                  <c:v>553.9</c:v>
                </c:pt>
                <c:pt idx="1833">
                  <c:v>556.6</c:v>
                </c:pt>
                <c:pt idx="1834">
                  <c:v>560.4</c:v>
                </c:pt>
                <c:pt idx="1836">
                  <c:v>533.70000000000005</c:v>
                </c:pt>
                <c:pt idx="1837">
                  <c:v>530.70000000000005</c:v>
                </c:pt>
                <c:pt idx="1838">
                  <c:v>530</c:v>
                </c:pt>
                <c:pt idx="1839">
                  <c:v>526.5</c:v>
                </c:pt>
                <c:pt idx="1840">
                  <c:v>525.29999999999995</c:v>
                </c:pt>
                <c:pt idx="1841">
                  <c:v>522.20000000000005</c:v>
                </c:pt>
                <c:pt idx="1842">
                  <c:v>516.6</c:v>
                </c:pt>
                <c:pt idx="1843">
                  <c:v>516.29999999999995</c:v>
                </c:pt>
                <c:pt idx="1844">
                  <c:v>512.29999999999995</c:v>
                </c:pt>
                <c:pt idx="1845">
                  <c:v>509.5</c:v>
                </c:pt>
                <c:pt idx="1846">
                  <c:v>507.5</c:v>
                </c:pt>
                <c:pt idx="1847">
                  <c:v>504</c:v>
                </c:pt>
                <c:pt idx="1848">
                  <c:v>500.5</c:v>
                </c:pt>
                <c:pt idx="1849">
                  <c:v>499.2</c:v>
                </c:pt>
                <c:pt idx="1850">
                  <c:v>500.6</c:v>
                </c:pt>
                <c:pt idx="1851">
                  <c:v>493.4</c:v>
                </c:pt>
                <c:pt idx="1852">
                  <c:v>491.8</c:v>
                </c:pt>
                <c:pt idx="1853">
                  <c:v>487.7</c:v>
                </c:pt>
                <c:pt idx="1854">
                  <c:v>484.9</c:v>
                </c:pt>
                <c:pt idx="1855">
                  <c:v>485.2</c:v>
                </c:pt>
                <c:pt idx="1856">
                  <c:v>483.6</c:v>
                </c:pt>
                <c:pt idx="1857">
                  <c:v>484.5</c:v>
                </c:pt>
                <c:pt idx="1858">
                  <c:v>489.1</c:v>
                </c:pt>
                <c:pt idx="1859">
                  <c:v>491.5</c:v>
                </c:pt>
                <c:pt idx="1860">
                  <c:v>493.4</c:v>
                </c:pt>
                <c:pt idx="1861">
                  <c:v>494.4</c:v>
                </c:pt>
                <c:pt idx="1862">
                  <c:v>491.9</c:v>
                </c:pt>
                <c:pt idx="1863">
                  <c:v>495.1</c:v>
                </c:pt>
                <c:pt idx="1864">
                  <c:v>496.9</c:v>
                </c:pt>
                <c:pt idx="1865">
                  <c:v>503.2</c:v>
                </c:pt>
                <c:pt idx="1866">
                  <c:v>506.2</c:v>
                </c:pt>
                <c:pt idx="1867">
                  <c:v>515.79999999999995</c:v>
                </c:pt>
                <c:pt idx="1868">
                  <c:v>516.1</c:v>
                </c:pt>
                <c:pt idx="1869">
                  <c:v>521.9</c:v>
                </c:pt>
                <c:pt idx="1870">
                  <c:v>521.4</c:v>
                </c:pt>
                <c:pt idx="1871">
                  <c:v>523.79999999999995</c:v>
                </c:pt>
                <c:pt idx="1872">
                  <c:v>528.1</c:v>
                </c:pt>
                <c:pt idx="1873">
                  <c:v>529.70000000000005</c:v>
                </c:pt>
                <c:pt idx="1874">
                  <c:v>535.5</c:v>
                </c:pt>
                <c:pt idx="1875">
                  <c:v>533.70000000000005</c:v>
                </c:pt>
                <c:pt idx="1877">
                  <c:v>491.9</c:v>
                </c:pt>
                <c:pt idx="1878">
                  <c:v>494.4</c:v>
                </c:pt>
                <c:pt idx="1879">
                  <c:v>489.1</c:v>
                </c:pt>
                <c:pt idx="1880">
                  <c:v>484.5</c:v>
                </c:pt>
                <c:pt idx="1881">
                  <c:v>483.6</c:v>
                </c:pt>
                <c:pt idx="1882">
                  <c:v>485.2</c:v>
                </c:pt>
                <c:pt idx="1883">
                  <c:v>484.9</c:v>
                </c:pt>
                <c:pt idx="1884">
                  <c:v>488.1</c:v>
                </c:pt>
                <c:pt idx="1885">
                  <c:v>489.9</c:v>
                </c:pt>
                <c:pt idx="1886">
                  <c:v>492.3</c:v>
                </c:pt>
                <c:pt idx="1887">
                  <c:v>485.2</c:v>
                </c:pt>
                <c:pt idx="1888">
                  <c:v>485.1</c:v>
                </c:pt>
                <c:pt idx="1889">
                  <c:v>482.3</c:v>
                </c:pt>
                <c:pt idx="1890">
                  <c:v>480.1</c:v>
                </c:pt>
                <c:pt idx="1891">
                  <c:v>480</c:v>
                </c:pt>
                <c:pt idx="1892">
                  <c:v>476.2</c:v>
                </c:pt>
                <c:pt idx="1893">
                  <c:v>472.6</c:v>
                </c:pt>
                <c:pt idx="1894">
                  <c:v>468.2</c:v>
                </c:pt>
                <c:pt idx="1895">
                  <c:v>461.9</c:v>
                </c:pt>
                <c:pt idx="1896">
                  <c:v>462.1</c:v>
                </c:pt>
                <c:pt idx="1897">
                  <c:v>466.2</c:v>
                </c:pt>
                <c:pt idx="1898">
                  <c:v>464.9</c:v>
                </c:pt>
                <c:pt idx="1899">
                  <c:v>466.6</c:v>
                </c:pt>
                <c:pt idx="1900">
                  <c:v>466.9</c:v>
                </c:pt>
                <c:pt idx="1901">
                  <c:v>465.6</c:v>
                </c:pt>
                <c:pt idx="1902">
                  <c:v>467.5</c:v>
                </c:pt>
                <c:pt idx="1903">
                  <c:v>466.1</c:v>
                </c:pt>
                <c:pt idx="1904">
                  <c:v>469.4</c:v>
                </c:pt>
                <c:pt idx="1905">
                  <c:v>467.5</c:v>
                </c:pt>
                <c:pt idx="1906">
                  <c:v>469.3</c:v>
                </c:pt>
                <c:pt idx="1907">
                  <c:v>467.4</c:v>
                </c:pt>
                <c:pt idx="1908">
                  <c:v>469.9</c:v>
                </c:pt>
                <c:pt idx="1909">
                  <c:v>473.2</c:v>
                </c:pt>
                <c:pt idx="1910">
                  <c:v>479.2</c:v>
                </c:pt>
                <c:pt idx="1911">
                  <c:v>479.7</c:v>
                </c:pt>
                <c:pt idx="1912">
                  <c:v>478.3</c:v>
                </c:pt>
                <c:pt idx="1913">
                  <c:v>491.9</c:v>
                </c:pt>
                <c:pt idx="1915">
                  <c:v>538.70000000000005</c:v>
                </c:pt>
                <c:pt idx="1916">
                  <c:v>535.5</c:v>
                </c:pt>
                <c:pt idx="1917">
                  <c:v>535.9</c:v>
                </c:pt>
                <c:pt idx="1918">
                  <c:v>532.5</c:v>
                </c:pt>
                <c:pt idx="1919">
                  <c:v>534.1</c:v>
                </c:pt>
                <c:pt idx="1920">
                  <c:v>532.70000000000005</c:v>
                </c:pt>
                <c:pt idx="1921">
                  <c:v>534.20000000000005</c:v>
                </c:pt>
                <c:pt idx="1922">
                  <c:v>529.29999999999995</c:v>
                </c:pt>
                <c:pt idx="1923">
                  <c:v>532</c:v>
                </c:pt>
                <c:pt idx="1924">
                  <c:v>535.6</c:v>
                </c:pt>
                <c:pt idx="1925">
                  <c:v>535.4</c:v>
                </c:pt>
                <c:pt idx="1926">
                  <c:v>533.20000000000005</c:v>
                </c:pt>
                <c:pt idx="1927">
                  <c:v>531.5</c:v>
                </c:pt>
                <c:pt idx="1928">
                  <c:v>534.1</c:v>
                </c:pt>
                <c:pt idx="1929">
                  <c:v>532.70000000000005</c:v>
                </c:pt>
                <c:pt idx="1930">
                  <c:v>530.1</c:v>
                </c:pt>
                <c:pt idx="1931">
                  <c:v>532</c:v>
                </c:pt>
                <c:pt idx="1932">
                  <c:v>531.5</c:v>
                </c:pt>
                <c:pt idx="1933">
                  <c:v>528.70000000000005</c:v>
                </c:pt>
                <c:pt idx="1934">
                  <c:v>525.29999999999995</c:v>
                </c:pt>
                <c:pt idx="1935">
                  <c:v>523.1</c:v>
                </c:pt>
                <c:pt idx="1936">
                  <c:v>511.3</c:v>
                </c:pt>
                <c:pt idx="1937">
                  <c:v>515.20000000000005</c:v>
                </c:pt>
                <c:pt idx="1938">
                  <c:v>512.29999999999995</c:v>
                </c:pt>
                <c:pt idx="1939">
                  <c:v>512.79999999999995</c:v>
                </c:pt>
                <c:pt idx="1940">
                  <c:v>508.1</c:v>
                </c:pt>
                <c:pt idx="1941">
                  <c:v>505.2</c:v>
                </c:pt>
                <c:pt idx="1942">
                  <c:v>502.9</c:v>
                </c:pt>
                <c:pt idx="1943">
                  <c:v>501.3</c:v>
                </c:pt>
                <c:pt idx="1944">
                  <c:v>502</c:v>
                </c:pt>
                <c:pt idx="1945">
                  <c:v>498.7</c:v>
                </c:pt>
                <c:pt idx="1946">
                  <c:v>497</c:v>
                </c:pt>
                <c:pt idx="1947">
                  <c:v>497.5</c:v>
                </c:pt>
                <c:pt idx="1948">
                  <c:v>495.4</c:v>
                </c:pt>
                <c:pt idx="1949">
                  <c:v>497.3</c:v>
                </c:pt>
                <c:pt idx="1950">
                  <c:v>494.9</c:v>
                </c:pt>
                <c:pt idx="1951">
                  <c:v>497.6</c:v>
                </c:pt>
                <c:pt idx="1952">
                  <c:v>501.1</c:v>
                </c:pt>
                <c:pt idx="1953">
                  <c:v>499.2</c:v>
                </c:pt>
                <c:pt idx="1954">
                  <c:v>500.1</c:v>
                </c:pt>
                <c:pt idx="1955">
                  <c:v>504</c:v>
                </c:pt>
                <c:pt idx="1956">
                  <c:v>507.5</c:v>
                </c:pt>
                <c:pt idx="1957">
                  <c:v>509.5</c:v>
                </c:pt>
                <c:pt idx="1958">
                  <c:v>512.29999999999995</c:v>
                </c:pt>
                <c:pt idx="1959">
                  <c:v>516.29999999999995</c:v>
                </c:pt>
                <c:pt idx="1960">
                  <c:v>516.4</c:v>
                </c:pt>
                <c:pt idx="1961">
                  <c:v>519.79999999999995</c:v>
                </c:pt>
                <c:pt idx="1962">
                  <c:v>525.1</c:v>
                </c:pt>
                <c:pt idx="1963">
                  <c:v>526.70000000000005</c:v>
                </c:pt>
                <c:pt idx="1964">
                  <c:v>532.1</c:v>
                </c:pt>
                <c:pt idx="1965">
                  <c:v>534.29999999999995</c:v>
                </c:pt>
                <c:pt idx="1966">
                  <c:v>538.9</c:v>
                </c:pt>
                <c:pt idx="1967">
                  <c:v>538.70000000000005</c:v>
                </c:pt>
                <c:pt idx="1969">
                  <c:v>475.1</c:v>
                </c:pt>
                <c:pt idx="1970">
                  <c:v>471</c:v>
                </c:pt>
                <c:pt idx="1971">
                  <c:v>470</c:v>
                </c:pt>
                <c:pt idx="1972">
                  <c:v>466.2</c:v>
                </c:pt>
                <c:pt idx="1973">
                  <c:v>464.2</c:v>
                </c:pt>
                <c:pt idx="1974">
                  <c:v>461.5</c:v>
                </c:pt>
                <c:pt idx="1975">
                  <c:v>460.1</c:v>
                </c:pt>
                <c:pt idx="1976">
                  <c:v>455.4</c:v>
                </c:pt>
                <c:pt idx="1977">
                  <c:v>454.2</c:v>
                </c:pt>
                <c:pt idx="1978">
                  <c:v>451.3</c:v>
                </c:pt>
                <c:pt idx="1979">
                  <c:v>451.4</c:v>
                </c:pt>
                <c:pt idx="1980">
                  <c:v>454</c:v>
                </c:pt>
                <c:pt idx="1981">
                  <c:v>452.4</c:v>
                </c:pt>
                <c:pt idx="1982">
                  <c:v>448.9</c:v>
                </c:pt>
                <c:pt idx="1983">
                  <c:v>444.9</c:v>
                </c:pt>
                <c:pt idx="1984">
                  <c:v>447.2</c:v>
                </c:pt>
                <c:pt idx="1985">
                  <c:v>444.1</c:v>
                </c:pt>
                <c:pt idx="1986">
                  <c:v>442.2</c:v>
                </c:pt>
                <c:pt idx="1987">
                  <c:v>448.4</c:v>
                </c:pt>
                <c:pt idx="1988">
                  <c:v>449.5</c:v>
                </c:pt>
                <c:pt idx="1989">
                  <c:v>446.2</c:v>
                </c:pt>
                <c:pt idx="1990">
                  <c:v>442.2</c:v>
                </c:pt>
                <c:pt idx="1991">
                  <c:v>439.7</c:v>
                </c:pt>
                <c:pt idx="1992">
                  <c:v>439.9</c:v>
                </c:pt>
                <c:pt idx="1993">
                  <c:v>438</c:v>
                </c:pt>
                <c:pt idx="1994">
                  <c:v>439.6</c:v>
                </c:pt>
                <c:pt idx="1995">
                  <c:v>437.3</c:v>
                </c:pt>
                <c:pt idx="1996">
                  <c:v>440.1</c:v>
                </c:pt>
                <c:pt idx="1997">
                  <c:v>444.3</c:v>
                </c:pt>
                <c:pt idx="1998">
                  <c:v>451.3</c:v>
                </c:pt>
                <c:pt idx="1999">
                  <c:v>453.9</c:v>
                </c:pt>
                <c:pt idx="2000">
                  <c:v>455</c:v>
                </c:pt>
                <c:pt idx="2001">
                  <c:v>461.5</c:v>
                </c:pt>
                <c:pt idx="2002">
                  <c:v>461.9</c:v>
                </c:pt>
                <c:pt idx="2003">
                  <c:v>470</c:v>
                </c:pt>
                <c:pt idx="2004">
                  <c:v>468.7</c:v>
                </c:pt>
                <c:pt idx="2005">
                  <c:v>464.6</c:v>
                </c:pt>
                <c:pt idx="2006">
                  <c:v>465</c:v>
                </c:pt>
                <c:pt idx="2007">
                  <c:v>472.3</c:v>
                </c:pt>
                <c:pt idx="2008">
                  <c:v>473</c:v>
                </c:pt>
                <c:pt idx="2009">
                  <c:v>476.6</c:v>
                </c:pt>
                <c:pt idx="2010">
                  <c:v>475.1</c:v>
                </c:pt>
                <c:pt idx="2012">
                  <c:v>512.79999999999995</c:v>
                </c:pt>
                <c:pt idx="2013">
                  <c:v>494.9</c:v>
                </c:pt>
                <c:pt idx="2014">
                  <c:v>490.9</c:v>
                </c:pt>
                <c:pt idx="2015">
                  <c:v>487.2</c:v>
                </c:pt>
                <c:pt idx="2016">
                  <c:v>486.4</c:v>
                </c:pt>
                <c:pt idx="2017">
                  <c:v>480.9</c:v>
                </c:pt>
                <c:pt idx="2018">
                  <c:v>479.5</c:v>
                </c:pt>
                <c:pt idx="2019">
                  <c:v>481.2</c:v>
                </c:pt>
                <c:pt idx="2020">
                  <c:v>480</c:v>
                </c:pt>
                <c:pt idx="2021">
                  <c:v>481.6</c:v>
                </c:pt>
                <c:pt idx="2022">
                  <c:v>485.3</c:v>
                </c:pt>
                <c:pt idx="2023">
                  <c:v>485.6</c:v>
                </c:pt>
                <c:pt idx="2024">
                  <c:v>477.6</c:v>
                </c:pt>
                <c:pt idx="2025">
                  <c:v>476.2</c:v>
                </c:pt>
                <c:pt idx="2026">
                  <c:v>480.2</c:v>
                </c:pt>
                <c:pt idx="2027">
                  <c:v>481</c:v>
                </c:pt>
                <c:pt idx="2028">
                  <c:v>479</c:v>
                </c:pt>
                <c:pt idx="2029">
                  <c:v>483.1</c:v>
                </c:pt>
                <c:pt idx="2030">
                  <c:v>486</c:v>
                </c:pt>
                <c:pt idx="2031">
                  <c:v>485.5</c:v>
                </c:pt>
                <c:pt idx="2032">
                  <c:v>487.9</c:v>
                </c:pt>
                <c:pt idx="2033">
                  <c:v>487.8</c:v>
                </c:pt>
                <c:pt idx="2034">
                  <c:v>492.5</c:v>
                </c:pt>
                <c:pt idx="2035">
                  <c:v>494.6</c:v>
                </c:pt>
                <c:pt idx="2036">
                  <c:v>502</c:v>
                </c:pt>
                <c:pt idx="2037">
                  <c:v>505.2</c:v>
                </c:pt>
                <c:pt idx="2038">
                  <c:v>504.8</c:v>
                </c:pt>
                <c:pt idx="2039">
                  <c:v>506.4</c:v>
                </c:pt>
                <c:pt idx="2040">
                  <c:v>505</c:v>
                </c:pt>
                <c:pt idx="2041">
                  <c:v>512.4</c:v>
                </c:pt>
                <c:pt idx="2042">
                  <c:v>515.4</c:v>
                </c:pt>
                <c:pt idx="2043">
                  <c:v>518.6</c:v>
                </c:pt>
                <c:pt idx="2044">
                  <c:v>517.6</c:v>
                </c:pt>
                <c:pt idx="2045">
                  <c:v>521</c:v>
                </c:pt>
                <c:pt idx="2046">
                  <c:v>512.79999999999995</c:v>
                </c:pt>
                <c:pt idx="2048">
                  <c:v>484.7</c:v>
                </c:pt>
                <c:pt idx="2049">
                  <c:v>479.8</c:v>
                </c:pt>
                <c:pt idx="2050">
                  <c:v>475.6</c:v>
                </c:pt>
                <c:pt idx="2051">
                  <c:v>476.3</c:v>
                </c:pt>
                <c:pt idx="2052">
                  <c:v>474.9</c:v>
                </c:pt>
                <c:pt idx="2053">
                  <c:v>475.5</c:v>
                </c:pt>
                <c:pt idx="2054">
                  <c:v>473.3</c:v>
                </c:pt>
                <c:pt idx="2055">
                  <c:v>472.2</c:v>
                </c:pt>
                <c:pt idx="2056">
                  <c:v>470.8</c:v>
                </c:pt>
                <c:pt idx="2057">
                  <c:v>471.9</c:v>
                </c:pt>
                <c:pt idx="2058">
                  <c:v>471.2</c:v>
                </c:pt>
                <c:pt idx="2059">
                  <c:v>468</c:v>
                </c:pt>
                <c:pt idx="2060">
                  <c:v>468.8</c:v>
                </c:pt>
                <c:pt idx="2061">
                  <c:v>470.1</c:v>
                </c:pt>
                <c:pt idx="2062">
                  <c:v>474.2</c:v>
                </c:pt>
                <c:pt idx="2063">
                  <c:v>476.9</c:v>
                </c:pt>
                <c:pt idx="2064">
                  <c:v>479.2</c:v>
                </c:pt>
                <c:pt idx="2065">
                  <c:v>480.9</c:v>
                </c:pt>
                <c:pt idx="2066">
                  <c:v>486.4</c:v>
                </c:pt>
                <c:pt idx="2067">
                  <c:v>487.2</c:v>
                </c:pt>
                <c:pt idx="2068">
                  <c:v>484.7</c:v>
                </c:pt>
                <c:pt idx="2070">
                  <c:v>458.1</c:v>
                </c:pt>
                <c:pt idx="2071">
                  <c:v>456.9</c:v>
                </c:pt>
                <c:pt idx="2072">
                  <c:v>454.6</c:v>
                </c:pt>
                <c:pt idx="2073">
                  <c:v>453</c:v>
                </c:pt>
                <c:pt idx="2074">
                  <c:v>449.4</c:v>
                </c:pt>
                <c:pt idx="2075">
                  <c:v>447.9</c:v>
                </c:pt>
                <c:pt idx="2076">
                  <c:v>447</c:v>
                </c:pt>
                <c:pt idx="2077">
                  <c:v>444.3</c:v>
                </c:pt>
                <c:pt idx="2078">
                  <c:v>440.7</c:v>
                </c:pt>
                <c:pt idx="2079">
                  <c:v>438.9</c:v>
                </c:pt>
                <c:pt idx="2080">
                  <c:v>432.7</c:v>
                </c:pt>
                <c:pt idx="2081">
                  <c:v>428.9</c:v>
                </c:pt>
                <c:pt idx="2082">
                  <c:v>430.9</c:v>
                </c:pt>
                <c:pt idx="2083">
                  <c:v>430.2</c:v>
                </c:pt>
                <c:pt idx="2084">
                  <c:v>432</c:v>
                </c:pt>
                <c:pt idx="2085">
                  <c:v>431.7</c:v>
                </c:pt>
                <c:pt idx="2086">
                  <c:v>429.2</c:v>
                </c:pt>
                <c:pt idx="2087">
                  <c:v>428.5</c:v>
                </c:pt>
                <c:pt idx="2088">
                  <c:v>430</c:v>
                </c:pt>
                <c:pt idx="2089">
                  <c:v>432.8</c:v>
                </c:pt>
                <c:pt idx="2090">
                  <c:v>433.9</c:v>
                </c:pt>
                <c:pt idx="2091">
                  <c:v>438.8</c:v>
                </c:pt>
                <c:pt idx="2092">
                  <c:v>445.2</c:v>
                </c:pt>
                <c:pt idx="2093">
                  <c:v>448.3</c:v>
                </c:pt>
                <c:pt idx="2094">
                  <c:v>451.3</c:v>
                </c:pt>
                <c:pt idx="2095">
                  <c:v>452</c:v>
                </c:pt>
                <c:pt idx="2096">
                  <c:v>454.9</c:v>
                </c:pt>
                <c:pt idx="2097">
                  <c:v>457.9</c:v>
                </c:pt>
                <c:pt idx="2098">
                  <c:v>459.2</c:v>
                </c:pt>
                <c:pt idx="2099">
                  <c:v>458.1</c:v>
                </c:pt>
                <c:pt idx="2101">
                  <c:v>552.4</c:v>
                </c:pt>
                <c:pt idx="2102">
                  <c:v>550.9</c:v>
                </c:pt>
                <c:pt idx="2103">
                  <c:v>551.79999999999995</c:v>
                </c:pt>
                <c:pt idx="2104">
                  <c:v>549.5</c:v>
                </c:pt>
                <c:pt idx="2105">
                  <c:v>547.29999999999995</c:v>
                </c:pt>
                <c:pt idx="2106">
                  <c:v>547.4</c:v>
                </c:pt>
                <c:pt idx="2107">
                  <c:v>542.79999999999995</c:v>
                </c:pt>
                <c:pt idx="2108">
                  <c:v>544.79999999999995</c:v>
                </c:pt>
                <c:pt idx="2109">
                  <c:v>549.1</c:v>
                </c:pt>
                <c:pt idx="2110">
                  <c:v>552</c:v>
                </c:pt>
                <c:pt idx="2111">
                  <c:v>550.29999999999995</c:v>
                </c:pt>
                <c:pt idx="2112">
                  <c:v>554.9</c:v>
                </c:pt>
                <c:pt idx="2113">
                  <c:v>552.4</c:v>
                </c:pt>
                <c:pt idx="2115">
                  <c:v>473.3</c:v>
                </c:pt>
                <c:pt idx="2116">
                  <c:v>471.1</c:v>
                </c:pt>
                <c:pt idx="2117">
                  <c:v>466.3</c:v>
                </c:pt>
                <c:pt idx="2118">
                  <c:v>462.9</c:v>
                </c:pt>
                <c:pt idx="2119">
                  <c:v>456.6</c:v>
                </c:pt>
                <c:pt idx="2120">
                  <c:v>452.1</c:v>
                </c:pt>
                <c:pt idx="2121">
                  <c:v>450.3</c:v>
                </c:pt>
                <c:pt idx="2122">
                  <c:v>447.3</c:v>
                </c:pt>
                <c:pt idx="2123">
                  <c:v>446.2</c:v>
                </c:pt>
                <c:pt idx="2124">
                  <c:v>440.7</c:v>
                </c:pt>
                <c:pt idx="2125">
                  <c:v>437.6</c:v>
                </c:pt>
                <c:pt idx="2126">
                  <c:v>437.2</c:v>
                </c:pt>
                <c:pt idx="2127">
                  <c:v>434.2</c:v>
                </c:pt>
                <c:pt idx="2128">
                  <c:v>434.4</c:v>
                </c:pt>
                <c:pt idx="2129">
                  <c:v>429.8</c:v>
                </c:pt>
                <c:pt idx="2130">
                  <c:v>426</c:v>
                </c:pt>
                <c:pt idx="2131">
                  <c:v>426.3</c:v>
                </c:pt>
                <c:pt idx="2132">
                  <c:v>429.3</c:v>
                </c:pt>
                <c:pt idx="2133">
                  <c:v>432.7</c:v>
                </c:pt>
                <c:pt idx="2134">
                  <c:v>438.9</c:v>
                </c:pt>
                <c:pt idx="2135">
                  <c:v>442</c:v>
                </c:pt>
                <c:pt idx="2136">
                  <c:v>444.3</c:v>
                </c:pt>
                <c:pt idx="2137">
                  <c:v>447</c:v>
                </c:pt>
                <c:pt idx="2138">
                  <c:v>447.9</c:v>
                </c:pt>
                <c:pt idx="2139">
                  <c:v>451.5</c:v>
                </c:pt>
                <c:pt idx="2140">
                  <c:v>453</c:v>
                </c:pt>
                <c:pt idx="2141">
                  <c:v>454.8</c:v>
                </c:pt>
                <c:pt idx="2142">
                  <c:v>456.3</c:v>
                </c:pt>
                <c:pt idx="2143">
                  <c:v>459.2</c:v>
                </c:pt>
                <c:pt idx="2144">
                  <c:v>457.9</c:v>
                </c:pt>
                <c:pt idx="2145">
                  <c:v>454.9</c:v>
                </c:pt>
                <c:pt idx="2146">
                  <c:v>452</c:v>
                </c:pt>
                <c:pt idx="2147">
                  <c:v>451.3</c:v>
                </c:pt>
                <c:pt idx="2148">
                  <c:v>448.3</c:v>
                </c:pt>
                <c:pt idx="2149">
                  <c:v>445.2</c:v>
                </c:pt>
                <c:pt idx="2150">
                  <c:v>450.4</c:v>
                </c:pt>
                <c:pt idx="2151">
                  <c:v>451.7</c:v>
                </c:pt>
                <c:pt idx="2152">
                  <c:v>454.3</c:v>
                </c:pt>
                <c:pt idx="2153">
                  <c:v>456.8</c:v>
                </c:pt>
                <c:pt idx="2154">
                  <c:v>458.6</c:v>
                </c:pt>
                <c:pt idx="2155">
                  <c:v>465.1</c:v>
                </c:pt>
                <c:pt idx="2156">
                  <c:v>470.3</c:v>
                </c:pt>
                <c:pt idx="2157">
                  <c:v>468</c:v>
                </c:pt>
                <c:pt idx="2158">
                  <c:v>471.2</c:v>
                </c:pt>
                <c:pt idx="2159">
                  <c:v>471.9</c:v>
                </c:pt>
                <c:pt idx="2160">
                  <c:v>470.8</c:v>
                </c:pt>
                <c:pt idx="2161">
                  <c:v>473.3</c:v>
                </c:pt>
                <c:pt idx="2163">
                  <c:v>524</c:v>
                </c:pt>
                <c:pt idx="2164">
                  <c:v>519</c:v>
                </c:pt>
                <c:pt idx="2165">
                  <c:v>518.6</c:v>
                </c:pt>
                <c:pt idx="2166">
                  <c:v>517.5</c:v>
                </c:pt>
                <c:pt idx="2167">
                  <c:v>513.9</c:v>
                </c:pt>
                <c:pt idx="2168">
                  <c:v>509.6</c:v>
                </c:pt>
                <c:pt idx="2169">
                  <c:v>515.79999999999995</c:v>
                </c:pt>
                <c:pt idx="2170">
                  <c:v>511.7</c:v>
                </c:pt>
                <c:pt idx="2171">
                  <c:v>511.2</c:v>
                </c:pt>
                <c:pt idx="2172">
                  <c:v>515</c:v>
                </c:pt>
                <c:pt idx="2173">
                  <c:v>517.5</c:v>
                </c:pt>
                <c:pt idx="2174">
                  <c:v>515.29999999999995</c:v>
                </c:pt>
                <c:pt idx="2175">
                  <c:v>518.4</c:v>
                </c:pt>
                <c:pt idx="2176">
                  <c:v>517</c:v>
                </c:pt>
                <c:pt idx="2177">
                  <c:v>518.20000000000005</c:v>
                </c:pt>
                <c:pt idx="2178">
                  <c:v>514.79999999999995</c:v>
                </c:pt>
                <c:pt idx="2179">
                  <c:v>510.6</c:v>
                </c:pt>
                <c:pt idx="2180">
                  <c:v>508.4</c:v>
                </c:pt>
                <c:pt idx="2181">
                  <c:v>504.4</c:v>
                </c:pt>
                <c:pt idx="2182">
                  <c:v>500.9</c:v>
                </c:pt>
                <c:pt idx="2183">
                  <c:v>500.8</c:v>
                </c:pt>
                <c:pt idx="2184">
                  <c:v>497.6</c:v>
                </c:pt>
                <c:pt idx="2185">
                  <c:v>496.2</c:v>
                </c:pt>
                <c:pt idx="2186">
                  <c:v>497.4</c:v>
                </c:pt>
                <c:pt idx="2187">
                  <c:v>496.4</c:v>
                </c:pt>
                <c:pt idx="2188">
                  <c:v>497.9</c:v>
                </c:pt>
                <c:pt idx="2189">
                  <c:v>494.2</c:v>
                </c:pt>
                <c:pt idx="2190">
                  <c:v>490.2</c:v>
                </c:pt>
                <c:pt idx="2191">
                  <c:v>489.5</c:v>
                </c:pt>
                <c:pt idx="2192">
                  <c:v>495.2</c:v>
                </c:pt>
                <c:pt idx="2193">
                  <c:v>492.6</c:v>
                </c:pt>
                <c:pt idx="2194">
                  <c:v>492</c:v>
                </c:pt>
                <c:pt idx="2195">
                  <c:v>488.1</c:v>
                </c:pt>
                <c:pt idx="2196">
                  <c:v>490.8</c:v>
                </c:pt>
                <c:pt idx="2197">
                  <c:v>487.9</c:v>
                </c:pt>
                <c:pt idx="2198">
                  <c:v>486.5</c:v>
                </c:pt>
                <c:pt idx="2199">
                  <c:v>482.1</c:v>
                </c:pt>
                <c:pt idx="2200">
                  <c:v>481.5</c:v>
                </c:pt>
                <c:pt idx="2201">
                  <c:v>485.1</c:v>
                </c:pt>
                <c:pt idx="2202">
                  <c:v>485.2</c:v>
                </c:pt>
                <c:pt idx="2203">
                  <c:v>492.2</c:v>
                </c:pt>
                <c:pt idx="2204">
                  <c:v>489.8</c:v>
                </c:pt>
                <c:pt idx="2205">
                  <c:v>491.2</c:v>
                </c:pt>
                <c:pt idx="2206">
                  <c:v>501.1</c:v>
                </c:pt>
                <c:pt idx="2207">
                  <c:v>499.8</c:v>
                </c:pt>
                <c:pt idx="2208">
                  <c:v>494.9</c:v>
                </c:pt>
                <c:pt idx="2209">
                  <c:v>497.3</c:v>
                </c:pt>
                <c:pt idx="2210">
                  <c:v>495.4</c:v>
                </c:pt>
                <c:pt idx="2211">
                  <c:v>497.5</c:v>
                </c:pt>
                <c:pt idx="2212">
                  <c:v>497</c:v>
                </c:pt>
                <c:pt idx="2213">
                  <c:v>498.7</c:v>
                </c:pt>
                <c:pt idx="2214">
                  <c:v>502</c:v>
                </c:pt>
                <c:pt idx="2215">
                  <c:v>501</c:v>
                </c:pt>
                <c:pt idx="2216">
                  <c:v>502.7</c:v>
                </c:pt>
                <c:pt idx="2217">
                  <c:v>502</c:v>
                </c:pt>
                <c:pt idx="2218">
                  <c:v>505</c:v>
                </c:pt>
                <c:pt idx="2219">
                  <c:v>508.1</c:v>
                </c:pt>
                <c:pt idx="2220">
                  <c:v>512.79999999999995</c:v>
                </c:pt>
                <c:pt idx="2221">
                  <c:v>512.29999999999995</c:v>
                </c:pt>
                <c:pt idx="2222">
                  <c:v>515.20000000000005</c:v>
                </c:pt>
                <c:pt idx="2223">
                  <c:v>511.2</c:v>
                </c:pt>
                <c:pt idx="2224">
                  <c:v>523.6</c:v>
                </c:pt>
                <c:pt idx="2225">
                  <c:v>524</c:v>
                </c:pt>
                <c:pt idx="2227">
                  <c:v>495.3</c:v>
                </c:pt>
                <c:pt idx="2228">
                  <c:v>491.5</c:v>
                </c:pt>
                <c:pt idx="2229">
                  <c:v>492.3</c:v>
                </c:pt>
                <c:pt idx="2230">
                  <c:v>489.4</c:v>
                </c:pt>
                <c:pt idx="2231">
                  <c:v>488.9</c:v>
                </c:pt>
                <c:pt idx="2232">
                  <c:v>479.2</c:v>
                </c:pt>
                <c:pt idx="2233">
                  <c:v>477.2</c:v>
                </c:pt>
                <c:pt idx="2234">
                  <c:v>473.7</c:v>
                </c:pt>
                <c:pt idx="2235">
                  <c:v>466</c:v>
                </c:pt>
                <c:pt idx="2236">
                  <c:v>464.5</c:v>
                </c:pt>
                <c:pt idx="2237">
                  <c:v>464.3</c:v>
                </c:pt>
                <c:pt idx="2238">
                  <c:v>458.7</c:v>
                </c:pt>
                <c:pt idx="2239">
                  <c:v>458.4</c:v>
                </c:pt>
                <c:pt idx="2240">
                  <c:v>456.6</c:v>
                </c:pt>
                <c:pt idx="2241">
                  <c:v>456.9</c:v>
                </c:pt>
                <c:pt idx="2242">
                  <c:v>454.1</c:v>
                </c:pt>
                <c:pt idx="2243">
                  <c:v>455.2</c:v>
                </c:pt>
                <c:pt idx="2244">
                  <c:v>457.8</c:v>
                </c:pt>
                <c:pt idx="2245">
                  <c:v>461.1</c:v>
                </c:pt>
                <c:pt idx="2246">
                  <c:v>461.5</c:v>
                </c:pt>
                <c:pt idx="2247">
                  <c:v>464.2</c:v>
                </c:pt>
                <c:pt idx="2248">
                  <c:v>465.8</c:v>
                </c:pt>
                <c:pt idx="2249">
                  <c:v>470</c:v>
                </c:pt>
                <c:pt idx="2250">
                  <c:v>471</c:v>
                </c:pt>
                <c:pt idx="2251">
                  <c:v>476.6</c:v>
                </c:pt>
                <c:pt idx="2252">
                  <c:v>472.9</c:v>
                </c:pt>
                <c:pt idx="2253">
                  <c:v>472.3</c:v>
                </c:pt>
                <c:pt idx="2254">
                  <c:v>465</c:v>
                </c:pt>
                <c:pt idx="2255">
                  <c:v>464.6</c:v>
                </c:pt>
                <c:pt idx="2256">
                  <c:v>468.7</c:v>
                </c:pt>
                <c:pt idx="2257">
                  <c:v>470.1</c:v>
                </c:pt>
                <c:pt idx="2258">
                  <c:v>469.3</c:v>
                </c:pt>
                <c:pt idx="2259">
                  <c:v>472.9</c:v>
                </c:pt>
                <c:pt idx="2260">
                  <c:v>476.2</c:v>
                </c:pt>
                <c:pt idx="2261">
                  <c:v>480</c:v>
                </c:pt>
                <c:pt idx="2262">
                  <c:v>482.1</c:v>
                </c:pt>
                <c:pt idx="2263">
                  <c:v>486.4</c:v>
                </c:pt>
                <c:pt idx="2264">
                  <c:v>487.9</c:v>
                </c:pt>
                <c:pt idx="2265">
                  <c:v>490.8</c:v>
                </c:pt>
                <c:pt idx="2266">
                  <c:v>488.1</c:v>
                </c:pt>
                <c:pt idx="2267">
                  <c:v>492</c:v>
                </c:pt>
                <c:pt idx="2268">
                  <c:v>492.3</c:v>
                </c:pt>
                <c:pt idx="2269">
                  <c:v>494.8</c:v>
                </c:pt>
                <c:pt idx="2270">
                  <c:v>495.3</c:v>
                </c:pt>
                <c:pt idx="2272">
                  <c:v>465.9</c:v>
                </c:pt>
                <c:pt idx="2273">
                  <c:v>462.7</c:v>
                </c:pt>
                <c:pt idx="2274">
                  <c:v>456.6</c:v>
                </c:pt>
                <c:pt idx="2275">
                  <c:v>453.3</c:v>
                </c:pt>
                <c:pt idx="2276">
                  <c:v>453.7</c:v>
                </c:pt>
                <c:pt idx="2277">
                  <c:v>458.9</c:v>
                </c:pt>
                <c:pt idx="2278">
                  <c:v>458.3</c:v>
                </c:pt>
                <c:pt idx="2279">
                  <c:v>455.2</c:v>
                </c:pt>
                <c:pt idx="2280">
                  <c:v>454.6</c:v>
                </c:pt>
                <c:pt idx="2281">
                  <c:v>453.1</c:v>
                </c:pt>
                <c:pt idx="2282">
                  <c:v>452.1</c:v>
                </c:pt>
                <c:pt idx="2283">
                  <c:v>449.7</c:v>
                </c:pt>
                <c:pt idx="2284">
                  <c:v>445.8</c:v>
                </c:pt>
                <c:pt idx="2285">
                  <c:v>445.5</c:v>
                </c:pt>
                <c:pt idx="2286">
                  <c:v>441.5</c:v>
                </c:pt>
                <c:pt idx="2287">
                  <c:v>441.8</c:v>
                </c:pt>
                <c:pt idx="2288">
                  <c:v>444.7</c:v>
                </c:pt>
                <c:pt idx="2289">
                  <c:v>439.9</c:v>
                </c:pt>
                <c:pt idx="2290">
                  <c:v>440</c:v>
                </c:pt>
                <c:pt idx="2291">
                  <c:v>437.7</c:v>
                </c:pt>
                <c:pt idx="2292">
                  <c:v>433.7</c:v>
                </c:pt>
                <c:pt idx="2293">
                  <c:v>432.8</c:v>
                </c:pt>
                <c:pt idx="2294">
                  <c:v>429.6</c:v>
                </c:pt>
                <c:pt idx="2295">
                  <c:v>428.5</c:v>
                </c:pt>
                <c:pt idx="2296">
                  <c:v>429.2</c:v>
                </c:pt>
                <c:pt idx="2297">
                  <c:v>426.7</c:v>
                </c:pt>
                <c:pt idx="2298">
                  <c:v>427.4</c:v>
                </c:pt>
                <c:pt idx="2299">
                  <c:v>430.3</c:v>
                </c:pt>
                <c:pt idx="2300">
                  <c:v>431.8</c:v>
                </c:pt>
                <c:pt idx="2301">
                  <c:v>428.7</c:v>
                </c:pt>
                <c:pt idx="2302">
                  <c:v>429.2</c:v>
                </c:pt>
                <c:pt idx="2303">
                  <c:v>424.8</c:v>
                </c:pt>
                <c:pt idx="2304">
                  <c:v>426.2</c:v>
                </c:pt>
                <c:pt idx="2305">
                  <c:v>431.3</c:v>
                </c:pt>
                <c:pt idx="2306">
                  <c:v>430.1</c:v>
                </c:pt>
                <c:pt idx="2307">
                  <c:v>431.5</c:v>
                </c:pt>
                <c:pt idx="2308">
                  <c:v>435.4</c:v>
                </c:pt>
                <c:pt idx="2309">
                  <c:v>433.7</c:v>
                </c:pt>
                <c:pt idx="2310">
                  <c:v>432.9</c:v>
                </c:pt>
                <c:pt idx="2311">
                  <c:v>438.9</c:v>
                </c:pt>
                <c:pt idx="2312">
                  <c:v>438.9</c:v>
                </c:pt>
                <c:pt idx="2313">
                  <c:v>436.3</c:v>
                </c:pt>
                <c:pt idx="2314">
                  <c:v>437.2</c:v>
                </c:pt>
                <c:pt idx="2315">
                  <c:v>439.2</c:v>
                </c:pt>
                <c:pt idx="2316">
                  <c:v>440.4</c:v>
                </c:pt>
                <c:pt idx="2317">
                  <c:v>445.2</c:v>
                </c:pt>
                <c:pt idx="2318">
                  <c:v>446</c:v>
                </c:pt>
                <c:pt idx="2319">
                  <c:v>444.3</c:v>
                </c:pt>
                <c:pt idx="2320">
                  <c:v>446.6</c:v>
                </c:pt>
                <c:pt idx="2321">
                  <c:v>446.4</c:v>
                </c:pt>
                <c:pt idx="2322">
                  <c:v>448.7</c:v>
                </c:pt>
                <c:pt idx="2323">
                  <c:v>453</c:v>
                </c:pt>
                <c:pt idx="2324">
                  <c:v>454</c:v>
                </c:pt>
                <c:pt idx="2325">
                  <c:v>451.1</c:v>
                </c:pt>
                <c:pt idx="2326">
                  <c:v>451.3</c:v>
                </c:pt>
                <c:pt idx="2327">
                  <c:v>453.5</c:v>
                </c:pt>
                <c:pt idx="2328">
                  <c:v>456.8</c:v>
                </c:pt>
                <c:pt idx="2329">
                  <c:v>456.6</c:v>
                </c:pt>
                <c:pt idx="2330">
                  <c:v>458.4</c:v>
                </c:pt>
                <c:pt idx="2331">
                  <c:v>458.7</c:v>
                </c:pt>
                <c:pt idx="2332">
                  <c:v>464.3</c:v>
                </c:pt>
                <c:pt idx="2333">
                  <c:v>463.8</c:v>
                </c:pt>
                <c:pt idx="2334">
                  <c:v>465.9</c:v>
                </c:pt>
                <c:pt idx="2336">
                  <c:v>497.9</c:v>
                </c:pt>
                <c:pt idx="2337">
                  <c:v>496.4</c:v>
                </c:pt>
                <c:pt idx="2338">
                  <c:v>497.4</c:v>
                </c:pt>
                <c:pt idx="2339">
                  <c:v>496.2</c:v>
                </c:pt>
                <c:pt idx="2340">
                  <c:v>497.6</c:v>
                </c:pt>
                <c:pt idx="2341">
                  <c:v>500.8</c:v>
                </c:pt>
                <c:pt idx="2342">
                  <c:v>500.8</c:v>
                </c:pt>
                <c:pt idx="2343">
                  <c:v>508.4</c:v>
                </c:pt>
                <c:pt idx="2344">
                  <c:v>510.6</c:v>
                </c:pt>
                <c:pt idx="2345">
                  <c:v>509.3</c:v>
                </c:pt>
                <c:pt idx="2346">
                  <c:v>505</c:v>
                </c:pt>
                <c:pt idx="2347">
                  <c:v>506.4</c:v>
                </c:pt>
                <c:pt idx="2348">
                  <c:v>504.8</c:v>
                </c:pt>
                <c:pt idx="2349">
                  <c:v>505.2</c:v>
                </c:pt>
                <c:pt idx="2350">
                  <c:v>502</c:v>
                </c:pt>
                <c:pt idx="2351">
                  <c:v>494.7</c:v>
                </c:pt>
                <c:pt idx="2352">
                  <c:v>492.5</c:v>
                </c:pt>
                <c:pt idx="2353">
                  <c:v>487.8</c:v>
                </c:pt>
                <c:pt idx="2354">
                  <c:v>487.9</c:v>
                </c:pt>
                <c:pt idx="2355">
                  <c:v>485.5</c:v>
                </c:pt>
                <c:pt idx="2356">
                  <c:v>486</c:v>
                </c:pt>
                <c:pt idx="2357">
                  <c:v>482</c:v>
                </c:pt>
                <c:pt idx="2358">
                  <c:v>481.6</c:v>
                </c:pt>
                <c:pt idx="2359">
                  <c:v>480.3</c:v>
                </c:pt>
                <c:pt idx="2360">
                  <c:v>483.8</c:v>
                </c:pt>
                <c:pt idx="2361">
                  <c:v>483.4</c:v>
                </c:pt>
                <c:pt idx="2362">
                  <c:v>477.1</c:v>
                </c:pt>
                <c:pt idx="2363">
                  <c:v>474.5</c:v>
                </c:pt>
                <c:pt idx="2364">
                  <c:v>476</c:v>
                </c:pt>
                <c:pt idx="2365">
                  <c:v>471.7</c:v>
                </c:pt>
                <c:pt idx="2366">
                  <c:v>471</c:v>
                </c:pt>
                <c:pt idx="2367">
                  <c:v>466.2</c:v>
                </c:pt>
                <c:pt idx="2368">
                  <c:v>464.7</c:v>
                </c:pt>
                <c:pt idx="2369">
                  <c:v>460.2</c:v>
                </c:pt>
                <c:pt idx="2370">
                  <c:v>459.2</c:v>
                </c:pt>
                <c:pt idx="2371">
                  <c:v>452.4</c:v>
                </c:pt>
                <c:pt idx="2372">
                  <c:v>450.7</c:v>
                </c:pt>
                <c:pt idx="2373">
                  <c:v>453</c:v>
                </c:pt>
                <c:pt idx="2374">
                  <c:v>453.1</c:v>
                </c:pt>
                <c:pt idx="2375">
                  <c:v>454.6</c:v>
                </c:pt>
                <c:pt idx="2376">
                  <c:v>455.2</c:v>
                </c:pt>
                <c:pt idx="2377">
                  <c:v>458.1</c:v>
                </c:pt>
                <c:pt idx="2378">
                  <c:v>459</c:v>
                </c:pt>
                <c:pt idx="2379">
                  <c:v>453.7</c:v>
                </c:pt>
                <c:pt idx="2380">
                  <c:v>453.3</c:v>
                </c:pt>
                <c:pt idx="2381">
                  <c:v>456.6</c:v>
                </c:pt>
                <c:pt idx="2382">
                  <c:v>462.7</c:v>
                </c:pt>
                <c:pt idx="2383">
                  <c:v>466.9</c:v>
                </c:pt>
                <c:pt idx="2384">
                  <c:v>473.7</c:v>
                </c:pt>
                <c:pt idx="2385">
                  <c:v>477.2</c:v>
                </c:pt>
                <c:pt idx="2386">
                  <c:v>480</c:v>
                </c:pt>
                <c:pt idx="2387">
                  <c:v>488.9</c:v>
                </c:pt>
                <c:pt idx="2388">
                  <c:v>489.7</c:v>
                </c:pt>
                <c:pt idx="2389">
                  <c:v>490.2</c:v>
                </c:pt>
                <c:pt idx="2390">
                  <c:v>494.2</c:v>
                </c:pt>
                <c:pt idx="2391">
                  <c:v>497.9</c:v>
                </c:pt>
                <c:pt idx="2393">
                  <c:v>485.4</c:v>
                </c:pt>
                <c:pt idx="2394">
                  <c:v>481.6</c:v>
                </c:pt>
                <c:pt idx="2395">
                  <c:v>480</c:v>
                </c:pt>
                <c:pt idx="2396">
                  <c:v>481.2</c:v>
                </c:pt>
                <c:pt idx="2397">
                  <c:v>479.5</c:v>
                </c:pt>
                <c:pt idx="2398">
                  <c:v>476.9</c:v>
                </c:pt>
                <c:pt idx="2399">
                  <c:v>474.2</c:v>
                </c:pt>
                <c:pt idx="2400">
                  <c:v>470.1</c:v>
                </c:pt>
                <c:pt idx="2401">
                  <c:v>469.1</c:v>
                </c:pt>
                <c:pt idx="2402">
                  <c:v>460.3</c:v>
                </c:pt>
                <c:pt idx="2403">
                  <c:v>458.6</c:v>
                </c:pt>
                <c:pt idx="2404">
                  <c:v>456.8</c:v>
                </c:pt>
                <c:pt idx="2405">
                  <c:v>454.1</c:v>
                </c:pt>
                <c:pt idx="2406">
                  <c:v>451.7</c:v>
                </c:pt>
                <c:pt idx="2407">
                  <c:v>450.4</c:v>
                </c:pt>
                <c:pt idx="2408">
                  <c:v>444.7</c:v>
                </c:pt>
                <c:pt idx="2409">
                  <c:v>438</c:v>
                </c:pt>
                <c:pt idx="2410">
                  <c:v>437.8</c:v>
                </c:pt>
                <c:pt idx="2411">
                  <c:v>440.1</c:v>
                </c:pt>
                <c:pt idx="2412">
                  <c:v>439.9</c:v>
                </c:pt>
                <c:pt idx="2413">
                  <c:v>444.7</c:v>
                </c:pt>
                <c:pt idx="2414">
                  <c:v>441.8</c:v>
                </c:pt>
                <c:pt idx="2415">
                  <c:v>441.5</c:v>
                </c:pt>
                <c:pt idx="2416">
                  <c:v>445.5</c:v>
                </c:pt>
                <c:pt idx="2417">
                  <c:v>445.8</c:v>
                </c:pt>
                <c:pt idx="2418">
                  <c:v>450.7</c:v>
                </c:pt>
                <c:pt idx="2419">
                  <c:v>452.4</c:v>
                </c:pt>
                <c:pt idx="2420">
                  <c:v>459.2</c:v>
                </c:pt>
                <c:pt idx="2421">
                  <c:v>460.2</c:v>
                </c:pt>
                <c:pt idx="2422">
                  <c:v>465</c:v>
                </c:pt>
                <c:pt idx="2423">
                  <c:v>466.2</c:v>
                </c:pt>
                <c:pt idx="2424">
                  <c:v>471</c:v>
                </c:pt>
                <c:pt idx="2425">
                  <c:v>471.7</c:v>
                </c:pt>
                <c:pt idx="2426">
                  <c:v>474.7</c:v>
                </c:pt>
                <c:pt idx="2427">
                  <c:v>476</c:v>
                </c:pt>
                <c:pt idx="2428">
                  <c:v>474.5</c:v>
                </c:pt>
                <c:pt idx="2429">
                  <c:v>482</c:v>
                </c:pt>
                <c:pt idx="2430">
                  <c:v>484.1</c:v>
                </c:pt>
                <c:pt idx="2431">
                  <c:v>480.2</c:v>
                </c:pt>
                <c:pt idx="2432">
                  <c:v>482</c:v>
                </c:pt>
                <c:pt idx="2433">
                  <c:v>483.5</c:v>
                </c:pt>
                <c:pt idx="2434">
                  <c:v>479.4</c:v>
                </c:pt>
                <c:pt idx="2435">
                  <c:v>481</c:v>
                </c:pt>
                <c:pt idx="2436">
                  <c:v>480.1</c:v>
                </c:pt>
                <c:pt idx="2437">
                  <c:v>476.2</c:v>
                </c:pt>
                <c:pt idx="2438">
                  <c:v>477.6</c:v>
                </c:pt>
                <c:pt idx="2439">
                  <c:v>484</c:v>
                </c:pt>
                <c:pt idx="2440">
                  <c:v>485.4</c:v>
                </c:pt>
                <c:pt idx="2442">
                  <c:v>566.79999999999995</c:v>
                </c:pt>
                <c:pt idx="2443">
                  <c:v>562.79999999999995</c:v>
                </c:pt>
                <c:pt idx="2444">
                  <c:v>564.20000000000005</c:v>
                </c:pt>
                <c:pt idx="2445">
                  <c:v>563.4</c:v>
                </c:pt>
                <c:pt idx="2446">
                  <c:v>560.6</c:v>
                </c:pt>
                <c:pt idx="2447">
                  <c:v>560.6</c:v>
                </c:pt>
                <c:pt idx="2448">
                  <c:v>556.79999999999995</c:v>
                </c:pt>
                <c:pt idx="2449">
                  <c:v>558.5</c:v>
                </c:pt>
                <c:pt idx="2450">
                  <c:v>558.5</c:v>
                </c:pt>
                <c:pt idx="2451">
                  <c:v>560.6</c:v>
                </c:pt>
                <c:pt idx="2452">
                  <c:v>558.4</c:v>
                </c:pt>
                <c:pt idx="2453">
                  <c:v>551.5</c:v>
                </c:pt>
                <c:pt idx="2454">
                  <c:v>543.79999999999995</c:v>
                </c:pt>
                <c:pt idx="2455">
                  <c:v>543.4</c:v>
                </c:pt>
                <c:pt idx="2456">
                  <c:v>541</c:v>
                </c:pt>
                <c:pt idx="2457">
                  <c:v>542.79999999999995</c:v>
                </c:pt>
                <c:pt idx="2458">
                  <c:v>539.70000000000005</c:v>
                </c:pt>
                <c:pt idx="2459">
                  <c:v>542.79999999999995</c:v>
                </c:pt>
                <c:pt idx="2460">
                  <c:v>543.4</c:v>
                </c:pt>
                <c:pt idx="2461">
                  <c:v>549</c:v>
                </c:pt>
                <c:pt idx="2462">
                  <c:v>549.5</c:v>
                </c:pt>
                <c:pt idx="2463">
                  <c:v>544.79999999999995</c:v>
                </c:pt>
                <c:pt idx="2464">
                  <c:v>547.5</c:v>
                </c:pt>
                <c:pt idx="2465">
                  <c:v>555.79999999999995</c:v>
                </c:pt>
                <c:pt idx="2466">
                  <c:v>555.6</c:v>
                </c:pt>
                <c:pt idx="2467">
                  <c:v>559.29999999999995</c:v>
                </c:pt>
                <c:pt idx="2468">
                  <c:v>560.4</c:v>
                </c:pt>
                <c:pt idx="2469">
                  <c:v>563.9</c:v>
                </c:pt>
                <c:pt idx="2470">
                  <c:v>562.79999999999995</c:v>
                </c:pt>
                <c:pt idx="2471">
                  <c:v>566</c:v>
                </c:pt>
                <c:pt idx="2472">
                  <c:v>563.79999999999995</c:v>
                </c:pt>
                <c:pt idx="2473">
                  <c:v>566.4</c:v>
                </c:pt>
                <c:pt idx="2474">
                  <c:v>564.20000000000005</c:v>
                </c:pt>
                <c:pt idx="2475">
                  <c:v>565.29999999999995</c:v>
                </c:pt>
                <c:pt idx="2476">
                  <c:v>562.4</c:v>
                </c:pt>
                <c:pt idx="2477">
                  <c:v>566.29999999999995</c:v>
                </c:pt>
                <c:pt idx="2478">
                  <c:v>564.9</c:v>
                </c:pt>
                <c:pt idx="2479">
                  <c:v>567</c:v>
                </c:pt>
                <c:pt idx="2480">
                  <c:v>566.20000000000005</c:v>
                </c:pt>
                <c:pt idx="2481">
                  <c:v>567.70000000000005</c:v>
                </c:pt>
                <c:pt idx="2482">
                  <c:v>566.79999999999995</c:v>
                </c:pt>
                <c:pt idx="2484">
                  <c:v>561.1</c:v>
                </c:pt>
                <c:pt idx="2485">
                  <c:v>560.6</c:v>
                </c:pt>
                <c:pt idx="2486">
                  <c:v>552.6</c:v>
                </c:pt>
                <c:pt idx="2487">
                  <c:v>551.29999999999995</c:v>
                </c:pt>
                <c:pt idx="2488">
                  <c:v>542.79999999999995</c:v>
                </c:pt>
                <c:pt idx="2489">
                  <c:v>536.20000000000005</c:v>
                </c:pt>
                <c:pt idx="2490">
                  <c:v>535.6</c:v>
                </c:pt>
                <c:pt idx="2491">
                  <c:v>532</c:v>
                </c:pt>
                <c:pt idx="2492">
                  <c:v>529.29999999999995</c:v>
                </c:pt>
                <c:pt idx="2493">
                  <c:v>534.20000000000005</c:v>
                </c:pt>
                <c:pt idx="2494">
                  <c:v>532.70000000000005</c:v>
                </c:pt>
                <c:pt idx="2495">
                  <c:v>534.1</c:v>
                </c:pt>
                <c:pt idx="2496">
                  <c:v>532.5</c:v>
                </c:pt>
                <c:pt idx="2497">
                  <c:v>535.9</c:v>
                </c:pt>
                <c:pt idx="2498">
                  <c:v>535.5</c:v>
                </c:pt>
                <c:pt idx="2499">
                  <c:v>538.6</c:v>
                </c:pt>
                <c:pt idx="2500">
                  <c:v>539.1</c:v>
                </c:pt>
                <c:pt idx="2501">
                  <c:v>534.29999999999995</c:v>
                </c:pt>
                <c:pt idx="2502">
                  <c:v>532.1</c:v>
                </c:pt>
                <c:pt idx="2503">
                  <c:v>530</c:v>
                </c:pt>
                <c:pt idx="2504">
                  <c:v>531.4</c:v>
                </c:pt>
                <c:pt idx="2505">
                  <c:v>542.4</c:v>
                </c:pt>
                <c:pt idx="2506">
                  <c:v>544.29999999999995</c:v>
                </c:pt>
                <c:pt idx="2507">
                  <c:v>551.5</c:v>
                </c:pt>
                <c:pt idx="2508">
                  <c:v>558.4</c:v>
                </c:pt>
                <c:pt idx="2509">
                  <c:v>560.4</c:v>
                </c:pt>
                <c:pt idx="2510">
                  <c:v>556.79999999999995</c:v>
                </c:pt>
                <c:pt idx="2511">
                  <c:v>560.1</c:v>
                </c:pt>
                <c:pt idx="2512">
                  <c:v>561.1</c:v>
                </c:pt>
                <c:pt idx="2513">
                  <c:v>559.9</c:v>
                </c:pt>
                <c:pt idx="2514">
                  <c:v>561.1</c:v>
                </c:pt>
                <c:pt idx="2516">
                  <c:v>565.20000000000005</c:v>
                </c:pt>
                <c:pt idx="2517">
                  <c:v>560.4</c:v>
                </c:pt>
                <c:pt idx="2518">
                  <c:v>556</c:v>
                </c:pt>
                <c:pt idx="2519">
                  <c:v>546.4</c:v>
                </c:pt>
                <c:pt idx="2520">
                  <c:v>541.70000000000005</c:v>
                </c:pt>
                <c:pt idx="2521">
                  <c:v>540.29999999999995</c:v>
                </c:pt>
                <c:pt idx="2522">
                  <c:v>537.70000000000005</c:v>
                </c:pt>
                <c:pt idx="2523">
                  <c:v>534</c:v>
                </c:pt>
                <c:pt idx="2524">
                  <c:v>533</c:v>
                </c:pt>
                <c:pt idx="2525">
                  <c:v>535.1</c:v>
                </c:pt>
                <c:pt idx="2526">
                  <c:v>531.6</c:v>
                </c:pt>
                <c:pt idx="2527">
                  <c:v>532.1</c:v>
                </c:pt>
                <c:pt idx="2528">
                  <c:v>530.20000000000005</c:v>
                </c:pt>
                <c:pt idx="2529">
                  <c:v>532.9</c:v>
                </c:pt>
                <c:pt idx="2530">
                  <c:v>534.1</c:v>
                </c:pt>
                <c:pt idx="2531">
                  <c:v>531.6</c:v>
                </c:pt>
                <c:pt idx="2532">
                  <c:v>532.4</c:v>
                </c:pt>
                <c:pt idx="2533">
                  <c:v>538.70000000000005</c:v>
                </c:pt>
                <c:pt idx="2534">
                  <c:v>542.79999999999995</c:v>
                </c:pt>
                <c:pt idx="2535">
                  <c:v>551.29999999999995</c:v>
                </c:pt>
                <c:pt idx="2536">
                  <c:v>552.6</c:v>
                </c:pt>
                <c:pt idx="2537">
                  <c:v>560.79999999999995</c:v>
                </c:pt>
                <c:pt idx="2538">
                  <c:v>563.79999999999995</c:v>
                </c:pt>
                <c:pt idx="2539">
                  <c:v>562.9</c:v>
                </c:pt>
                <c:pt idx="2540">
                  <c:v>559.5</c:v>
                </c:pt>
                <c:pt idx="2541">
                  <c:v>559.79999999999995</c:v>
                </c:pt>
                <c:pt idx="2542">
                  <c:v>563.9</c:v>
                </c:pt>
                <c:pt idx="2543">
                  <c:v>563.20000000000005</c:v>
                </c:pt>
                <c:pt idx="2544">
                  <c:v>565.4</c:v>
                </c:pt>
                <c:pt idx="2545">
                  <c:v>565.20000000000005</c:v>
                </c:pt>
                <c:pt idx="2547">
                  <c:v>571.9</c:v>
                </c:pt>
                <c:pt idx="2548">
                  <c:v>570.20000000000005</c:v>
                </c:pt>
                <c:pt idx="2549">
                  <c:v>570.6</c:v>
                </c:pt>
                <c:pt idx="2550">
                  <c:v>566.4</c:v>
                </c:pt>
                <c:pt idx="2551">
                  <c:v>565.70000000000005</c:v>
                </c:pt>
                <c:pt idx="2552">
                  <c:v>558.70000000000005</c:v>
                </c:pt>
                <c:pt idx="2553">
                  <c:v>558.70000000000005</c:v>
                </c:pt>
                <c:pt idx="2554">
                  <c:v>555.5</c:v>
                </c:pt>
                <c:pt idx="2555">
                  <c:v>557.5</c:v>
                </c:pt>
                <c:pt idx="2556">
                  <c:v>556</c:v>
                </c:pt>
                <c:pt idx="2557">
                  <c:v>552</c:v>
                </c:pt>
                <c:pt idx="2558">
                  <c:v>549.1</c:v>
                </c:pt>
                <c:pt idx="2559">
                  <c:v>544.79999999999995</c:v>
                </c:pt>
                <c:pt idx="2560">
                  <c:v>543.1</c:v>
                </c:pt>
                <c:pt idx="2561">
                  <c:v>542</c:v>
                </c:pt>
                <c:pt idx="2562">
                  <c:v>537.70000000000005</c:v>
                </c:pt>
                <c:pt idx="2563">
                  <c:v>535.20000000000005</c:v>
                </c:pt>
                <c:pt idx="2564">
                  <c:v>535.79999999999995</c:v>
                </c:pt>
                <c:pt idx="2565">
                  <c:v>531.4</c:v>
                </c:pt>
                <c:pt idx="2566">
                  <c:v>526.1</c:v>
                </c:pt>
                <c:pt idx="2567">
                  <c:v>524.29999999999995</c:v>
                </c:pt>
                <c:pt idx="2568">
                  <c:v>517.6</c:v>
                </c:pt>
                <c:pt idx="2569">
                  <c:v>515.29999999999995</c:v>
                </c:pt>
                <c:pt idx="2570">
                  <c:v>517.5</c:v>
                </c:pt>
                <c:pt idx="2571">
                  <c:v>515</c:v>
                </c:pt>
                <c:pt idx="2572">
                  <c:v>511.2</c:v>
                </c:pt>
                <c:pt idx="2573">
                  <c:v>511.7</c:v>
                </c:pt>
                <c:pt idx="2574">
                  <c:v>515.79999999999995</c:v>
                </c:pt>
                <c:pt idx="2575">
                  <c:v>509.6</c:v>
                </c:pt>
                <c:pt idx="2576">
                  <c:v>513.9</c:v>
                </c:pt>
                <c:pt idx="2577">
                  <c:v>517.5</c:v>
                </c:pt>
                <c:pt idx="2578">
                  <c:v>518.6</c:v>
                </c:pt>
                <c:pt idx="2579">
                  <c:v>518.9</c:v>
                </c:pt>
                <c:pt idx="2580">
                  <c:v>524</c:v>
                </c:pt>
                <c:pt idx="2581">
                  <c:v>523.20000000000005</c:v>
                </c:pt>
                <c:pt idx="2582">
                  <c:v>525.29999999999995</c:v>
                </c:pt>
                <c:pt idx="2583">
                  <c:v>528.70000000000005</c:v>
                </c:pt>
                <c:pt idx="2584">
                  <c:v>532.1</c:v>
                </c:pt>
                <c:pt idx="2585">
                  <c:v>531.6</c:v>
                </c:pt>
                <c:pt idx="2586">
                  <c:v>535.1</c:v>
                </c:pt>
                <c:pt idx="2587">
                  <c:v>533</c:v>
                </c:pt>
                <c:pt idx="2588">
                  <c:v>535.1</c:v>
                </c:pt>
                <c:pt idx="2589">
                  <c:v>540</c:v>
                </c:pt>
                <c:pt idx="2590">
                  <c:v>541.70000000000005</c:v>
                </c:pt>
                <c:pt idx="2591">
                  <c:v>546.4</c:v>
                </c:pt>
                <c:pt idx="2592">
                  <c:v>556</c:v>
                </c:pt>
                <c:pt idx="2593">
                  <c:v>560.4</c:v>
                </c:pt>
                <c:pt idx="2594">
                  <c:v>564.1</c:v>
                </c:pt>
                <c:pt idx="2595">
                  <c:v>565.6</c:v>
                </c:pt>
                <c:pt idx="2596">
                  <c:v>564.29999999999995</c:v>
                </c:pt>
                <c:pt idx="2597">
                  <c:v>567</c:v>
                </c:pt>
                <c:pt idx="2598">
                  <c:v>571.9</c:v>
                </c:pt>
                <c:pt idx="2600">
                  <c:v>595.20000000000005</c:v>
                </c:pt>
                <c:pt idx="2601">
                  <c:v>590.1</c:v>
                </c:pt>
                <c:pt idx="2602">
                  <c:v>584.70000000000005</c:v>
                </c:pt>
                <c:pt idx="2603">
                  <c:v>578.6</c:v>
                </c:pt>
                <c:pt idx="2604">
                  <c:v>576.6</c:v>
                </c:pt>
                <c:pt idx="2605">
                  <c:v>570.29999999999995</c:v>
                </c:pt>
                <c:pt idx="2606">
                  <c:v>567.5</c:v>
                </c:pt>
                <c:pt idx="2607">
                  <c:v>554.9</c:v>
                </c:pt>
                <c:pt idx="2608">
                  <c:v>550.29999999999995</c:v>
                </c:pt>
                <c:pt idx="2609">
                  <c:v>552.1</c:v>
                </c:pt>
                <c:pt idx="2610">
                  <c:v>557.29999999999995</c:v>
                </c:pt>
                <c:pt idx="2611">
                  <c:v>555.5</c:v>
                </c:pt>
                <c:pt idx="2612">
                  <c:v>558.70000000000005</c:v>
                </c:pt>
                <c:pt idx="2613">
                  <c:v>558.70000000000005</c:v>
                </c:pt>
                <c:pt idx="2614">
                  <c:v>565.70000000000005</c:v>
                </c:pt>
                <c:pt idx="2615">
                  <c:v>566.4</c:v>
                </c:pt>
                <c:pt idx="2616">
                  <c:v>570.6</c:v>
                </c:pt>
                <c:pt idx="2617">
                  <c:v>571</c:v>
                </c:pt>
                <c:pt idx="2618">
                  <c:v>572.9</c:v>
                </c:pt>
                <c:pt idx="2619">
                  <c:v>577.1</c:v>
                </c:pt>
                <c:pt idx="2620">
                  <c:v>581.70000000000005</c:v>
                </c:pt>
                <c:pt idx="2621">
                  <c:v>594.20000000000005</c:v>
                </c:pt>
                <c:pt idx="2622">
                  <c:v>596.29999999999995</c:v>
                </c:pt>
                <c:pt idx="2623">
                  <c:v>595.20000000000005</c:v>
                </c:pt>
                <c:pt idx="2625">
                  <c:v>532.5</c:v>
                </c:pt>
                <c:pt idx="2626">
                  <c:v>521</c:v>
                </c:pt>
                <c:pt idx="2627">
                  <c:v>517.6</c:v>
                </c:pt>
                <c:pt idx="2628">
                  <c:v>518.6</c:v>
                </c:pt>
                <c:pt idx="2629">
                  <c:v>516.20000000000005</c:v>
                </c:pt>
                <c:pt idx="2630">
                  <c:v>515.1</c:v>
                </c:pt>
                <c:pt idx="2631">
                  <c:v>518.20000000000005</c:v>
                </c:pt>
                <c:pt idx="2632">
                  <c:v>517</c:v>
                </c:pt>
                <c:pt idx="2633">
                  <c:v>519.1</c:v>
                </c:pt>
                <c:pt idx="2634">
                  <c:v>524.29999999999995</c:v>
                </c:pt>
                <c:pt idx="2635">
                  <c:v>526.1</c:v>
                </c:pt>
                <c:pt idx="2636">
                  <c:v>531.4</c:v>
                </c:pt>
                <c:pt idx="2637">
                  <c:v>535.79999999999995</c:v>
                </c:pt>
                <c:pt idx="2638">
                  <c:v>535.29999999999995</c:v>
                </c:pt>
                <c:pt idx="2639">
                  <c:v>540.4</c:v>
                </c:pt>
                <c:pt idx="2640">
                  <c:v>542</c:v>
                </c:pt>
                <c:pt idx="2641">
                  <c:v>544.70000000000005</c:v>
                </c:pt>
                <c:pt idx="2642">
                  <c:v>547.4</c:v>
                </c:pt>
                <c:pt idx="2643">
                  <c:v>547.4</c:v>
                </c:pt>
                <c:pt idx="2644">
                  <c:v>537.20000000000005</c:v>
                </c:pt>
                <c:pt idx="2645">
                  <c:v>532.5</c:v>
                </c:pt>
                <c:pt idx="2647">
                  <c:v>401.9</c:v>
                </c:pt>
                <c:pt idx="2648">
                  <c:v>406.6</c:v>
                </c:pt>
                <c:pt idx="2649">
                  <c:v>408.1</c:v>
                </c:pt>
                <c:pt idx="2650">
                  <c:v>409.5</c:v>
                </c:pt>
                <c:pt idx="2651">
                  <c:v>408.9</c:v>
                </c:pt>
                <c:pt idx="2652">
                  <c:v>410.7</c:v>
                </c:pt>
                <c:pt idx="2653">
                  <c:v>410.6</c:v>
                </c:pt>
                <c:pt idx="2654">
                  <c:v>412.5</c:v>
                </c:pt>
                <c:pt idx="2655">
                  <c:v>415.3</c:v>
                </c:pt>
                <c:pt idx="2656">
                  <c:v>416.1</c:v>
                </c:pt>
                <c:pt idx="2657">
                  <c:v>414.6</c:v>
                </c:pt>
                <c:pt idx="2658">
                  <c:v>417.3</c:v>
                </c:pt>
                <c:pt idx="2659">
                  <c:v>417.3</c:v>
                </c:pt>
                <c:pt idx="2660">
                  <c:v>420.3</c:v>
                </c:pt>
                <c:pt idx="2661">
                  <c:v>419.9</c:v>
                </c:pt>
                <c:pt idx="2662">
                  <c:v>425.1</c:v>
                </c:pt>
                <c:pt idx="2663">
                  <c:v>427.5</c:v>
                </c:pt>
                <c:pt idx="2664">
                  <c:v>430.3</c:v>
                </c:pt>
                <c:pt idx="2665">
                  <c:v>434.2</c:v>
                </c:pt>
                <c:pt idx="2666">
                  <c:v>438.2</c:v>
                </c:pt>
                <c:pt idx="2667">
                  <c:v>445</c:v>
                </c:pt>
                <c:pt idx="2668">
                  <c:v>440.3</c:v>
                </c:pt>
                <c:pt idx="2669">
                  <c:v>437.3</c:v>
                </c:pt>
                <c:pt idx="2670">
                  <c:v>439.6</c:v>
                </c:pt>
                <c:pt idx="2671">
                  <c:v>438</c:v>
                </c:pt>
                <c:pt idx="2672">
                  <c:v>440.1</c:v>
                </c:pt>
                <c:pt idx="2673">
                  <c:v>439.3</c:v>
                </c:pt>
                <c:pt idx="2674">
                  <c:v>432.5</c:v>
                </c:pt>
                <c:pt idx="2675">
                  <c:v>434.6</c:v>
                </c:pt>
                <c:pt idx="2676">
                  <c:v>434.3</c:v>
                </c:pt>
                <c:pt idx="2677">
                  <c:v>431.2</c:v>
                </c:pt>
                <c:pt idx="2678">
                  <c:v>430</c:v>
                </c:pt>
                <c:pt idx="2679">
                  <c:v>416.5</c:v>
                </c:pt>
                <c:pt idx="2680">
                  <c:v>416.9</c:v>
                </c:pt>
                <c:pt idx="2681">
                  <c:v>412.4</c:v>
                </c:pt>
                <c:pt idx="2682">
                  <c:v>406.1</c:v>
                </c:pt>
                <c:pt idx="2683">
                  <c:v>404.3</c:v>
                </c:pt>
                <c:pt idx="2684">
                  <c:v>405.8</c:v>
                </c:pt>
                <c:pt idx="2685">
                  <c:v>403.8</c:v>
                </c:pt>
                <c:pt idx="2686">
                  <c:v>403.3</c:v>
                </c:pt>
                <c:pt idx="2687">
                  <c:v>402.5</c:v>
                </c:pt>
                <c:pt idx="2688">
                  <c:v>399.8</c:v>
                </c:pt>
                <c:pt idx="2689">
                  <c:v>402.9</c:v>
                </c:pt>
                <c:pt idx="2690">
                  <c:v>400.9</c:v>
                </c:pt>
                <c:pt idx="2691">
                  <c:v>401.9</c:v>
                </c:pt>
                <c:pt idx="2693">
                  <c:v>449.6</c:v>
                </c:pt>
                <c:pt idx="2694">
                  <c:v>448.4</c:v>
                </c:pt>
                <c:pt idx="2695">
                  <c:v>442.3</c:v>
                </c:pt>
                <c:pt idx="2696">
                  <c:v>444.1</c:v>
                </c:pt>
                <c:pt idx="2697">
                  <c:v>447.2</c:v>
                </c:pt>
                <c:pt idx="2698">
                  <c:v>444.9</c:v>
                </c:pt>
                <c:pt idx="2699">
                  <c:v>448.7</c:v>
                </c:pt>
                <c:pt idx="2700">
                  <c:v>446.4</c:v>
                </c:pt>
                <c:pt idx="2701">
                  <c:v>446.6</c:v>
                </c:pt>
                <c:pt idx="2702">
                  <c:v>444.3</c:v>
                </c:pt>
                <c:pt idx="2703">
                  <c:v>446</c:v>
                </c:pt>
                <c:pt idx="2704">
                  <c:v>444.9</c:v>
                </c:pt>
                <c:pt idx="2705">
                  <c:v>440.4</c:v>
                </c:pt>
                <c:pt idx="2706">
                  <c:v>439.2</c:v>
                </c:pt>
                <c:pt idx="2707">
                  <c:v>435.8</c:v>
                </c:pt>
                <c:pt idx="2708">
                  <c:v>432.7</c:v>
                </c:pt>
                <c:pt idx="2709">
                  <c:v>434.3</c:v>
                </c:pt>
                <c:pt idx="2710">
                  <c:v>432.8</c:v>
                </c:pt>
                <c:pt idx="2711">
                  <c:v>431.3</c:v>
                </c:pt>
                <c:pt idx="2712">
                  <c:v>427.7</c:v>
                </c:pt>
                <c:pt idx="2713">
                  <c:v>424.8</c:v>
                </c:pt>
                <c:pt idx="2714">
                  <c:v>422.4</c:v>
                </c:pt>
                <c:pt idx="2715">
                  <c:v>417.6</c:v>
                </c:pt>
                <c:pt idx="2716">
                  <c:v>414.6</c:v>
                </c:pt>
                <c:pt idx="2717">
                  <c:v>409.3</c:v>
                </c:pt>
                <c:pt idx="2718">
                  <c:v>405.1</c:v>
                </c:pt>
                <c:pt idx="2719">
                  <c:v>405.2</c:v>
                </c:pt>
                <c:pt idx="2720">
                  <c:v>401.5</c:v>
                </c:pt>
                <c:pt idx="2721">
                  <c:v>403.8</c:v>
                </c:pt>
                <c:pt idx="2722">
                  <c:v>405.8</c:v>
                </c:pt>
                <c:pt idx="2723">
                  <c:v>404.3</c:v>
                </c:pt>
                <c:pt idx="2724">
                  <c:v>405.8</c:v>
                </c:pt>
                <c:pt idx="2725">
                  <c:v>412.4</c:v>
                </c:pt>
                <c:pt idx="2726">
                  <c:v>416.9</c:v>
                </c:pt>
                <c:pt idx="2727">
                  <c:v>416.5</c:v>
                </c:pt>
                <c:pt idx="2728">
                  <c:v>430</c:v>
                </c:pt>
                <c:pt idx="2729">
                  <c:v>431.2</c:v>
                </c:pt>
                <c:pt idx="2730">
                  <c:v>434.3</c:v>
                </c:pt>
                <c:pt idx="2731">
                  <c:v>434.6</c:v>
                </c:pt>
                <c:pt idx="2732">
                  <c:v>432.5</c:v>
                </c:pt>
                <c:pt idx="2733">
                  <c:v>438.7</c:v>
                </c:pt>
                <c:pt idx="2734">
                  <c:v>439.7</c:v>
                </c:pt>
                <c:pt idx="2735">
                  <c:v>442.2</c:v>
                </c:pt>
                <c:pt idx="2736">
                  <c:v>446.2</c:v>
                </c:pt>
                <c:pt idx="2737">
                  <c:v>449.6</c:v>
                </c:pt>
                <c:pt idx="2739">
                  <c:v>391.3</c:v>
                </c:pt>
                <c:pt idx="2740">
                  <c:v>387.5</c:v>
                </c:pt>
                <c:pt idx="2741">
                  <c:v>384.4</c:v>
                </c:pt>
                <c:pt idx="2742">
                  <c:v>383</c:v>
                </c:pt>
                <c:pt idx="2743">
                  <c:v>377.9</c:v>
                </c:pt>
                <c:pt idx="2744">
                  <c:v>377</c:v>
                </c:pt>
                <c:pt idx="2745">
                  <c:v>378.8</c:v>
                </c:pt>
                <c:pt idx="2746">
                  <c:v>377.3</c:v>
                </c:pt>
                <c:pt idx="2747">
                  <c:v>378.6</c:v>
                </c:pt>
                <c:pt idx="2748">
                  <c:v>373.3</c:v>
                </c:pt>
                <c:pt idx="2749">
                  <c:v>371</c:v>
                </c:pt>
                <c:pt idx="2750">
                  <c:v>366.7</c:v>
                </c:pt>
                <c:pt idx="2751">
                  <c:v>357.9</c:v>
                </c:pt>
                <c:pt idx="2752">
                  <c:v>360.6</c:v>
                </c:pt>
                <c:pt idx="2753">
                  <c:v>362.7</c:v>
                </c:pt>
                <c:pt idx="2754">
                  <c:v>363</c:v>
                </c:pt>
                <c:pt idx="2755">
                  <c:v>365.2</c:v>
                </c:pt>
                <c:pt idx="2756">
                  <c:v>369.2</c:v>
                </c:pt>
                <c:pt idx="2757">
                  <c:v>372.8</c:v>
                </c:pt>
                <c:pt idx="2758">
                  <c:v>372.6</c:v>
                </c:pt>
                <c:pt idx="2759">
                  <c:v>375.5</c:v>
                </c:pt>
                <c:pt idx="2760">
                  <c:v>377.3</c:v>
                </c:pt>
                <c:pt idx="2761">
                  <c:v>383.4</c:v>
                </c:pt>
                <c:pt idx="2762">
                  <c:v>390.1</c:v>
                </c:pt>
                <c:pt idx="2763">
                  <c:v>389.6</c:v>
                </c:pt>
                <c:pt idx="2764">
                  <c:v>392.6</c:v>
                </c:pt>
                <c:pt idx="2765">
                  <c:v>391.3</c:v>
                </c:pt>
                <c:pt idx="2767">
                  <c:v>382.9</c:v>
                </c:pt>
                <c:pt idx="2768">
                  <c:v>377.3</c:v>
                </c:pt>
                <c:pt idx="2769">
                  <c:v>375.5</c:v>
                </c:pt>
                <c:pt idx="2770">
                  <c:v>372.6</c:v>
                </c:pt>
                <c:pt idx="2771">
                  <c:v>372.8</c:v>
                </c:pt>
                <c:pt idx="2772">
                  <c:v>369.2</c:v>
                </c:pt>
                <c:pt idx="2773">
                  <c:v>365.3</c:v>
                </c:pt>
                <c:pt idx="2774">
                  <c:v>362.2</c:v>
                </c:pt>
                <c:pt idx="2775">
                  <c:v>363</c:v>
                </c:pt>
                <c:pt idx="2776">
                  <c:v>370.7</c:v>
                </c:pt>
                <c:pt idx="2777">
                  <c:v>374.2</c:v>
                </c:pt>
                <c:pt idx="2778">
                  <c:v>379.2</c:v>
                </c:pt>
                <c:pt idx="2779">
                  <c:v>378.4</c:v>
                </c:pt>
                <c:pt idx="2780">
                  <c:v>382.7</c:v>
                </c:pt>
                <c:pt idx="2781">
                  <c:v>382.9</c:v>
                </c:pt>
                <c:pt idx="2783">
                  <c:v>392</c:v>
                </c:pt>
                <c:pt idx="2784">
                  <c:v>390.4</c:v>
                </c:pt>
                <c:pt idx="2785">
                  <c:v>383.6</c:v>
                </c:pt>
                <c:pt idx="2786">
                  <c:v>382.7</c:v>
                </c:pt>
                <c:pt idx="2787">
                  <c:v>378.4</c:v>
                </c:pt>
                <c:pt idx="2788">
                  <c:v>379.2</c:v>
                </c:pt>
                <c:pt idx="2789">
                  <c:v>374.5</c:v>
                </c:pt>
                <c:pt idx="2790">
                  <c:v>377</c:v>
                </c:pt>
                <c:pt idx="2791">
                  <c:v>382.4</c:v>
                </c:pt>
                <c:pt idx="2792">
                  <c:v>382.9</c:v>
                </c:pt>
                <c:pt idx="2793">
                  <c:v>385.9</c:v>
                </c:pt>
                <c:pt idx="2794">
                  <c:v>387.4</c:v>
                </c:pt>
                <c:pt idx="2795">
                  <c:v>388.4</c:v>
                </c:pt>
                <c:pt idx="2796">
                  <c:v>389.9</c:v>
                </c:pt>
                <c:pt idx="2797">
                  <c:v>392</c:v>
                </c:pt>
                <c:pt idx="2799">
                  <c:v>396.6</c:v>
                </c:pt>
                <c:pt idx="2800">
                  <c:v>394.1</c:v>
                </c:pt>
                <c:pt idx="2801">
                  <c:v>389.4</c:v>
                </c:pt>
                <c:pt idx="2802">
                  <c:v>383.4</c:v>
                </c:pt>
                <c:pt idx="2803">
                  <c:v>390.4</c:v>
                </c:pt>
                <c:pt idx="2804">
                  <c:v>392.1</c:v>
                </c:pt>
                <c:pt idx="2805">
                  <c:v>392.6</c:v>
                </c:pt>
                <c:pt idx="2806">
                  <c:v>395</c:v>
                </c:pt>
                <c:pt idx="2807">
                  <c:v>395.9</c:v>
                </c:pt>
                <c:pt idx="2808">
                  <c:v>394.3</c:v>
                </c:pt>
                <c:pt idx="2809">
                  <c:v>395.7</c:v>
                </c:pt>
                <c:pt idx="2810">
                  <c:v>394.7</c:v>
                </c:pt>
                <c:pt idx="2811">
                  <c:v>396.9</c:v>
                </c:pt>
                <c:pt idx="2812">
                  <c:v>398</c:v>
                </c:pt>
                <c:pt idx="2813">
                  <c:v>396.6</c:v>
                </c:pt>
                <c:pt idx="2814">
                  <c:v>398</c:v>
                </c:pt>
                <c:pt idx="2815">
                  <c:v>396.6</c:v>
                </c:pt>
                <c:pt idx="2817">
                  <c:v>379.5</c:v>
                </c:pt>
                <c:pt idx="2818">
                  <c:v>376.5</c:v>
                </c:pt>
                <c:pt idx="2819">
                  <c:v>375.1</c:v>
                </c:pt>
                <c:pt idx="2820">
                  <c:v>371.7</c:v>
                </c:pt>
                <c:pt idx="2821">
                  <c:v>370.8</c:v>
                </c:pt>
                <c:pt idx="2822">
                  <c:v>368.4</c:v>
                </c:pt>
                <c:pt idx="2823">
                  <c:v>366.2</c:v>
                </c:pt>
                <c:pt idx="2824">
                  <c:v>359.3</c:v>
                </c:pt>
                <c:pt idx="2825">
                  <c:v>356.2</c:v>
                </c:pt>
                <c:pt idx="2826">
                  <c:v>353.8</c:v>
                </c:pt>
                <c:pt idx="2827">
                  <c:v>355.8</c:v>
                </c:pt>
                <c:pt idx="2828">
                  <c:v>358.4</c:v>
                </c:pt>
                <c:pt idx="2829">
                  <c:v>358.9</c:v>
                </c:pt>
                <c:pt idx="2830">
                  <c:v>361.8</c:v>
                </c:pt>
                <c:pt idx="2831">
                  <c:v>361.2</c:v>
                </c:pt>
                <c:pt idx="2832">
                  <c:v>357.3</c:v>
                </c:pt>
                <c:pt idx="2833">
                  <c:v>358.8</c:v>
                </c:pt>
                <c:pt idx="2834">
                  <c:v>356.1</c:v>
                </c:pt>
                <c:pt idx="2835">
                  <c:v>359</c:v>
                </c:pt>
                <c:pt idx="2836">
                  <c:v>359.3</c:v>
                </c:pt>
                <c:pt idx="2837">
                  <c:v>366.7</c:v>
                </c:pt>
                <c:pt idx="2838">
                  <c:v>371</c:v>
                </c:pt>
                <c:pt idx="2839">
                  <c:v>373.3</c:v>
                </c:pt>
                <c:pt idx="2840">
                  <c:v>378.6</c:v>
                </c:pt>
                <c:pt idx="2841">
                  <c:v>377.3</c:v>
                </c:pt>
                <c:pt idx="2842">
                  <c:v>378.8</c:v>
                </c:pt>
                <c:pt idx="2843">
                  <c:v>377</c:v>
                </c:pt>
                <c:pt idx="2844">
                  <c:v>379.5</c:v>
                </c:pt>
                <c:pt idx="2846">
                  <c:v>361.7</c:v>
                </c:pt>
                <c:pt idx="2847">
                  <c:v>360.8</c:v>
                </c:pt>
                <c:pt idx="2848">
                  <c:v>358.9</c:v>
                </c:pt>
                <c:pt idx="2849">
                  <c:v>358.4</c:v>
                </c:pt>
                <c:pt idx="2850">
                  <c:v>355.8</c:v>
                </c:pt>
                <c:pt idx="2851">
                  <c:v>355.7</c:v>
                </c:pt>
                <c:pt idx="2852">
                  <c:v>352.6</c:v>
                </c:pt>
                <c:pt idx="2853">
                  <c:v>347.9</c:v>
                </c:pt>
                <c:pt idx="2854">
                  <c:v>345</c:v>
                </c:pt>
                <c:pt idx="2855">
                  <c:v>342.6</c:v>
                </c:pt>
                <c:pt idx="2856">
                  <c:v>343.5</c:v>
                </c:pt>
                <c:pt idx="2857">
                  <c:v>338.1</c:v>
                </c:pt>
                <c:pt idx="2858">
                  <c:v>338</c:v>
                </c:pt>
                <c:pt idx="2859">
                  <c:v>332.1</c:v>
                </c:pt>
                <c:pt idx="2860">
                  <c:v>333.6</c:v>
                </c:pt>
                <c:pt idx="2861">
                  <c:v>338.7</c:v>
                </c:pt>
                <c:pt idx="2862">
                  <c:v>338</c:v>
                </c:pt>
                <c:pt idx="2863">
                  <c:v>340.8</c:v>
                </c:pt>
                <c:pt idx="2864">
                  <c:v>339.4</c:v>
                </c:pt>
                <c:pt idx="2865">
                  <c:v>341.9</c:v>
                </c:pt>
                <c:pt idx="2866">
                  <c:v>355.6</c:v>
                </c:pt>
                <c:pt idx="2867">
                  <c:v>356.7</c:v>
                </c:pt>
                <c:pt idx="2868">
                  <c:v>358.8</c:v>
                </c:pt>
                <c:pt idx="2869">
                  <c:v>357.3</c:v>
                </c:pt>
                <c:pt idx="2870">
                  <c:v>361.7</c:v>
                </c:pt>
                <c:pt idx="2872">
                  <c:v>347.8</c:v>
                </c:pt>
                <c:pt idx="2873">
                  <c:v>343.3</c:v>
                </c:pt>
                <c:pt idx="2874">
                  <c:v>343.3</c:v>
                </c:pt>
                <c:pt idx="2875">
                  <c:v>346.3</c:v>
                </c:pt>
                <c:pt idx="2876">
                  <c:v>344.5</c:v>
                </c:pt>
                <c:pt idx="2877">
                  <c:v>340.9</c:v>
                </c:pt>
                <c:pt idx="2878">
                  <c:v>342.6</c:v>
                </c:pt>
                <c:pt idx="2879">
                  <c:v>341.4</c:v>
                </c:pt>
                <c:pt idx="2880">
                  <c:v>339.6</c:v>
                </c:pt>
                <c:pt idx="2881">
                  <c:v>335.4</c:v>
                </c:pt>
                <c:pt idx="2882">
                  <c:v>334.7</c:v>
                </c:pt>
                <c:pt idx="2883">
                  <c:v>336.3</c:v>
                </c:pt>
                <c:pt idx="2884">
                  <c:v>335.1</c:v>
                </c:pt>
                <c:pt idx="2885">
                  <c:v>330.5</c:v>
                </c:pt>
                <c:pt idx="2886">
                  <c:v>326.39999999999998</c:v>
                </c:pt>
                <c:pt idx="2887">
                  <c:v>321.3</c:v>
                </c:pt>
                <c:pt idx="2888">
                  <c:v>316.10000000000002</c:v>
                </c:pt>
                <c:pt idx="2889">
                  <c:v>317.89999999999998</c:v>
                </c:pt>
                <c:pt idx="2890">
                  <c:v>315</c:v>
                </c:pt>
                <c:pt idx="2891">
                  <c:v>316.39999999999998</c:v>
                </c:pt>
                <c:pt idx="2892">
                  <c:v>317.5</c:v>
                </c:pt>
                <c:pt idx="2893">
                  <c:v>320.39999999999998</c:v>
                </c:pt>
                <c:pt idx="2894">
                  <c:v>317.8</c:v>
                </c:pt>
                <c:pt idx="2895">
                  <c:v>328.2</c:v>
                </c:pt>
                <c:pt idx="2896">
                  <c:v>333.2</c:v>
                </c:pt>
                <c:pt idx="2897">
                  <c:v>332.1</c:v>
                </c:pt>
                <c:pt idx="2898">
                  <c:v>338.5</c:v>
                </c:pt>
                <c:pt idx="2899">
                  <c:v>338.1</c:v>
                </c:pt>
                <c:pt idx="2900">
                  <c:v>342.7</c:v>
                </c:pt>
                <c:pt idx="2901">
                  <c:v>342.6</c:v>
                </c:pt>
                <c:pt idx="2902">
                  <c:v>345</c:v>
                </c:pt>
                <c:pt idx="2903">
                  <c:v>347.8</c:v>
                </c:pt>
                <c:pt idx="2905">
                  <c:v>423.1</c:v>
                </c:pt>
                <c:pt idx="2906">
                  <c:v>418.1</c:v>
                </c:pt>
                <c:pt idx="2907">
                  <c:v>416.4</c:v>
                </c:pt>
                <c:pt idx="2908">
                  <c:v>414.3</c:v>
                </c:pt>
                <c:pt idx="2909">
                  <c:v>407.9</c:v>
                </c:pt>
                <c:pt idx="2910">
                  <c:v>404.3</c:v>
                </c:pt>
                <c:pt idx="2911">
                  <c:v>403.2</c:v>
                </c:pt>
                <c:pt idx="2912">
                  <c:v>401.1</c:v>
                </c:pt>
                <c:pt idx="2913">
                  <c:v>398</c:v>
                </c:pt>
                <c:pt idx="2914">
                  <c:v>396.6</c:v>
                </c:pt>
                <c:pt idx="2915">
                  <c:v>398</c:v>
                </c:pt>
                <c:pt idx="2916">
                  <c:v>397.6</c:v>
                </c:pt>
                <c:pt idx="2917">
                  <c:v>394.7</c:v>
                </c:pt>
                <c:pt idx="2918">
                  <c:v>395.6</c:v>
                </c:pt>
                <c:pt idx="2919">
                  <c:v>401.7</c:v>
                </c:pt>
                <c:pt idx="2920">
                  <c:v>403.5</c:v>
                </c:pt>
                <c:pt idx="2921">
                  <c:v>406.1</c:v>
                </c:pt>
                <c:pt idx="2922">
                  <c:v>406.6</c:v>
                </c:pt>
                <c:pt idx="2923">
                  <c:v>409.4</c:v>
                </c:pt>
                <c:pt idx="2924">
                  <c:v>410.3</c:v>
                </c:pt>
                <c:pt idx="2925">
                  <c:v>412.8</c:v>
                </c:pt>
                <c:pt idx="2926">
                  <c:v>414.4</c:v>
                </c:pt>
                <c:pt idx="2927">
                  <c:v>416.7</c:v>
                </c:pt>
                <c:pt idx="2928">
                  <c:v>416.3</c:v>
                </c:pt>
                <c:pt idx="2929">
                  <c:v>418.3</c:v>
                </c:pt>
                <c:pt idx="2930">
                  <c:v>420</c:v>
                </c:pt>
                <c:pt idx="2931">
                  <c:v>421.5</c:v>
                </c:pt>
                <c:pt idx="2932">
                  <c:v>423.1</c:v>
                </c:pt>
                <c:pt idx="2934">
                  <c:v>415.4</c:v>
                </c:pt>
                <c:pt idx="2935">
                  <c:v>415.3</c:v>
                </c:pt>
                <c:pt idx="2936">
                  <c:v>412.5</c:v>
                </c:pt>
                <c:pt idx="2937">
                  <c:v>410.6</c:v>
                </c:pt>
                <c:pt idx="2938">
                  <c:v>410.7</c:v>
                </c:pt>
                <c:pt idx="2939">
                  <c:v>408.9</c:v>
                </c:pt>
                <c:pt idx="2940">
                  <c:v>409.5</c:v>
                </c:pt>
                <c:pt idx="2941">
                  <c:v>408.1</c:v>
                </c:pt>
                <c:pt idx="2942">
                  <c:v>406.6</c:v>
                </c:pt>
                <c:pt idx="2943">
                  <c:v>401.9</c:v>
                </c:pt>
                <c:pt idx="2944">
                  <c:v>401</c:v>
                </c:pt>
                <c:pt idx="2945">
                  <c:v>403</c:v>
                </c:pt>
                <c:pt idx="2946">
                  <c:v>402</c:v>
                </c:pt>
                <c:pt idx="2947">
                  <c:v>394.5</c:v>
                </c:pt>
                <c:pt idx="2948">
                  <c:v>390.2</c:v>
                </c:pt>
                <c:pt idx="2949">
                  <c:v>392.6</c:v>
                </c:pt>
                <c:pt idx="2950">
                  <c:v>391.3</c:v>
                </c:pt>
                <c:pt idx="2951">
                  <c:v>393.4</c:v>
                </c:pt>
                <c:pt idx="2952">
                  <c:v>388.4</c:v>
                </c:pt>
                <c:pt idx="2953">
                  <c:v>388.8</c:v>
                </c:pt>
                <c:pt idx="2954">
                  <c:v>387.5</c:v>
                </c:pt>
                <c:pt idx="2955">
                  <c:v>387</c:v>
                </c:pt>
                <c:pt idx="2956">
                  <c:v>384.3</c:v>
                </c:pt>
                <c:pt idx="2957">
                  <c:v>378.7</c:v>
                </c:pt>
                <c:pt idx="2958">
                  <c:v>384.7</c:v>
                </c:pt>
                <c:pt idx="2959">
                  <c:v>382.2</c:v>
                </c:pt>
                <c:pt idx="2960">
                  <c:v>379.9</c:v>
                </c:pt>
                <c:pt idx="2961">
                  <c:v>379</c:v>
                </c:pt>
                <c:pt idx="2962">
                  <c:v>384.4</c:v>
                </c:pt>
                <c:pt idx="2963">
                  <c:v>387.5</c:v>
                </c:pt>
                <c:pt idx="2964">
                  <c:v>390.4</c:v>
                </c:pt>
                <c:pt idx="2965">
                  <c:v>392.8</c:v>
                </c:pt>
                <c:pt idx="2966">
                  <c:v>395.9</c:v>
                </c:pt>
                <c:pt idx="2967">
                  <c:v>406.2</c:v>
                </c:pt>
                <c:pt idx="2968">
                  <c:v>405.7</c:v>
                </c:pt>
                <c:pt idx="2969">
                  <c:v>408.8</c:v>
                </c:pt>
                <c:pt idx="2970">
                  <c:v>408.9</c:v>
                </c:pt>
                <c:pt idx="2971">
                  <c:v>411.6</c:v>
                </c:pt>
                <c:pt idx="2972">
                  <c:v>411.9</c:v>
                </c:pt>
                <c:pt idx="2973">
                  <c:v>413.6</c:v>
                </c:pt>
                <c:pt idx="2974">
                  <c:v>416</c:v>
                </c:pt>
                <c:pt idx="2975">
                  <c:v>415.4</c:v>
                </c:pt>
                <c:pt idx="2977">
                  <c:v>436.9</c:v>
                </c:pt>
                <c:pt idx="2978">
                  <c:v>436.6</c:v>
                </c:pt>
                <c:pt idx="2979">
                  <c:v>434.3</c:v>
                </c:pt>
                <c:pt idx="2980">
                  <c:v>430.3</c:v>
                </c:pt>
                <c:pt idx="2981">
                  <c:v>427.5</c:v>
                </c:pt>
                <c:pt idx="2982">
                  <c:v>425.1</c:v>
                </c:pt>
                <c:pt idx="2983">
                  <c:v>419.9</c:v>
                </c:pt>
                <c:pt idx="2984">
                  <c:v>420.3</c:v>
                </c:pt>
                <c:pt idx="2985">
                  <c:v>417.3</c:v>
                </c:pt>
                <c:pt idx="2986">
                  <c:v>417.3</c:v>
                </c:pt>
                <c:pt idx="2987">
                  <c:v>414.6</c:v>
                </c:pt>
                <c:pt idx="2988">
                  <c:v>415</c:v>
                </c:pt>
                <c:pt idx="2989">
                  <c:v>413.6</c:v>
                </c:pt>
                <c:pt idx="2990">
                  <c:v>411.9</c:v>
                </c:pt>
                <c:pt idx="2991">
                  <c:v>411.6</c:v>
                </c:pt>
                <c:pt idx="2992">
                  <c:v>408.9</c:v>
                </c:pt>
                <c:pt idx="2993">
                  <c:v>408.8</c:v>
                </c:pt>
                <c:pt idx="2994">
                  <c:v>405.7</c:v>
                </c:pt>
                <c:pt idx="2995">
                  <c:v>406.8</c:v>
                </c:pt>
                <c:pt idx="2996">
                  <c:v>403.8</c:v>
                </c:pt>
                <c:pt idx="2997">
                  <c:v>406.5</c:v>
                </c:pt>
                <c:pt idx="2998">
                  <c:v>405.9</c:v>
                </c:pt>
                <c:pt idx="2999">
                  <c:v>408.2</c:v>
                </c:pt>
                <c:pt idx="3000">
                  <c:v>414.3</c:v>
                </c:pt>
                <c:pt idx="3001">
                  <c:v>416.4</c:v>
                </c:pt>
                <c:pt idx="3002">
                  <c:v>423.1</c:v>
                </c:pt>
                <c:pt idx="3003">
                  <c:v>427.6</c:v>
                </c:pt>
                <c:pt idx="3004">
                  <c:v>427</c:v>
                </c:pt>
                <c:pt idx="3005">
                  <c:v>428.1</c:v>
                </c:pt>
                <c:pt idx="3006">
                  <c:v>426.3</c:v>
                </c:pt>
                <c:pt idx="3007">
                  <c:v>430</c:v>
                </c:pt>
                <c:pt idx="3008">
                  <c:v>429.2</c:v>
                </c:pt>
                <c:pt idx="3009">
                  <c:v>431.3</c:v>
                </c:pt>
                <c:pt idx="3010">
                  <c:v>432.6</c:v>
                </c:pt>
                <c:pt idx="3011">
                  <c:v>438.6</c:v>
                </c:pt>
                <c:pt idx="3012">
                  <c:v>436.9</c:v>
                </c:pt>
                <c:pt idx="3014">
                  <c:v>438.4</c:v>
                </c:pt>
                <c:pt idx="3015">
                  <c:v>435.7</c:v>
                </c:pt>
                <c:pt idx="3016">
                  <c:v>432.9</c:v>
                </c:pt>
                <c:pt idx="3017">
                  <c:v>433.7</c:v>
                </c:pt>
                <c:pt idx="3018">
                  <c:v>435.4</c:v>
                </c:pt>
                <c:pt idx="3019">
                  <c:v>431.5</c:v>
                </c:pt>
                <c:pt idx="3020">
                  <c:v>430.1</c:v>
                </c:pt>
                <c:pt idx="3021">
                  <c:v>431.3</c:v>
                </c:pt>
                <c:pt idx="3022">
                  <c:v>428.9</c:v>
                </c:pt>
                <c:pt idx="3023">
                  <c:v>426.2</c:v>
                </c:pt>
                <c:pt idx="3024">
                  <c:v>427.5</c:v>
                </c:pt>
                <c:pt idx="3025">
                  <c:v>426.5</c:v>
                </c:pt>
                <c:pt idx="3026">
                  <c:v>421.6</c:v>
                </c:pt>
                <c:pt idx="3027">
                  <c:v>416.6</c:v>
                </c:pt>
                <c:pt idx="3028">
                  <c:v>414</c:v>
                </c:pt>
                <c:pt idx="3029">
                  <c:v>408.5</c:v>
                </c:pt>
                <c:pt idx="3030">
                  <c:v>407</c:v>
                </c:pt>
                <c:pt idx="3031">
                  <c:v>404.9</c:v>
                </c:pt>
                <c:pt idx="3032">
                  <c:v>401.5</c:v>
                </c:pt>
                <c:pt idx="3033">
                  <c:v>400.4</c:v>
                </c:pt>
                <c:pt idx="3034">
                  <c:v>402</c:v>
                </c:pt>
                <c:pt idx="3035">
                  <c:v>406.2</c:v>
                </c:pt>
                <c:pt idx="3036">
                  <c:v>408</c:v>
                </c:pt>
                <c:pt idx="3037">
                  <c:v>414.6</c:v>
                </c:pt>
                <c:pt idx="3038">
                  <c:v>417.6</c:v>
                </c:pt>
                <c:pt idx="3039">
                  <c:v>422.4</c:v>
                </c:pt>
                <c:pt idx="3040">
                  <c:v>424.8</c:v>
                </c:pt>
                <c:pt idx="3041">
                  <c:v>427.7</c:v>
                </c:pt>
                <c:pt idx="3042">
                  <c:v>431.3</c:v>
                </c:pt>
                <c:pt idx="3043">
                  <c:v>432.8</c:v>
                </c:pt>
                <c:pt idx="3044">
                  <c:v>434.3</c:v>
                </c:pt>
                <c:pt idx="3045">
                  <c:v>432.7</c:v>
                </c:pt>
                <c:pt idx="3046">
                  <c:v>437.5</c:v>
                </c:pt>
                <c:pt idx="3047">
                  <c:v>438.9</c:v>
                </c:pt>
                <c:pt idx="3048">
                  <c:v>438.4</c:v>
                </c:pt>
                <c:pt idx="3050">
                  <c:v>406.7</c:v>
                </c:pt>
                <c:pt idx="3051">
                  <c:v>406.5</c:v>
                </c:pt>
                <c:pt idx="3052">
                  <c:v>403.8</c:v>
                </c:pt>
                <c:pt idx="3053">
                  <c:v>404.9</c:v>
                </c:pt>
                <c:pt idx="3054">
                  <c:v>402.2</c:v>
                </c:pt>
                <c:pt idx="3055">
                  <c:v>400.3</c:v>
                </c:pt>
                <c:pt idx="3056">
                  <c:v>397.9</c:v>
                </c:pt>
                <c:pt idx="3057">
                  <c:v>392.9</c:v>
                </c:pt>
                <c:pt idx="3058">
                  <c:v>392.6</c:v>
                </c:pt>
                <c:pt idx="3059">
                  <c:v>389.6</c:v>
                </c:pt>
                <c:pt idx="3060">
                  <c:v>390.2</c:v>
                </c:pt>
                <c:pt idx="3061">
                  <c:v>394.1</c:v>
                </c:pt>
                <c:pt idx="3062">
                  <c:v>401.1</c:v>
                </c:pt>
                <c:pt idx="3063">
                  <c:v>402.5</c:v>
                </c:pt>
                <c:pt idx="3064">
                  <c:v>406.7</c:v>
                </c:pt>
                <c:pt idx="3066">
                  <c:v>409.9</c:v>
                </c:pt>
                <c:pt idx="3067">
                  <c:v>406.6</c:v>
                </c:pt>
                <c:pt idx="3068">
                  <c:v>406.1</c:v>
                </c:pt>
                <c:pt idx="3069">
                  <c:v>403.5</c:v>
                </c:pt>
                <c:pt idx="3070">
                  <c:v>400.1</c:v>
                </c:pt>
                <c:pt idx="3071">
                  <c:v>398.3</c:v>
                </c:pt>
                <c:pt idx="3072">
                  <c:v>395.6</c:v>
                </c:pt>
                <c:pt idx="3073">
                  <c:v>394.3</c:v>
                </c:pt>
                <c:pt idx="3074">
                  <c:v>396</c:v>
                </c:pt>
                <c:pt idx="3075">
                  <c:v>395.1</c:v>
                </c:pt>
                <c:pt idx="3076">
                  <c:v>393</c:v>
                </c:pt>
                <c:pt idx="3077">
                  <c:v>392</c:v>
                </c:pt>
                <c:pt idx="3078">
                  <c:v>389.9</c:v>
                </c:pt>
                <c:pt idx="3079">
                  <c:v>388.3</c:v>
                </c:pt>
                <c:pt idx="3080">
                  <c:v>392.9</c:v>
                </c:pt>
                <c:pt idx="3081">
                  <c:v>390.3</c:v>
                </c:pt>
                <c:pt idx="3082">
                  <c:v>388.3</c:v>
                </c:pt>
                <c:pt idx="3083">
                  <c:v>388.3</c:v>
                </c:pt>
                <c:pt idx="3084">
                  <c:v>380.7</c:v>
                </c:pt>
                <c:pt idx="3085">
                  <c:v>383.2</c:v>
                </c:pt>
                <c:pt idx="3086">
                  <c:v>384.9</c:v>
                </c:pt>
                <c:pt idx="3087">
                  <c:v>383</c:v>
                </c:pt>
                <c:pt idx="3088">
                  <c:v>384.6</c:v>
                </c:pt>
                <c:pt idx="3089">
                  <c:v>388.2</c:v>
                </c:pt>
                <c:pt idx="3090">
                  <c:v>390.5</c:v>
                </c:pt>
                <c:pt idx="3091">
                  <c:v>396</c:v>
                </c:pt>
                <c:pt idx="3092">
                  <c:v>396.2</c:v>
                </c:pt>
                <c:pt idx="3093">
                  <c:v>398.5</c:v>
                </c:pt>
                <c:pt idx="3094">
                  <c:v>399.7</c:v>
                </c:pt>
                <c:pt idx="3095">
                  <c:v>402</c:v>
                </c:pt>
                <c:pt idx="3096">
                  <c:v>400.6</c:v>
                </c:pt>
                <c:pt idx="3097">
                  <c:v>405.1</c:v>
                </c:pt>
                <c:pt idx="3098">
                  <c:v>405.5</c:v>
                </c:pt>
                <c:pt idx="3099">
                  <c:v>408.7</c:v>
                </c:pt>
                <c:pt idx="3100">
                  <c:v>409.9</c:v>
                </c:pt>
                <c:pt idx="3102">
                  <c:v>402.1</c:v>
                </c:pt>
                <c:pt idx="3103">
                  <c:v>400.5</c:v>
                </c:pt>
                <c:pt idx="3104">
                  <c:v>402</c:v>
                </c:pt>
                <c:pt idx="3105">
                  <c:v>399.7</c:v>
                </c:pt>
                <c:pt idx="3106">
                  <c:v>399</c:v>
                </c:pt>
                <c:pt idx="3107">
                  <c:v>399.7</c:v>
                </c:pt>
                <c:pt idx="3108">
                  <c:v>406.1</c:v>
                </c:pt>
                <c:pt idx="3109">
                  <c:v>406.9</c:v>
                </c:pt>
                <c:pt idx="3110">
                  <c:v>412.4</c:v>
                </c:pt>
                <c:pt idx="3111">
                  <c:v>415.2</c:v>
                </c:pt>
                <c:pt idx="3112">
                  <c:v>415.6</c:v>
                </c:pt>
                <c:pt idx="3113">
                  <c:v>418.7</c:v>
                </c:pt>
                <c:pt idx="3114">
                  <c:v>417.8</c:v>
                </c:pt>
                <c:pt idx="3115">
                  <c:v>416.5</c:v>
                </c:pt>
                <c:pt idx="3116">
                  <c:v>414.3</c:v>
                </c:pt>
                <c:pt idx="3117">
                  <c:v>413.4</c:v>
                </c:pt>
                <c:pt idx="3118">
                  <c:v>410.1</c:v>
                </c:pt>
                <c:pt idx="3119">
                  <c:v>407.4</c:v>
                </c:pt>
                <c:pt idx="3120">
                  <c:v>405.5</c:v>
                </c:pt>
                <c:pt idx="3121">
                  <c:v>405.1</c:v>
                </c:pt>
                <c:pt idx="3122">
                  <c:v>402.1</c:v>
                </c:pt>
                <c:pt idx="3124">
                  <c:v>383.8</c:v>
                </c:pt>
                <c:pt idx="3125">
                  <c:v>384.5</c:v>
                </c:pt>
                <c:pt idx="3126">
                  <c:v>383</c:v>
                </c:pt>
                <c:pt idx="3127">
                  <c:v>384.6</c:v>
                </c:pt>
                <c:pt idx="3128">
                  <c:v>379.2</c:v>
                </c:pt>
                <c:pt idx="3129">
                  <c:v>376.3</c:v>
                </c:pt>
                <c:pt idx="3130">
                  <c:v>372.7</c:v>
                </c:pt>
                <c:pt idx="3131">
                  <c:v>372.3</c:v>
                </c:pt>
                <c:pt idx="3132">
                  <c:v>370</c:v>
                </c:pt>
                <c:pt idx="3133">
                  <c:v>368.7</c:v>
                </c:pt>
                <c:pt idx="3134">
                  <c:v>366.6</c:v>
                </c:pt>
                <c:pt idx="3135">
                  <c:v>361.2</c:v>
                </c:pt>
                <c:pt idx="3136">
                  <c:v>357.6</c:v>
                </c:pt>
                <c:pt idx="3137">
                  <c:v>358.5</c:v>
                </c:pt>
                <c:pt idx="3138">
                  <c:v>349.2</c:v>
                </c:pt>
                <c:pt idx="3139">
                  <c:v>351.5</c:v>
                </c:pt>
                <c:pt idx="3140">
                  <c:v>346.8</c:v>
                </c:pt>
                <c:pt idx="3141">
                  <c:v>350.5</c:v>
                </c:pt>
                <c:pt idx="3142">
                  <c:v>343.6</c:v>
                </c:pt>
                <c:pt idx="3143">
                  <c:v>346.2</c:v>
                </c:pt>
                <c:pt idx="3144">
                  <c:v>349.1</c:v>
                </c:pt>
                <c:pt idx="3145">
                  <c:v>349.9</c:v>
                </c:pt>
                <c:pt idx="3146">
                  <c:v>354.2</c:v>
                </c:pt>
                <c:pt idx="3147">
                  <c:v>356.6</c:v>
                </c:pt>
                <c:pt idx="3148">
                  <c:v>361.1</c:v>
                </c:pt>
                <c:pt idx="3149">
                  <c:v>364.1</c:v>
                </c:pt>
                <c:pt idx="3150">
                  <c:v>362.9</c:v>
                </c:pt>
                <c:pt idx="3151">
                  <c:v>369.1</c:v>
                </c:pt>
                <c:pt idx="3152">
                  <c:v>386.3</c:v>
                </c:pt>
                <c:pt idx="3153">
                  <c:v>387.1</c:v>
                </c:pt>
                <c:pt idx="3154">
                  <c:v>383.8</c:v>
                </c:pt>
                <c:pt idx="3156">
                  <c:v>339</c:v>
                </c:pt>
                <c:pt idx="3157">
                  <c:v>338.1</c:v>
                </c:pt>
                <c:pt idx="3158">
                  <c:v>337.8</c:v>
                </c:pt>
                <c:pt idx="3159">
                  <c:v>339</c:v>
                </c:pt>
                <c:pt idx="3161">
                  <c:v>352.1</c:v>
                </c:pt>
                <c:pt idx="3162">
                  <c:v>349.9</c:v>
                </c:pt>
                <c:pt idx="3163">
                  <c:v>349</c:v>
                </c:pt>
                <c:pt idx="3164">
                  <c:v>352.1</c:v>
                </c:pt>
                <c:pt idx="3166">
                  <c:v>352</c:v>
                </c:pt>
                <c:pt idx="3167">
                  <c:v>353.3</c:v>
                </c:pt>
                <c:pt idx="3168">
                  <c:v>354.4</c:v>
                </c:pt>
                <c:pt idx="3169">
                  <c:v>353.8</c:v>
                </c:pt>
                <c:pt idx="3170">
                  <c:v>355</c:v>
                </c:pt>
                <c:pt idx="3171">
                  <c:v>355.2</c:v>
                </c:pt>
                <c:pt idx="3172">
                  <c:v>353.5</c:v>
                </c:pt>
                <c:pt idx="3173">
                  <c:v>352</c:v>
                </c:pt>
                <c:pt idx="3175">
                  <c:v>369.9</c:v>
                </c:pt>
                <c:pt idx="3176">
                  <c:v>368.2</c:v>
                </c:pt>
                <c:pt idx="3177">
                  <c:v>368.7</c:v>
                </c:pt>
                <c:pt idx="3178">
                  <c:v>366.5</c:v>
                </c:pt>
                <c:pt idx="3179">
                  <c:v>365.1</c:v>
                </c:pt>
                <c:pt idx="3180">
                  <c:v>366</c:v>
                </c:pt>
                <c:pt idx="3181">
                  <c:v>363</c:v>
                </c:pt>
                <c:pt idx="3182">
                  <c:v>361.3</c:v>
                </c:pt>
                <c:pt idx="3183">
                  <c:v>364</c:v>
                </c:pt>
                <c:pt idx="3184">
                  <c:v>362.5</c:v>
                </c:pt>
                <c:pt idx="3185">
                  <c:v>364.7</c:v>
                </c:pt>
                <c:pt idx="3186">
                  <c:v>364.4</c:v>
                </c:pt>
                <c:pt idx="3187">
                  <c:v>366.1</c:v>
                </c:pt>
                <c:pt idx="3188">
                  <c:v>362.1</c:v>
                </c:pt>
                <c:pt idx="3189">
                  <c:v>358</c:v>
                </c:pt>
                <c:pt idx="3190">
                  <c:v>354.2</c:v>
                </c:pt>
                <c:pt idx="3191">
                  <c:v>349.1</c:v>
                </c:pt>
                <c:pt idx="3192">
                  <c:v>342.7</c:v>
                </c:pt>
                <c:pt idx="3193">
                  <c:v>341.1</c:v>
                </c:pt>
                <c:pt idx="3194">
                  <c:v>339.8</c:v>
                </c:pt>
                <c:pt idx="3195">
                  <c:v>332.7</c:v>
                </c:pt>
                <c:pt idx="3196">
                  <c:v>333.9</c:v>
                </c:pt>
                <c:pt idx="3197">
                  <c:v>335.4</c:v>
                </c:pt>
                <c:pt idx="3198">
                  <c:v>339.4</c:v>
                </c:pt>
                <c:pt idx="3199">
                  <c:v>342.4</c:v>
                </c:pt>
                <c:pt idx="3200">
                  <c:v>349.3</c:v>
                </c:pt>
                <c:pt idx="3201">
                  <c:v>351.6</c:v>
                </c:pt>
                <c:pt idx="3202">
                  <c:v>354.7</c:v>
                </c:pt>
                <c:pt idx="3203">
                  <c:v>355.5</c:v>
                </c:pt>
                <c:pt idx="3204">
                  <c:v>355.3</c:v>
                </c:pt>
                <c:pt idx="3205">
                  <c:v>359.7</c:v>
                </c:pt>
                <c:pt idx="3206">
                  <c:v>361.3</c:v>
                </c:pt>
                <c:pt idx="3207">
                  <c:v>360.5</c:v>
                </c:pt>
                <c:pt idx="3208">
                  <c:v>362.8</c:v>
                </c:pt>
                <c:pt idx="3209">
                  <c:v>369.3</c:v>
                </c:pt>
                <c:pt idx="3210">
                  <c:v>369.9</c:v>
                </c:pt>
                <c:pt idx="3212">
                  <c:v>414.7</c:v>
                </c:pt>
                <c:pt idx="3213">
                  <c:v>412.3</c:v>
                </c:pt>
                <c:pt idx="3214">
                  <c:v>406.9</c:v>
                </c:pt>
                <c:pt idx="3215">
                  <c:v>406.1</c:v>
                </c:pt>
                <c:pt idx="3216">
                  <c:v>399.7</c:v>
                </c:pt>
                <c:pt idx="3217">
                  <c:v>399.9</c:v>
                </c:pt>
                <c:pt idx="3218">
                  <c:v>396.5</c:v>
                </c:pt>
                <c:pt idx="3219">
                  <c:v>396</c:v>
                </c:pt>
                <c:pt idx="3220">
                  <c:v>390.5</c:v>
                </c:pt>
                <c:pt idx="3221">
                  <c:v>389.7</c:v>
                </c:pt>
                <c:pt idx="3222">
                  <c:v>383.8</c:v>
                </c:pt>
                <c:pt idx="3223">
                  <c:v>388.7</c:v>
                </c:pt>
                <c:pt idx="3224">
                  <c:v>389.6</c:v>
                </c:pt>
                <c:pt idx="3225">
                  <c:v>391.9</c:v>
                </c:pt>
                <c:pt idx="3226">
                  <c:v>392.5</c:v>
                </c:pt>
                <c:pt idx="3227">
                  <c:v>396.1</c:v>
                </c:pt>
                <c:pt idx="3228">
                  <c:v>398.7</c:v>
                </c:pt>
                <c:pt idx="3229">
                  <c:v>399.5</c:v>
                </c:pt>
                <c:pt idx="3230">
                  <c:v>403.6</c:v>
                </c:pt>
                <c:pt idx="3231">
                  <c:v>409.3</c:v>
                </c:pt>
                <c:pt idx="3232">
                  <c:v>409.8</c:v>
                </c:pt>
                <c:pt idx="3233">
                  <c:v>411.7</c:v>
                </c:pt>
                <c:pt idx="3234">
                  <c:v>414.8</c:v>
                </c:pt>
                <c:pt idx="3235">
                  <c:v>414.7</c:v>
                </c:pt>
                <c:pt idx="3237">
                  <c:v>409.6</c:v>
                </c:pt>
                <c:pt idx="3238">
                  <c:v>411.2</c:v>
                </c:pt>
                <c:pt idx="3239">
                  <c:v>411.1</c:v>
                </c:pt>
                <c:pt idx="3240">
                  <c:v>413.1</c:v>
                </c:pt>
                <c:pt idx="3241">
                  <c:v>415</c:v>
                </c:pt>
                <c:pt idx="3242">
                  <c:v>413.9</c:v>
                </c:pt>
                <c:pt idx="3243">
                  <c:v>415.9</c:v>
                </c:pt>
                <c:pt idx="3244">
                  <c:v>415.2</c:v>
                </c:pt>
                <c:pt idx="3245">
                  <c:v>418.9</c:v>
                </c:pt>
                <c:pt idx="3246">
                  <c:v>417.5</c:v>
                </c:pt>
                <c:pt idx="3247">
                  <c:v>418.8</c:v>
                </c:pt>
                <c:pt idx="3248">
                  <c:v>420.2</c:v>
                </c:pt>
                <c:pt idx="3249">
                  <c:v>421.8</c:v>
                </c:pt>
                <c:pt idx="3250">
                  <c:v>424</c:v>
                </c:pt>
                <c:pt idx="3251">
                  <c:v>422.2</c:v>
                </c:pt>
                <c:pt idx="3252">
                  <c:v>415.6</c:v>
                </c:pt>
                <c:pt idx="3253">
                  <c:v>408.9</c:v>
                </c:pt>
                <c:pt idx="3254">
                  <c:v>407.8</c:v>
                </c:pt>
                <c:pt idx="3255">
                  <c:v>403.1</c:v>
                </c:pt>
                <c:pt idx="3256">
                  <c:v>402.9</c:v>
                </c:pt>
                <c:pt idx="3257">
                  <c:v>404.3</c:v>
                </c:pt>
                <c:pt idx="3258">
                  <c:v>402</c:v>
                </c:pt>
                <c:pt idx="3259">
                  <c:v>401.5</c:v>
                </c:pt>
                <c:pt idx="3260">
                  <c:v>397.5</c:v>
                </c:pt>
                <c:pt idx="3261">
                  <c:v>394.8</c:v>
                </c:pt>
                <c:pt idx="3262">
                  <c:v>395.6</c:v>
                </c:pt>
                <c:pt idx="3263">
                  <c:v>393.8</c:v>
                </c:pt>
                <c:pt idx="3264">
                  <c:v>392.9</c:v>
                </c:pt>
                <c:pt idx="3265">
                  <c:v>389.8</c:v>
                </c:pt>
                <c:pt idx="3266">
                  <c:v>384.5</c:v>
                </c:pt>
                <c:pt idx="3267">
                  <c:v>381.3</c:v>
                </c:pt>
                <c:pt idx="3268">
                  <c:v>378.6</c:v>
                </c:pt>
                <c:pt idx="3269">
                  <c:v>381.2</c:v>
                </c:pt>
                <c:pt idx="3270">
                  <c:v>394</c:v>
                </c:pt>
                <c:pt idx="3271">
                  <c:v>399.1</c:v>
                </c:pt>
                <c:pt idx="3272">
                  <c:v>404.8</c:v>
                </c:pt>
                <c:pt idx="3273">
                  <c:v>406.8</c:v>
                </c:pt>
                <c:pt idx="3274">
                  <c:v>406.8</c:v>
                </c:pt>
                <c:pt idx="3275">
                  <c:v>405.2</c:v>
                </c:pt>
                <c:pt idx="3276">
                  <c:v>403.4</c:v>
                </c:pt>
                <c:pt idx="3277">
                  <c:v>408.5</c:v>
                </c:pt>
                <c:pt idx="3278">
                  <c:v>409.6</c:v>
                </c:pt>
                <c:pt idx="3280">
                  <c:v>348.5</c:v>
                </c:pt>
                <c:pt idx="3281">
                  <c:v>346.8</c:v>
                </c:pt>
                <c:pt idx="3282">
                  <c:v>349.8</c:v>
                </c:pt>
                <c:pt idx="3283">
                  <c:v>340.8</c:v>
                </c:pt>
                <c:pt idx="3284">
                  <c:v>342</c:v>
                </c:pt>
                <c:pt idx="3285">
                  <c:v>338.7</c:v>
                </c:pt>
                <c:pt idx="3286">
                  <c:v>340.2</c:v>
                </c:pt>
                <c:pt idx="3287">
                  <c:v>335.4</c:v>
                </c:pt>
                <c:pt idx="3288">
                  <c:v>326.60000000000002</c:v>
                </c:pt>
                <c:pt idx="3289">
                  <c:v>325.89999999999998</c:v>
                </c:pt>
                <c:pt idx="3290">
                  <c:v>322.60000000000002</c:v>
                </c:pt>
                <c:pt idx="3291">
                  <c:v>324.5</c:v>
                </c:pt>
                <c:pt idx="3292">
                  <c:v>322.89999999999998</c:v>
                </c:pt>
                <c:pt idx="3293">
                  <c:v>323.89999999999998</c:v>
                </c:pt>
                <c:pt idx="3294">
                  <c:v>322.7</c:v>
                </c:pt>
                <c:pt idx="3295">
                  <c:v>323.2</c:v>
                </c:pt>
                <c:pt idx="3296">
                  <c:v>320.5</c:v>
                </c:pt>
                <c:pt idx="3297">
                  <c:v>321.39999999999998</c:v>
                </c:pt>
                <c:pt idx="3298">
                  <c:v>323.3</c:v>
                </c:pt>
                <c:pt idx="3299">
                  <c:v>327.2</c:v>
                </c:pt>
                <c:pt idx="3300">
                  <c:v>329.5</c:v>
                </c:pt>
                <c:pt idx="3301">
                  <c:v>328.4</c:v>
                </c:pt>
                <c:pt idx="3302">
                  <c:v>330</c:v>
                </c:pt>
                <c:pt idx="3303">
                  <c:v>336.1</c:v>
                </c:pt>
                <c:pt idx="3304">
                  <c:v>336.5</c:v>
                </c:pt>
                <c:pt idx="3305">
                  <c:v>341.3</c:v>
                </c:pt>
                <c:pt idx="3306">
                  <c:v>345.7</c:v>
                </c:pt>
                <c:pt idx="3307">
                  <c:v>350.5</c:v>
                </c:pt>
                <c:pt idx="3308">
                  <c:v>348.5</c:v>
                </c:pt>
                <c:pt idx="3310">
                  <c:v>351.5</c:v>
                </c:pt>
                <c:pt idx="3311">
                  <c:v>350.1</c:v>
                </c:pt>
                <c:pt idx="3312">
                  <c:v>345.6</c:v>
                </c:pt>
                <c:pt idx="3313">
                  <c:v>345.1</c:v>
                </c:pt>
                <c:pt idx="3314">
                  <c:v>342.2</c:v>
                </c:pt>
                <c:pt idx="3315">
                  <c:v>338.7</c:v>
                </c:pt>
                <c:pt idx="3316">
                  <c:v>341.3</c:v>
                </c:pt>
                <c:pt idx="3317">
                  <c:v>342</c:v>
                </c:pt>
                <c:pt idx="3318">
                  <c:v>340.8</c:v>
                </c:pt>
                <c:pt idx="3319">
                  <c:v>342</c:v>
                </c:pt>
                <c:pt idx="3320">
                  <c:v>349.8</c:v>
                </c:pt>
                <c:pt idx="3321">
                  <c:v>351.5</c:v>
                </c:pt>
                <c:pt idx="3323">
                  <c:v>421.9</c:v>
                </c:pt>
                <c:pt idx="3324">
                  <c:v>419.1</c:v>
                </c:pt>
                <c:pt idx="3325">
                  <c:v>410.6</c:v>
                </c:pt>
                <c:pt idx="3326">
                  <c:v>409.3</c:v>
                </c:pt>
                <c:pt idx="3327">
                  <c:v>403.6</c:v>
                </c:pt>
                <c:pt idx="3328">
                  <c:v>399.3</c:v>
                </c:pt>
                <c:pt idx="3329">
                  <c:v>398.8</c:v>
                </c:pt>
                <c:pt idx="3330">
                  <c:v>397.7</c:v>
                </c:pt>
                <c:pt idx="3331">
                  <c:v>397.5</c:v>
                </c:pt>
                <c:pt idx="3332">
                  <c:v>394.7</c:v>
                </c:pt>
                <c:pt idx="3333">
                  <c:v>400.6</c:v>
                </c:pt>
                <c:pt idx="3334">
                  <c:v>396.9</c:v>
                </c:pt>
                <c:pt idx="3335">
                  <c:v>404.3</c:v>
                </c:pt>
                <c:pt idx="3336">
                  <c:v>402.9</c:v>
                </c:pt>
                <c:pt idx="3337">
                  <c:v>403.1</c:v>
                </c:pt>
                <c:pt idx="3338">
                  <c:v>407.8</c:v>
                </c:pt>
                <c:pt idx="3339">
                  <c:v>408.9</c:v>
                </c:pt>
                <c:pt idx="3340">
                  <c:v>415.6</c:v>
                </c:pt>
                <c:pt idx="3341">
                  <c:v>424</c:v>
                </c:pt>
                <c:pt idx="3342">
                  <c:v>428.8</c:v>
                </c:pt>
                <c:pt idx="3343">
                  <c:v>422</c:v>
                </c:pt>
                <c:pt idx="3344">
                  <c:v>421.9</c:v>
                </c:pt>
                <c:pt idx="3346">
                  <c:v>428.7</c:v>
                </c:pt>
                <c:pt idx="3347">
                  <c:v>426.5</c:v>
                </c:pt>
                <c:pt idx="3348">
                  <c:v>426.3</c:v>
                </c:pt>
                <c:pt idx="3349">
                  <c:v>428.7</c:v>
                </c:pt>
                <c:pt idx="3351">
                  <c:v>343</c:v>
                </c:pt>
                <c:pt idx="3352">
                  <c:v>339</c:v>
                </c:pt>
                <c:pt idx="3353">
                  <c:v>334.7</c:v>
                </c:pt>
                <c:pt idx="3354">
                  <c:v>338.5</c:v>
                </c:pt>
                <c:pt idx="3355">
                  <c:v>340.8</c:v>
                </c:pt>
                <c:pt idx="3356">
                  <c:v>338</c:v>
                </c:pt>
                <c:pt idx="3357">
                  <c:v>338.8</c:v>
                </c:pt>
                <c:pt idx="3358">
                  <c:v>337.2</c:v>
                </c:pt>
                <c:pt idx="3359">
                  <c:v>328.2</c:v>
                </c:pt>
                <c:pt idx="3360">
                  <c:v>321</c:v>
                </c:pt>
                <c:pt idx="3361">
                  <c:v>320.60000000000002</c:v>
                </c:pt>
                <c:pt idx="3362">
                  <c:v>317.89999999999998</c:v>
                </c:pt>
                <c:pt idx="3363">
                  <c:v>317.10000000000002</c:v>
                </c:pt>
                <c:pt idx="3364">
                  <c:v>316.39999999999998</c:v>
                </c:pt>
                <c:pt idx="3365">
                  <c:v>313.7</c:v>
                </c:pt>
                <c:pt idx="3366">
                  <c:v>316.5</c:v>
                </c:pt>
                <c:pt idx="3367">
                  <c:v>318.10000000000002</c:v>
                </c:pt>
                <c:pt idx="3368">
                  <c:v>313.10000000000002</c:v>
                </c:pt>
                <c:pt idx="3369">
                  <c:v>311.3</c:v>
                </c:pt>
                <c:pt idx="3370">
                  <c:v>311.89999999999998</c:v>
                </c:pt>
                <c:pt idx="3371">
                  <c:v>316.8</c:v>
                </c:pt>
                <c:pt idx="3372">
                  <c:v>314.60000000000002</c:v>
                </c:pt>
                <c:pt idx="3373">
                  <c:v>316.10000000000002</c:v>
                </c:pt>
                <c:pt idx="3374">
                  <c:v>325.89999999999998</c:v>
                </c:pt>
                <c:pt idx="3375">
                  <c:v>327.8</c:v>
                </c:pt>
                <c:pt idx="3376">
                  <c:v>330.3</c:v>
                </c:pt>
                <c:pt idx="3377">
                  <c:v>337.3</c:v>
                </c:pt>
                <c:pt idx="3378">
                  <c:v>342.8</c:v>
                </c:pt>
                <c:pt idx="3379">
                  <c:v>343</c:v>
                </c:pt>
                <c:pt idx="3381">
                  <c:v>355.4</c:v>
                </c:pt>
                <c:pt idx="3382">
                  <c:v>354.3</c:v>
                </c:pt>
                <c:pt idx="3383">
                  <c:v>348.4</c:v>
                </c:pt>
                <c:pt idx="3384">
                  <c:v>349.5</c:v>
                </c:pt>
                <c:pt idx="3385">
                  <c:v>347.7</c:v>
                </c:pt>
                <c:pt idx="3386">
                  <c:v>350.2</c:v>
                </c:pt>
                <c:pt idx="3387">
                  <c:v>346</c:v>
                </c:pt>
                <c:pt idx="3388">
                  <c:v>342.9</c:v>
                </c:pt>
                <c:pt idx="3389">
                  <c:v>336.5</c:v>
                </c:pt>
                <c:pt idx="3390">
                  <c:v>336.1</c:v>
                </c:pt>
                <c:pt idx="3391">
                  <c:v>329.9</c:v>
                </c:pt>
                <c:pt idx="3392">
                  <c:v>330.6</c:v>
                </c:pt>
                <c:pt idx="3393">
                  <c:v>328.4</c:v>
                </c:pt>
                <c:pt idx="3394">
                  <c:v>328.8</c:v>
                </c:pt>
                <c:pt idx="3395">
                  <c:v>321.39999999999998</c:v>
                </c:pt>
                <c:pt idx="3396">
                  <c:v>322.3</c:v>
                </c:pt>
                <c:pt idx="3397">
                  <c:v>326.3</c:v>
                </c:pt>
                <c:pt idx="3398">
                  <c:v>328.3</c:v>
                </c:pt>
                <c:pt idx="3399">
                  <c:v>328.5</c:v>
                </c:pt>
                <c:pt idx="3400">
                  <c:v>333</c:v>
                </c:pt>
                <c:pt idx="3401">
                  <c:v>332.6</c:v>
                </c:pt>
                <c:pt idx="3402">
                  <c:v>334.2</c:v>
                </c:pt>
                <c:pt idx="3403">
                  <c:v>341.1</c:v>
                </c:pt>
                <c:pt idx="3404">
                  <c:v>342.7</c:v>
                </c:pt>
                <c:pt idx="3405">
                  <c:v>349.5</c:v>
                </c:pt>
                <c:pt idx="3406">
                  <c:v>349.8</c:v>
                </c:pt>
                <c:pt idx="3407">
                  <c:v>353.3</c:v>
                </c:pt>
                <c:pt idx="3408">
                  <c:v>354.4</c:v>
                </c:pt>
                <c:pt idx="3409">
                  <c:v>352.2</c:v>
                </c:pt>
                <c:pt idx="3410">
                  <c:v>351.7</c:v>
                </c:pt>
                <c:pt idx="3411">
                  <c:v>354.3</c:v>
                </c:pt>
                <c:pt idx="3412">
                  <c:v>355.4</c:v>
                </c:pt>
                <c:pt idx="3414">
                  <c:v>319.3</c:v>
                </c:pt>
                <c:pt idx="3415">
                  <c:v>322</c:v>
                </c:pt>
                <c:pt idx="3416">
                  <c:v>323.8</c:v>
                </c:pt>
                <c:pt idx="3417">
                  <c:v>324</c:v>
                </c:pt>
                <c:pt idx="3418">
                  <c:v>328.6</c:v>
                </c:pt>
                <c:pt idx="3419">
                  <c:v>327.5</c:v>
                </c:pt>
                <c:pt idx="3420">
                  <c:v>330.1</c:v>
                </c:pt>
                <c:pt idx="3421">
                  <c:v>328.9</c:v>
                </c:pt>
                <c:pt idx="3422">
                  <c:v>327.60000000000002</c:v>
                </c:pt>
                <c:pt idx="3423">
                  <c:v>328.1</c:v>
                </c:pt>
                <c:pt idx="3424">
                  <c:v>330.8</c:v>
                </c:pt>
                <c:pt idx="3425">
                  <c:v>331</c:v>
                </c:pt>
                <c:pt idx="3426">
                  <c:v>333.9</c:v>
                </c:pt>
                <c:pt idx="3427">
                  <c:v>334.4</c:v>
                </c:pt>
                <c:pt idx="3428">
                  <c:v>332.3</c:v>
                </c:pt>
                <c:pt idx="3429">
                  <c:v>334.2</c:v>
                </c:pt>
                <c:pt idx="3430">
                  <c:v>332.6</c:v>
                </c:pt>
                <c:pt idx="3431">
                  <c:v>333.2</c:v>
                </c:pt>
                <c:pt idx="3432">
                  <c:v>328.5</c:v>
                </c:pt>
                <c:pt idx="3433">
                  <c:v>328.3</c:v>
                </c:pt>
                <c:pt idx="3434">
                  <c:v>326.3</c:v>
                </c:pt>
                <c:pt idx="3435">
                  <c:v>322.3</c:v>
                </c:pt>
                <c:pt idx="3436">
                  <c:v>321.39999999999998</c:v>
                </c:pt>
                <c:pt idx="3437">
                  <c:v>317.39999999999998</c:v>
                </c:pt>
                <c:pt idx="3438">
                  <c:v>316.39999999999998</c:v>
                </c:pt>
                <c:pt idx="3439">
                  <c:v>313.7</c:v>
                </c:pt>
                <c:pt idx="3440">
                  <c:v>314.2</c:v>
                </c:pt>
                <c:pt idx="3441">
                  <c:v>317</c:v>
                </c:pt>
                <c:pt idx="3442">
                  <c:v>319.3</c:v>
                </c:pt>
                <c:pt idx="3444">
                  <c:v>375.4</c:v>
                </c:pt>
                <c:pt idx="3445">
                  <c:v>374.2</c:v>
                </c:pt>
                <c:pt idx="3446">
                  <c:v>369.1</c:v>
                </c:pt>
                <c:pt idx="3447">
                  <c:v>362.9</c:v>
                </c:pt>
                <c:pt idx="3448">
                  <c:v>364.1</c:v>
                </c:pt>
                <c:pt idx="3449">
                  <c:v>361.1</c:v>
                </c:pt>
                <c:pt idx="3450">
                  <c:v>357.3</c:v>
                </c:pt>
                <c:pt idx="3451">
                  <c:v>354.2</c:v>
                </c:pt>
                <c:pt idx="3452">
                  <c:v>350.9</c:v>
                </c:pt>
                <c:pt idx="3453">
                  <c:v>347.7</c:v>
                </c:pt>
                <c:pt idx="3454">
                  <c:v>349.5</c:v>
                </c:pt>
                <c:pt idx="3455">
                  <c:v>348.4</c:v>
                </c:pt>
                <c:pt idx="3456">
                  <c:v>354.3</c:v>
                </c:pt>
                <c:pt idx="3457">
                  <c:v>355.5</c:v>
                </c:pt>
                <c:pt idx="3458">
                  <c:v>354.3</c:v>
                </c:pt>
                <c:pt idx="3459">
                  <c:v>351.8</c:v>
                </c:pt>
                <c:pt idx="3460">
                  <c:v>352.2</c:v>
                </c:pt>
                <c:pt idx="3461">
                  <c:v>358</c:v>
                </c:pt>
                <c:pt idx="3462">
                  <c:v>361.9</c:v>
                </c:pt>
                <c:pt idx="3463">
                  <c:v>363.6</c:v>
                </c:pt>
                <c:pt idx="3464">
                  <c:v>365.8</c:v>
                </c:pt>
                <c:pt idx="3465">
                  <c:v>364.7</c:v>
                </c:pt>
                <c:pt idx="3466">
                  <c:v>371.4</c:v>
                </c:pt>
                <c:pt idx="3467">
                  <c:v>370.8</c:v>
                </c:pt>
                <c:pt idx="3468">
                  <c:v>375.4</c:v>
                </c:pt>
                <c:pt idx="3470">
                  <c:v>385.8</c:v>
                </c:pt>
                <c:pt idx="3471">
                  <c:v>386.2</c:v>
                </c:pt>
                <c:pt idx="3472">
                  <c:v>383.8</c:v>
                </c:pt>
                <c:pt idx="3473">
                  <c:v>383.5</c:v>
                </c:pt>
                <c:pt idx="3474">
                  <c:v>379.2</c:v>
                </c:pt>
                <c:pt idx="3475">
                  <c:v>373.2</c:v>
                </c:pt>
                <c:pt idx="3476">
                  <c:v>371.2</c:v>
                </c:pt>
                <c:pt idx="3477">
                  <c:v>371.4</c:v>
                </c:pt>
                <c:pt idx="3478">
                  <c:v>364.7</c:v>
                </c:pt>
                <c:pt idx="3479">
                  <c:v>365.8</c:v>
                </c:pt>
                <c:pt idx="3480">
                  <c:v>363.4</c:v>
                </c:pt>
                <c:pt idx="3481">
                  <c:v>364.1</c:v>
                </c:pt>
                <c:pt idx="3482">
                  <c:v>367.2</c:v>
                </c:pt>
                <c:pt idx="3483">
                  <c:v>365.4</c:v>
                </c:pt>
                <c:pt idx="3484">
                  <c:v>368.5</c:v>
                </c:pt>
                <c:pt idx="3485">
                  <c:v>368.1</c:v>
                </c:pt>
                <c:pt idx="3486">
                  <c:v>370.4</c:v>
                </c:pt>
                <c:pt idx="3487">
                  <c:v>368.4</c:v>
                </c:pt>
                <c:pt idx="3488">
                  <c:v>371.1</c:v>
                </c:pt>
                <c:pt idx="3489">
                  <c:v>369.3</c:v>
                </c:pt>
                <c:pt idx="3490">
                  <c:v>370.9</c:v>
                </c:pt>
                <c:pt idx="3491">
                  <c:v>371.5</c:v>
                </c:pt>
                <c:pt idx="3492">
                  <c:v>376.7</c:v>
                </c:pt>
                <c:pt idx="3493">
                  <c:v>378.6</c:v>
                </c:pt>
                <c:pt idx="3494">
                  <c:v>381.3</c:v>
                </c:pt>
                <c:pt idx="3495">
                  <c:v>383.3</c:v>
                </c:pt>
                <c:pt idx="3496">
                  <c:v>385.6</c:v>
                </c:pt>
                <c:pt idx="3497">
                  <c:v>380.5</c:v>
                </c:pt>
                <c:pt idx="3498">
                  <c:v>381.1</c:v>
                </c:pt>
                <c:pt idx="3499">
                  <c:v>379.5</c:v>
                </c:pt>
                <c:pt idx="3500">
                  <c:v>383.9</c:v>
                </c:pt>
                <c:pt idx="3501">
                  <c:v>385.8</c:v>
                </c:pt>
                <c:pt idx="3503">
                  <c:v>400.3</c:v>
                </c:pt>
                <c:pt idx="3504">
                  <c:v>394.7</c:v>
                </c:pt>
                <c:pt idx="3505">
                  <c:v>397.5</c:v>
                </c:pt>
                <c:pt idx="3506">
                  <c:v>397.7</c:v>
                </c:pt>
                <c:pt idx="3507">
                  <c:v>398.6</c:v>
                </c:pt>
                <c:pt idx="3508">
                  <c:v>398.7</c:v>
                </c:pt>
                <c:pt idx="3509">
                  <c:v>396.1</c:v>
                </c:pt>
                <c:pt idx="3510">
                  <c:v>392.5</c:v>
                </c:pt>
                <c:pt idx="3511">
                  <c:v>391.9</c:v>
                </c:pt>
                <c:pt idx="3512">
                  <c:v>389.6</c:v>
                </c:pt>
                <c:pt idx="3513">
                  <c:v>389.8</c:v>
                </c:pt>
                <c:pt idx="3514">
                  <c:v>388.4</c:v>
                </c:pt>
                <c:pt idx="3515">
                  <c:v>376.1</c:v>
                </c:pt>
                <c:pt idx="3516">
                  <c:v>374.1</c:v>
                </c:pt>
                <c:pt idx="3517">
                  <c:v>375.5</c:v>
                </c:pt>
                <c:pt idx="3518">
                  <c:v>370.8</c:v>
                </c:pt>
                <c:pt idx="3519">
                  <c:v>371.7</c:v>
                </c:pt>
                <c:pt idx="3520">
                  <c:v>376.4</c:v>
                </c:pt>
                <c:pt idx="3521">
                  <c:v>377.9</c:v>
                </c:pt>
                <c:pt idx="3522">
                  <c:v>383.5</c:v>
                </c:pt>
                <c:pt idx="3523">
                  <c:v>383.8</c:v>
                </c:pt>
                <c:pt idx="3524">
                  <c:v>386.2</c:v>
                </c:pt>
                <c:pt idx="3525">
                  <c:v>383.9</c:v>
                </c:pt>
                <c:pt idx="3526">
                  <c:v>379.5</c:v>
                </c:pt>
                <c:pt idx="3527">
                  <c:v>381.1</c:v>
                </c:pt>
                <c:pt idx="3528">
                  <c:v>380.5</c:v>
                </c:pt>
                <c:pt idx="3529">
                  <c:v>392.9</c:v>
                </c:pt>
                <c:pt idx="3530">
                  <c:v>393.8</c:v>
                </c:pt>
                <c:pt idx="3531">
                  <c:v>395.6</c:v>
                </c:pt>
                <c:pt idx="3532">
                  <c:v>394.8</c:v>
                </c:pt>
                <c:pt idx="3533">
                  <c:v>397.5</c:v>
                </c:pt>
                <c:pt idx="3534">
                  <c:v>400.3</c:v>
                </c:pt>
                <c:pt idx="3536">
                  <c:v>378.2</c:v>
                </c:pt>
                <c:pt idx="3537">
                  <c:v>376.3</c:v>
                </c:pt>
                <c:pt idx="3538">
                  <c:v>375.5</c:v>
                </c:pt>
                <c:pt idx="3539">
                  <c:v>374.7</c:v>
                </c:pt>
                <c:pt idx="3540">
                  <c:v>369.8</c:v>
                </c:pt>
                <c:pt idx="3541">
                  <c:v>368.3</c:v>
                </c:pt>
                <c:pt idx="3542">
                  <c:v>366.5</c:v>
                </c:pt>
                <c:pt idx="3543">
                  <c:v>366.8</c:v>
                </c:pt>
                <c:pt idx="3544">
                  <c:v>362.7</c:v>
                </c:pt>
                <c:pt idx="3545">
                  <c:v>361</c:v>
                </c:pt>
                <c:pt idx="3546">
                  <c:v>356.8</c:v>
                </c:pt>
                <c:pt idx="3547">
                  <c:v>359.3</c:v>
                </c:pt>
                <c:pt idx="3548">
                  <c:v>358.6</c:v>
                </c:pt>
                <c:pt idx="3549">
                  <c:v>359.7</c:v>
                </c:pt>
                <c:pt idx="3550">
                  <c:v>361.3</c:v>
                </c:pt>
                <c:pt idx="3551">
                  <c:v>361.4</c:v>
                </c:pt>
                <c:pt idx="3552">
                  <c:v>368.3</c:v>
                </c:pt>
                <c:pt idx="3553">
                  <c:v>377</c:v>
                </c:pt>
                <c:pt idx="3554">
                  <c:v>379.9</c:v>
                </c:pt>
                <c:pt idx="3555">
                  <c:v>378.2</c:v>
                </c:pt>
                <c:pt idx="3557">
                  <c:v>388</c:v>
                </c:pt>
                <c:pt idx="3558">
                  <c:v>386.9</c:v>
                </c:pt>
                <c:pt idx="3559">
                  <c:v>386</c:v>
                </c:pt>
                <c:pt idx="3560">
                  <c:v>388</c:v>
                </c:pt>
                <c:pt idx="3562">
                  <c:v>388.5</c:v>
                </c:pt>
                <c:pt idx="3563">
                  <c:v>386.4</c:v>
                </c:pt>
                <c:pt idx="3564">
                  <c:v>385.9</c:v>
                </c:pt>
                <c:pt idx="3565">
                  <c:v>388.5</c:v>
                </c:pt>
                <c:pt idx="3567">
                  <c:v>392</c:v>
                </c:pt>
                <c:pt idx="3568">
                  <c:v>390.3</c:v>
                </c:pt>
                <c:pt idx="3569">
                  <c:v>394.6</c:v>
                </c:pt>
                <c:pt idx="3570">
                  <c:v>397.2</c:v>
                </c:pt>
                <c:pt idx="3571">
                  <c:v>399.2</c:v>
                </c:pt>
                <c:pt idx="3572">
                  <c:v>403</c:v>
                </c:pt>
                <c:pt idx="3573">
                  <c:v>405.1</c:v>
                </c:pt>
                <c:pt idx="3574">
                  <c:v>404.6</c:v>
                </c:pt>
                <c:pt idx="3575">
                  <c:v>401.5</c:v>
                </c:pt>
                <c:pt idx="3576">
                  <c:v>401.6</c:v>
                </c:pt>
                <c:pt idx="3577">
                  <c:v>403.7</c:v>
                </c:pt>
                <c:pt idx="3578">
                  <c:v>406.2</c:v>
                </c:pt>
                <c:pt idx="3579">
                  <c:v>409.5</c:v>
                </c:pt>
                <c:pt idx="3580">
                  <c:v>412.5</c:v>
                </c:pt>
                <c:pt idx="3581">
                  <c:v>411.1</c:v>
                </c:pt>
                <c:pt idx="3582">
                  <c:v>417.8</c:v>
                </c:pt>
                <c:pt idx="3583">
                  <c:v>419.5</c:v>
                </c:pt>
                <c:pt idx="3584">
                  <c:v>417.8</c:v>
                </c:pt>
                <c:pt idx="3585">
                  <c:v>417.1</c:v>
                </c:pt>
                <c:pt idx="3586">
                  <c:v>413.1</c:v>
                </c:pt>
                <c:pt idx="3587">
                  <c:v>410</c:v>
                </c:pt>
                <c:pt idx="3588">
                  <c:v>405.9</c:v>
                </c:pt>
                <c:pt idx="3589">
                  <c:v>403.7</c:v>
                </c:pt>
                <c:pt idx="3590">
                  <c:v>402.1</c:v>
                </c:pt>
                <c:pt idx="3591">
                  <c:v>400</c:v>
                </c:pt>
                <c:pt idx="3592">
                  <c:v>402.3</c:v>
                </c:pt>
                <c:pt idx="3593">
                  <c:v>399.1</c:v>
                </c:pt>
                <c:pt idx="3594">
                  <c:v>394</c:v>
                </c:pt>
                <c:pt idx="3595">
                  <c:v>381.2</c:v>
                </c:pt>
                <c:pt idx="3596">
                  <c:v>376.9</c:v>
                </c:pt>
                <c:pt idx="3597">
                  <c:v>380.9</c:v>
                </c:pt>
                <c:pt idx="3598">
                  <c:v>380.7</c:v>
                </c:pt>
                <c:pt idx="3599">
                  <c:v>382.7</c:v>
                </c:pt>
                <c:pt idx="3600">
                  <c:v>388.7</c:v>
                </c:pt>
                <c:pt idx="3601">
                  <c:v>392.6</c:v>
                </c:pt>
                <c:pt idx="3602">
                  <c:v>391.3</c:v>
                </c:pt>
                <c:pt idx="3603">
                  <c:v>389.7</c:v>
                </c:pt>
                <c:pt idx="3604">
                  <c:v>386.6</c:v>
                </c:pt>
                <c:pt idx="3605">
                  <c:v>387.1</c:v>
                </c:pt>
                <c:pt idx="3606">
                  <c:v>389.7</c:v>
                </c:pt>
                <c:pt idx="3607">
                  <c:v>391.2</c:v>
                </c:pt>
                <c:pt idx="3608">
                  <c:v>390.5</c:v>
                </c:pt>
                <c:pt idx="3609">
                  <c:v>392.3</c:v>
                </c:pt>
                <c:pt idx="3610">
                  <c:v>391.7</c:v>
                </c:pt>
                <c:pt idx="3611">
                  <c:v>393.8</c:v>
                </c:pt>
                <c:pt idx="3612">
                  <c:v>395.6</c:v>
                </c:pt>
                <c:pt idx="3613">
                  <c:v>395.2</c:v>
                </c:pt>
                <c:pt idx="3614">
                  <c:v>393.3</c:v>
                </c:pt>
                <c:pt idx="3615">
                  <c:v>392</c:v>
                </c:pt>
                <c:pt idx="3617">
                  <c:v>296.2</c:v>
                </c:pt>
                <c:pt idx="3618">
                  <c:v>293.89999999999998</c:v>
                </c:pt>
                <c:pt idx="3619">
                  <c:v>295.2</c:v>
                </c:pt>
                <c:pt idx="3620">
                  <c:v>292.60000000000002</c:v>
                </c:pt>
                <c:pt idx="3621">
                  <c:v>292.10000000000002</c:v>
                </c:pt>
                <c:pt idx="3622">
                  <c:v>289.3</c:v>
                </c:pt>
                <c:pt idx="3623">
                  <c:v>290.2</c:v>
                </c:pt>
                <c:pt idx="3624">
                  <c:v>287.60000000000002</c:v>
                </c:pt>
                <c:pt idx="3625">
                  <c:v>286.89999999999998</c:v>
                </c:pt>
                <c:pt idx="3626">
                  <c:v>284.3</c:v>
                </c:pt>
                <c:pt idx="3627">
                  <c:v>287.2</c:v>
                </c:pt>
                <c:pt idx="3628">
                  <c:v>289.39999999999998</c:v>
                </c:pt>
                <c:pt idx="3629">
                  <c:v>294.7</c:v>
                </c:pt>
                <c:pt idx="3630">
                  <c:v>295.2</c:v>
                </c:pt>
                <c:pt idx="3631">
                  <c:v>296.2</c:v>
                </c:pt>
                <c:pt idx="3633">
                  <c:v>303.2</c:v>
                </c:pt>
                <c:pt idx="3634">
                  <c:v>302.39999999999998</c:v>
                </c:pt>
                <c:pt idx="3635">
                  <c:v>297.8</c:v>
                </c:pt>
                <c:pt idx="3636">
                  <c:v>298.5</c:v>
                </c:pt>
                <c:pt idx="3637">
                  <c:v>294.8</c:v>
                </c:pt>
                <c:pt idx="3638">
                  <c:v>294.39999999999998</c:v>
                </c:pt>
                <c:pt idx="3639">
                  <c:v>292.89999999999998</c:v>
                </c:pt>
                <c:pt idx="3640">
                  <c:v>292.60000000000002</c:v>
                </c:pt>
                <c:pt idx="3641">
                  <c:v>295.3</c:v>
                </c:pt>
                <c:pt idx="3642">
                  <c:v>293.89999999999998</c:v>
                </c:pt>
                <c:pt idx="3643">
                  <c:v>296.7</c:v>
                </c:pt>
                <c:pt idx="3644">
                  <c:v>294.8</c:v>
                </c:pt>
                <c:pt idx="3645">
                  <c:v>299.3</c:v>
                </c:pt>
                <c:pt idx="3646">
                  <c:v>299.2</c:v>
                </c:pt>
                <c:pt idx="3647">
                  <c:v>302.10000000000002</c:v>
                </c:pt>
                <c:pt idx="3648">
                  <c:v>301.89999999999998</c:v>
                </c:pt>
                <c:pt idx="3649">
                  <c:v>303.2</c:v>
                </c:pt>
                <c:pt idx="3651">
                  <c:v>295.5</c:v>
                </c:pt>
                <c:pt idx="3652">
                  <c:v>294</c:v>
                </c:pt>
                <c:pt idx="3653">
                  <c:v>294.3</c:v>
                </c:pt>
                <c:pt idx="3654">
                  <c:v>292.5</c:v>
                </c:pt>
                <c:pt idx="3655">
                  <c:v>295.5</c:v>
                </c:pt>
                <c:pt idx="3657">
                  <c:v>316.60000000000002</c:v>
                </c:pt>
                <c:pt idx="3658">
                  <c:v>314.10000000000002</c:v>
                </c:pt>
                <c:pt idx="3659">
                  <c:v>309.39999999999998</c:v>
                </c:pt>
                <c:pt idx="3660">
                  <c:v>308.8</c:v>
                </c:pt>
                <c:pt idx="3661">
                  <c:v>304.7</c:v>
                </c:pt>
                <c:pt idx="3662">
                  <c:v>302.39999999999998</c:v>
                </c:pt>
                <c:pt idx="3663">
                  <c:v>300.39999999999998</c:v>
                </c:pt>
                <c:pt idx="3664">
                  <c:v>299.60000000000002</c:v>
                </c:pt>
                <c:pt idx="3665">
                  <c:v>301.7</c:v>
                </c:pt>
                <c:pt idx="3666">
                  <c:v>301.3</c:v>
                </c:pt>
                <c:pt idx="3667">
                  <c:v>307.2</c:v>
                </c:pt>
                <c:pt idx="3668">
                  <c:v>308</c:v>
                </c:pt>
                <c:pt idx="3669">
                  <c:v>303.10000000000002</c:v>
                </c:pt>
                <c:pt idx="3670">
                  <c:v>303.2</c:v>
                </c:pt>
                <c:pt idx="3671">
                  <c:v>303.2</c:v>
                </c:pt>
                <c:pt idx="3672">
                  <c:v>305.10000000000002</c:v>
                </c:pt>
                <c:pt idx="3673">
                  <c:v>303.39999999999998</c:v>
                </c:pt>
                <c:pt idx="3674">
                  <c:v>306.7</c:v>
                </c:pt>
                <c:pt idx="3675">
                  <c:v>306.5</c:v>
                </c:pt>
                <c:pt idx="3676">
                  <c:v>295.89999999999998</c:v>
                </c:pt>
                <c:pt idx="3677">
                  <c:v>293.2</c:v>
                </c:pt>
                <c:pt idx="3678">
                  <c:v>293.39999999999998</c:v>
                </c:pt>
                <c:pt idx="3679">
                  <c:v>295.39999999999998</c:v>
                </c:pt>
                <c:pt idx="3680">
                  <c:v>294.39999999999998</c:v>
                </c:pt>
                <c:pt idx="3681">
                  <c:v>297.10000000000002</c:v>
                </c:pt>
                <c:pt idx="3682">
                  <c:v>306.89999999999998</c:v>
                </c:pt>
                <c:pt idx="3683">
                  <c:v>310.89999999999998</c:v>
                </c:pt>
                <c:pt idx="3684">
                  <c:v>310.5</c:v>
                </c:pt>
                <c:pt idx="3685">
                  <c:v>313.10000000000002</c:v>
                </c:pt>
                <c:pt idx="3686">
                  <c:v>312.10000000000002</c:v>
                </c:pt>
                <c:pt idx="3687">
                  <c:v>314.8</c:v>
                </c:pt>
                <c:pt idx="3688">
                  <c:v>315</c:v>
                </c:pt>
                <c:pt idx="3689">
                  <c:v>316.39999999999998</c:v>
                </c:pt>
                <c:pt idx="3690">
                  <c:v>320.2</c:v>
                </c:pt>
                <c:pt idx="3691">
                  <c:v>316.60000000000002</c:v>
                </c:pt>
                <c:pt idx="3693">
                  <c:v>326.89999999999998</c:v>
                </c:pt>
                <c:pt idx="3694">
                  <c:v>325.60000000000002</c:v>
                </c:pt>
                <c:pt idx="3695">
                  <c:v>326.8</c:v>
                </c:pt>
                <c:pt idx="3696">
                  <c:v>325.60000000000002</c:v>
                </c:pt>
                <c:pt idx="3697">
                  <c:v>327.3</c:v>
                </c:pt>
                <c:pt idx="3698">
                  <c:v>326.89999999999998</c:v>
                </c:pt>
                <c:pt idx="3700">
                  <c:v>329.5</c:v>
                </c:pt>
                <c:pt idx="3701">
                  <c:v>329.7</c:v>
                </c:pt>
                <c:pt idx="3702">
                  <c:v>328.4</c:v>
                </c:pt>
                <c:pt idx="3703">
                  <c:v>329.5</c:v>
                </c:pt>
                <c:pt idx="3704">
                  <c:v>327.2</c:v>
                </c:pt>
                <c:pt idx="3705">
                  <c:v>323.3</c:v>
                </c:pt>
                <c:pt idx="3706">
                  <c:v>319.8</c:v>
                </c:pt>
                <c:pt idx="3707">
                  <c:v>317</c:v>
                </c:pt>
                <c:pt idx="3708">
                  <c:v>314.2</c:v>
                </c:pt>
                <c:pt idx="3709">
                  <c:v>313.2</c:v>
                </c:pt>
                <c:pt idx="3710">
                  <c:v>306.2</c:v>
                </c:pt>
                <c:pt idx="3711">
                  <c:v>304.5</c:v>
                </c:pt>
                <c:pt idx="3712">
                  <c:v>305.60000000000002</c:v>
                </c:pt>
                <c:pt idx="3713">
                  <c:v>304.7</c:v>
                </c:pt>
                <c:pt idx="3714">
                  <c:v>302.60000000000002</c:v>
                </c:pt>
                <c:pt idx="3715">
                  <c:v>301.10000000000002</c:v>
                </c:pt>
                <c:pt idx="3716">
                  <c:v>304.60000000000002</c:v>
                </c:pt>
                <c:pt idx="3717">
                  <c:v>303.2</c:v>
                </c:pt>
                <c:pt idx="3718">
                  <c:v>304.39999999999998</c:v>
                </c:pt>
                <c:pt idx="3719">
                  <c:v>303.5</c:v>
                </c:pt>
                <c:pt idx="3720">
                  <c:v>304.7</c:v>
                </c:pt>
                <c:pt idx="3721">
                  <c:v>306.60000000000002</c:v>
                </c:pt>
                <c:pt idx="3722">
                  <c:v>313.3</c:v>
                </c:pt>
                <c:pt idx="3723">
                  <c:v>317.2</c:v>
                </c:pt>
                <c:pt idx="3724">
                  <c:v>319.7</c:v>
                </c:pt>
                <c:pt idx="3725">
                  <c:v>327.9</c:v>
                </c:pt>
                <c:pt idx="3726">
                  <c:v>330.6</c:v>
                </c:pt>
                <c:pt idx="3727">
                  <c:v>329.5</c:v>
                </c:pt>
                <c:pt idx="3729">
                  <c:v>286.89999999999998</c:v>
                </c:pt>
                <c:pt idx="3730">
                  <c:v>286.10000000000002</c:v>
                </c:pt>
                <c:pt idx="3731">
                  <c:v>283.39999999999998</c:v>
                </c:pt>
                <c:pt idx="3732">
                  <c:v>282.8</c:v>
                </c:pt>
                <c:pt idx="3733">
                  <c:v>277.8</c:v>
                </c:pt>
                <c:pt idx="3734">
                  <c:v>278.8</c:v>
                </c:pt>
                <c:pt idx="3735">
                  <c:v>277.8</c:v>
                </c:pt>
                <c:pt idx="3736">
                  <c:v>270</c:v>
                </c:pt>
                <c:pt idx="3737">
                  <c:v>268.7</c:v>
                </c:pt>
                <c:pt idx="3738">
                  <c:v>265</c:v>
                </c:pt>
                <c:pt idx="3739">
                  <c:v>263.60000000000002</c:v>
                </c:pt>
                <c:pt idx="3740">
                  <c:v>261.60000000000002</c:v>
                </c:pt>
                <c:pt idx="3741">
                  <c:v>260.60000000000002</c:v>
                </c:pt>
                <c:pt idx="3742">
                  <c:v>260.60000000000002</c:v>
                </c:pt>
                <c:pt idx="3743">
                  <c:v>264.60000000000002</c:v>
                </c:pt>
                <c:pt idx="3744">
                  <c:v>263.60000000000002</c:v>
                </c:pt>
                <c:pt idx="3745">
                  <c:v>265.60000000000002</c:v>
                </c:pt>
                <c:pt idx="3746">
                  <c:v>262.3</c:v>
                </c:pt>
                <c:pt idx="3747">
                  <c:v>257.5</c:v>
                </c:pt>
                <c:pt idx="3748">
                  <c:v>257.89999999999998</c:v>
                </c:pt>
                <c:pt idx="3749">
                  <c:v>257.39999999999998</c:v>
                </c:pt>
                <c:pt idx="3750">
                  <c:v>255.4</c:v>
                </c:pt>
                <c:pt idx="3751">
                  <c:v>255.5</c:v>
                </c:pt>
                <c:pt idx="3752">
                  <c:v>257.2</c:v>
                </c:pt>
                <c:pt idx="3753">
                  <c:v>258.2</c:v>
                </c:pt>
                <c:pt idx="3754">
                  <c:v>256.2</c:v>
                </c:pt>
                <c:pt idx="3755">
                  <c:v>256.10000000000002</c:v>
                </c:pt>
                <c:pt idx="3756">
                  <c:v>261.10000000000002</c:v>
                </c:pt>
                <c:pt idx="3757">
                  <c:v>262.10000000000002</c:v>
                </c:pt>
                <c:pt idx="3758">
                  <c:v>263.10000000000002</c:v>
                </c:pt>
                <c:pt idx="3759">
                  <c:v>266.10000000000002</c:v>
                </c:pt>
                <c:pt idx="3760">
                  <c:v>267.60000000000002</c:v>
                </c:pt>
                <c:pt idx="3761">
                  <c:v>267.7</c:v>
                </c:pt>
                <c:pt idx="3762">
                  <c:v>275.60000000000002</c:v>
                </c:pt>
                <c:pt idx="3763">
                  <c:v>277.60000000000002</c:v>
                </c:pt>
                <c:pt idx="3764">
                  <c:v>277.10000000000002</c:v>
                </c:pt>
                <c:pt idx="3765">
                  <c:v>279.39999999999998</c:v>
                </c:pt>
                <c:pt idx="3766">
                  <c:v>279</c:v>
                </c:pt>
                <c:pt idx="3767">
                  <c:v>281</c:v>
                </c:pt>
                <c:pt idx="3768">
                  <c:v>283.3</c:v>
                </c:pt>
                <c:pt idx="3769">
                  <c:v>284.2</c:v>
                </c:pt>
                <c:pt idx="3770">
                  <c:v>285.7</c:v>
                </c:pt>
                <c:pt idx="3771">
                  <c:v>287.5</c:v>
                </c:pt>
                <c:pt idx="3772">
                  <c:v>286.89999999999998</c:v>
                </c:pt>
                <c:pt idx="3774">
                  <c:v>265</c:v>
                </c:pt>
                <c:pt idx="3775">
                  <c:v>263.3</c:v>
                </c:pt>
                <c:pt idx="3776">
                  <c:v>259.10000000000002</c:v>
                </c:pt>
                <c:pt idx="3777">
                  <c:v>257.39999999999998</c:v>
                </c:pt>
                <c:pt idx="3778">
                  <c:v>256.10000000000002</c:v>
                </c:pt>
                <c:pt idx="3779">
                  <c:v>259.8</c:v>
                </c:pt>
                <c:pt idx="3780">
                  <c:v>264.60000000000002</c:v>
                </c:pt>
                <c:pt idx="3781">
                  <c:v>265.39999999999998</c:v>
                </c:pt>
                <c:pt idx="3782">
                  <c:v>263.5</c:v>
                </c:pt>
                <c:pt idx="3783">
                  <c:v>258.2</c:v>
                </c:pt>
                <c:pt idx="3784">
                  <c:v>255.2</c:v>
                </c:pt>
                <c:pt idx="3785">
                  <c:v>253.7</c:v>
                </c:pt>
                <c:pt idx="3786">
                  <c:v>245.1</c:v>
                </c:pt>
                <c:pt idx="3787">
                  <c:v>241.5</c:v>
                </c:pt>
                <c:pt idx="3788">
                  <c:v>238.9</c:v>
                </c:pt>
                <c:pt idx="3789">
                  <c:v>245</c:v>
                </c:pt>
                <c:pt idx="3790">
                  <c:v>244.2</c:v>
                </c:pt>
                <c:pt idx="3791">
                  <c:v>238.2</c:v>
                </c:pt>
                <c:pt idx="3792">
                  <c:v>240.4</c:v>
                </c:pt>
                <c:pt idx="3793">
                  <c:v>238.4</c:v>
                </c:pt>
                <c:pt idx="3794">
                  <c:v>239.3</c:v>
                </c:pt>
                <c:pt idx="3795">
                  <c:v>241.6</c:v>
                </c:pt>
                <c:pt idx="3796">
                  <c:v>239.6</c:v>
                </c:pt>
                <c:pt idx="3797">
                  <c:v>240.4</c:v>
                </c:pt>
                <c:pt idx="3798">
                  <c:v>243.2</c:v>
                </c:pt>
                <c:pt idx="3799">
                  <c:v>248.6</c:v>
                </c:pt>
                <c:pt idx="3800">
                  <c:v>248.7</c:v>
                </c:pt>
                <c:pt idx="3801">
                  <c:v>251.7</c:v>
                </c:pt>
                <c:pt idx="3802">
                  <c:v>251.6</c:v>
                </c:pt>
                <c:pt idx="3803">
                  <c:v>255.6</c:v>
                </c:pt>
                <c:pt idx="3804">
                  <c:v>259.10000000000002</c:v>
                </c:pt>
                <c:pt idx="3805">
                  <c:v>259.7</c:v>
                </c:pt>
                <c:pt idx="3806">
                  <c:v>265.39999999999998</c:v>
                </c:pt>
                <c:pt idx="3807">
                  <c:v>264.7</c:v>
                </c:pt>
                <c:pt idx="3808">
                  <c:v>266.2</c:v>
                </c:pt>
                <c:pt idx="3809">
                  <c:v>265</c:v>
                </c:pt>
                <c:pt idx="3811">
                  <c:v>304.8</c:v>
                </c:pt>
                <c:pt idx="3812">
                  <c:v>303.2</c:v>
                </c:pt>
                <c:pt idx="3813">
                  <c:v>304.60000000000002</c:v>
                </c:pt>
                <c:pt idx="3814">
                  <c:v>303.10000000000002</c:v>
                </c:pt>
                <c:pt idx="3815">
                  <c:v>301.8</c:v>
                </c:pt>
                <c:pt idx="3816">
                  <c:v>297.10000000000002</c:v>
                </c:pt>
                <c:pt idx="3817">
                  <c:v>293.7</c:v>
                </c:pt>
                <c:pt idx="3818">
                  <c:v>291.10000000000002</c:v>
                </c:pt>
                <c:pt idx="3819">
                  <c:v>289.39999999999998</c:v>
                </c:pt>
                <c:pt idx="3820">
                  <c:v>287.3</c:v>
                </c:pt>
                <c:pt idx="3821">
                  <c:v>284</c:v>
                </c:pt>
                <c:pt idx="3822">
                  <c:v>281.7</c:v>
                </c:pt>
                <c:pt idx="3823">
                  <c:v>278</c:v>
                </c:pt>
                <c:pt idx="3824">
                  <c:v>277.8</c:v>
                </c:pt>
                <c:pt idx="3825">
                  <c:v>282.8</c:v>
                </c:pt>
                <c:pt idx="3826">
                  <c:v>283.39999999999998</c:v>
                </c:pt>
                <c:pt idx="3827">
                  <c:v>286.10000000000002</c:v>
                </c:pt>
                <c:pt idx="3828">
                  <c:v>287.5</c:v>
                </c:pt>
                <c:pt idx="3829">
                  <c:v>284.2</c:v>
                </c:pt>
                <c:pt idx="3830">
                  <c:v>282.89999999999998</c:v>
                </c:pt>
                <c:pt idx="3831">
                  <c:v>286.10000000000002</c:v>
                </c:pt>
                <c:pt idx="3832">
                  <c:v>286.8</c:v>
                </c:pt>
                <c:pt idx="3833">
                  <c:v>291.7</c:v>
                </c:pt>
                <c:pt idx="3834">
                  <c:v>293.39999999999998</c:v>
                </c:pt>
                <c:pt idx="3835">
                  <c:v>299.60000000000002</c:v>
                </c:pt>
                <c:pt idx="3836">
                  <c:v>300.39999999999998</c:v>
                </c:pt>
                <c:pt idx="3837">
                  <c:v>302.39999999999998</c:v>
                </c:pt>
                <c:pt idx="3838">
                  <c:v>304.8</c:v>
                </c:pt>
                <c:pt idx="3840">
                  <c:v>298.7</c:v>
                </c:pt>
                <c:pt idx="3841">
                  <c:v>296.2</c:v>
                </c:pt>
                <c:pt idx="3842">
                  <c:v>291</c:v>
                </c:pt>
                <c:pt idx="3843">
                  <c:v>293.7</c:v>
                </c:pt>
                <c:pt idx="3844">
                  <c:v>299.2</c:v>
                </c:pt>
                <c:pt idx="3845">
                  <c:v>298.7</c:v>
                </c:pt>
                <c:pt idx="3847">
                  <c:v>272.7</c:v>
                </c:pt>
                <c:pt idx="3848">
                  <c:v>281.7</c:v>
                </c:pt>
                <c:pt idx="3849">
                  <c:v>286.89999999999998</c:v>
                </c:pt>
                <c:pt idx="3850">
                  <c:v>287.60000000000002</c:v>
                </c:pt>
                <c:pt idx="3851">
                  <c:v>290.2</c:v>
                </c:pt>
                <c:pt idx="3852">
                  <c:v>289.3</c:v>
                </c:pt>
                <c:pt idx="3853">
                  <c:v>294.39999999999998</c:v>
                </c:pt>
                <c:pt idx="3854">
                  <c:v>294.8</c:v>
                </c:pt>
                <c:pt idx="3855">
                  <c:v>298.5</c:v>
                </c:pt>
                <c:pt idx="3856">
                  <c:v>297.8</c:v>
                </c:pt>
                <c:pt idx="3857">
                  <c:v>303</c:v>
                </c:pt>
                <c:pt idx="3858">
                  <c:v>302</c:v>
                </c:pt>
                <c:pt idx="3859">
                  <c:v>304.7</c:v>
                </c:pt>
                <c:pt idx="3860">
                  <c:v>305.60000000000002</c:v>
                </c:pt>
                <c:pt idx="3861">
                  <c:v>304.5</c:v>
                </c:pt>
                <c:pt idx="3862">
                  <c:v>306.2</c:v>
                </c:pt>
                <c:pt idx="3863">
                  <c:v>313.2</c:v>
                </c:pt>
                <c:pt idx="3864">
                  <c:v>314.2</c:v>
                </c:pt>
                <c:pt idx="3865">
                  <c:v>317</c:v>
                </c:pt>
                <c:pt idx="3866">
                  <c:v>319.8</c:v>
                </c:pt>
                <c:pt idx="3867">
                  <c:v>323</c:v>
                </c:pt>
                <c:pt idx="3868">
                  <c:v>323.89999999999998</c:v>
                </c:pt>
                <c:pt idx="3869">
                  <c:v>322.89999999999998</c:v>
                </c:pt>
                <c:pt idx="3870">
                  <c:v>324.5</c:v>
                </c:pt>
                <c:pt idx="3871">
                  <c:v>322.60000000000002</c:v>
                </c:pt>
                <c:pt idx="3872">
                  <c:v>325.89999999999998</c:v>
                </c:pt>
                <c:pt idx="3873">
                  <c:v>325.3</c:v>
                </c:pt>
                <c:pt idx="3874">
                  <c:v>327.8</c:v>
                </c:pt>
                <c:pt idx="3875">
                  <c:v>317</c:v>
                </c:pt>
                <c:pt idx="3876">
                  <c:v>314.89999999999998</c:v>
                </c:pt>
                <c:pt idx="3877">
                  <c:v>312.7</c:v>
                </c:pt>
                <c:pt idx="3878">
                  <c:v>311.39999999999998</c:v>
                </c:pt>
                <c:pt idx="3879">
                  <c:v>304.3</c:v>
                </c:pt>
                <c:pt idx="3880">
                  <c:v>303.7</c:v>
                </c:pt>
                <c:pt idx="3881">
                  <c:v>300</c:v>
                </c:pt>
                <c:pt idx="3882">
                  <c:v>293.89999999999998</c:v>
                </c:pt>
                <c:pt idx="3883">
                  <c:v>292.10000000000002</c:v>
                </c:pt>
                <c:pt idx="3884">
                  <c:v>291</c:v>
                </c:pt>
                <c:pt idx="3885">
                  <c:v>287.3</c:v>
                </c:pt>
                <c:pt idx="3886">
                  <c:v>280.5</c:v>
                </c:pt>
                <c:pt idx="3887">
                  <c:v>280.10000000000002</c:v>
                </c:pt>
                <c:pt idx="3888">
                  <c:v>285.3</c:v>
                </c:pt>
                <c:pt idx="3889">
                  <c:v>283.3</c:v>
                </c:pt>
                <c:pt idx="3890">
                  <c:v>280.3</c:v>
                </c:pt>
                <c:pt idx="3891">
                  <c:v>274.8</c:v>
                </c:pt>
                <c:pt idx="3892">
                  <c:v>272.7</c:v>
                </c:pt>
                <c:pt idx="3894">
                  <c:v>315.2</c:v>
                </c:pt>
                <c:pt idx="3895">
                  <c:v>311.8</c:v>
                </c:pt>
                <c:pt idx="3896">
                  <c:v>311.3</c:v>
                </c:pt>
                <c:pt idx="3897">
                  <c:v>305.39999999999998</c:v>
                </c:pt>
                <c:pt idx="3898">
                  <c:v>302.60000000000002</c:v>
                </c:pt>
                <c:pt idx="3899">
                  <c:v>300.60000000000002</c:v>
                </c:pt>
                <c:pt idx="3900">
                  <c:v>300.7</c:v>
                </c:pt>
                <c:pt idx="3901">
                  <c:v>297.10000000000002</c:v>
                </c:pt>
                <c:pt idx="3902">
                  <c:v>291.39999999999998</c:v>
                </c:pt>
                <c:pt idx="3903">
                  <c:v>293.2</c:v>
                </c:pt>
                <c:pt idx="3904">
                  <c:v>289.60000000000002</c:v>
                </c:pt>
                <c:pt idx="3905">
                  <c:v>287.10000000000002</c:v>
                </c:pt>
                <c:pt idx="3906">
                  <c:v>283.2</c:v>
                </c:pt>
                <c:pt idx="3907">
                  <c:v>278.3</c:v>
                </c:pt>
                <c:pt idx="3908">
                  <c:v>276.7</c:v>
                </c:pt>
                <c:pt idx="3909">
                  <c:v>272.7</c:v>
                </c:pt>
                <c:pt idx="3910">
                  <c:v>272.39999999999998</c:v>
                </c:pt>
                <c:pt idx="3911">
                  <c:v>277.39999999999998</c:v>
                </c:pt>
                <c:pt idx="3912">
                  <c:v>277</c:v>
                </c:pt>
                <c:pt idx="3913">
                  <c:v>279.8</c:v>
                </c:pt>
                <c:pt idx="3914">
                  <c:v>283.10000000000002</c:v>
                </c:pt>
                <c:pt idx="3915">
                  <c:v>288.2</c:v>
                </c:pt>
                <c:pt idx="3916">
                  <c:v>291</c:v>
                </c:pt>
                <c:pt idx="3917">
                  <c:v>292.10000000000002</c:v>
                </c:pt>
                <c:pt idx="3918">
                  <c:v>293.89999999999998</c:v>
                </c:pt>
                <c:pt idx="3919">
                  <c:v>300</c:v>
                </c:pt>
                <c:pt idx="3920">
                  <c:v>303.7</c:v>
                </c:pt>
                <c:pt idx="3921">
                  <c:v>304.3</c:v>
                </c:pt>
                <c:pt idx="3922">
                  <c:v>311.2</c:v>
                </c:pt>
                <c:pt idx="3923">
                  <c:v>312.7</c:v>
                </c:pt>
                <c:pt idx="3924">
                  <c:v>315.60000000000002</c:v>
                </c:pt>
                <c:pt idx="3925">
                  <c:v>314.60000000000002</c:v>
                </c:pt>
                <c:pt idx="3926">
                  <c:v>316.8</c:v>
                </c:pt>
                <c:pt idx="3927">
                  <c:v>315.2</c:v>
                </c:pt>
                <c:pt idx="3929">
                  <c:v>320.89999999999998</c:v>
                </c:pt>
                <c:pt idx="3930">
                  <c:v>317.8</c:v>
                </c:pt>
                <c:pt idx="3931">
                  <c:v>320.39999999999998</c:v>
                </c:pt>
                <c:pt idx="3932">
                  <c:v>317.5</c:v>
                </c:pt>
                <c:pt idx="3933">
                  <c:v>316.39999999999998</c:v>
                </c:pt>
                <c:pt idx="3934">
                  <c:v>315</c:v>
                </c:pt>
                <c:pt idx="3935">
                  <c:v>317.89999999999998</c:v>
                </c:pt>
                <c:pt idx="3936">
                  <c:v>316.10000000000002</c:v>
                </c:pt>
                <c:pt idx="3937">
                  <c:v>313.3</c:v>
                </c:pt>
                <c:pt idx="3938">
                  <c:v>308.2</c:v>
                </c:pt>
                <c:pt idx="3939">
                  <c:v>306</c:v>
                </c:pt>
                <c:pt idx="3940">
                  <c:v>303.89999999999998</c:v>
                </c:pt>
                <c:pt idx="3941">
                  <c:v>303.5</c:v>
                </c:pt>
                <c:pt idx="3942">
                  <c:v>299.2</c:v>
                </c:pt>
                <c:pt idx="3943">
                  <c:v>296.2</c:v>
                </c:pt>
                <c:pt idx="3944">
                  <c:v>296.8</c:v>
                </c:pt>
                <c:pt idx="3945">
                  <c:v>291.7</c:v>
                </c:pt>
                <c:pt idx="3946">
                  <c:v>290.7</c:v>
                </c:pt>
                <c:pt idx="3947">
                  <c:v>294</c:v>
                </c:pt>
                <c:pt idx="3948">
                  <c:v>294.10000000000002</c:v>
                </c:pt>
                <c:pt idx="3949">
                  <c:v>298.39999999999998</c:v>
                </c:pt>
                <c:pt idx="3950">
                  <c:v>300.8</c:v>
                </c:pt>
                <c:pt idx="3951">
                  <c:v>300.60000000000002</c:v>
                </c:pt>
                <c:pt idx="3952">
                  <c:v>302.60000000000002</c:v>
                </c:pt>
                <c:pt idx="3953">
                  <c:v>305.39999999999998</c:v>
                </c:pt>
                <c:pt idx="3954">
                  <c:v>307.89999999999998</c:v>
                </c:pt>
                <c:pt idx="3955">
                  <c:v>312</c:v>
                </c:pt>
                <c:pt idx="3956">
                  <c:v>314.89999999999998</c:v>
                </c:pt>
                <c:pt idx="3957">
                  <c:v>318.10000000000002</c:v>
                </c:pt>
                <c:pt idx="3958">
                  <c:v>316.5</c:v>
                </c:pt>
                <c:pt idx="3959">
                  <c:v>313.7</c:v>
                </c:pt>
                <c:pt idx="3960">
                  <c:v>316.39999999999998</c:v>
                </c:pt>
                <c:pt idx="3961">
                  <c:v>317.10000000000002</c:v>
                </c:pt>
                <c:pt idx="3962">
                  <c:v>317.89999999999998</c:v>
                </c:pt>
                <c:pt idx="3963">
                  <c:v>320.60000000000002</c:v>
                </c:pt>
                <c:pt idx="3964">
                  <c:v>320.89999999999998</c:v>
                </c:pt>
                <c:pt idx="3966">
                  <c:v>294.10000000000002</c:v>
                </c:pt>
                <c:pt idx="3967">
                  <c:v>294</c:v>
                </c:pt>
                <c:pt idx="3968">
                  <c:v>290.7</c:v>
                </c:pt>
                <c:pt idx="3969">
                  <c:v>288.3</c:v>
                </c:pt>
                <c:pt idx="3970">
                  <c:v>282.3</c:v>
                </c:pt>
                <c:pt idx="3971">
                  <c:v>275.39999999999998</c:v>
                </c:pt>
                <c:pt idx="3972">
                  <c:v>272.39999999999998</c:v>
                </c:pt>
                <c:pt idx="3973">
                  <c:v>271.3</c:v>
                </c:pt>
                <c:pt idx="3974">
                  <c:v>268.60000000000002</c:v>
                </c:pt>
                <c:pt idx="3975">
                  <c:v>264.60000000000002</c:v>
                </c:pt>
                <c:pt idx="3976">
                  <c:v>259.8</c:v>
                </c:pt>
                <c:pt idx="3977">
                  <c:v>256.10000000000002</c:v>
                </c:pt>
                <c:pt idx="3978">
                  <c:v>257.39999999999998</c:v>
                </c:pt>
                <c:pt idx="3979">
                  <c:v>259.10000000000002</c:v>
                </c:pt>
                <c:pt idx="3980">
                  <c:v>263.5</c:v>
                </c:pt>
                <c:pt idx="3981">
                  <c:v>266.10000000000002</c:v>
                </c:pt>
                <c:pt idx="3982">
                  <c:v>264.60000000000002</c:v>
                </c:pt>
                <c:pt idx="3983">
                  <c:v>266.3</c:v>
                </c:pt>
                <c:pt idx="3984">
                  <c:v>267.8</c:v>
                </c:pt>
                <c:pt idx="3985">
                  <c:v>271.8</c:v>
                </c:pt>
                <c:pt idx="3986">
                  <c:v>272.7</c:v>
                </c:pt>
                <c:pt idx="3987">
                  <c:v>276.7</c:v>
                </c:pt>
                <c:pt idx="3988">
                  <c:v>278.5</c:v>
                </c:pt>
                <c:pt idx="3989">
                  <c:v>283.2</c:v>
                </c:pt>
                <c:pt idx="3990">
                  <c:v>287.10000000000002</c:v>
                </c:pt>
                <c:pt idx="3991">
                  <c:v>291.10000000000002</c:v>
                </c:pt>
                <c:pt idx="3992">
                  <c:v>293.3</c:v>
                </c:pt>
                <c:pt idx="3993">
                  <c:v>291.39999999999998</c:v>
                </c:pt>
                <c:pt idx="3994">
                  <c:v>296.2</c:v>
                </c:pt>
                <c:pt idx="3995">
                  <c:v>294.10000000000002</c:v>
                </c:pt>
                <c:pt idx="3997">
                  <c:v>289.60000000000002</c:v>
                </c:pt>
                <c:pt idx="3998">
                  <c:v>288</c:v>
                </c:pt>
                <c:pt idx="3999">
                  <c:v>283.10000000000002</c:v>
                </c:pt>
                <c:pt idx="4000">
                  <c:v>279.8</c:v>
                </c:pt>
                <c:pt idx="4001">
                  <c:v>277</c:v>
                </c:pt>
                <c:pt idx="4002">
                  <c:v>277.39999999999998</c:v>
                </c:pt>
                <c:pt idx="4003">
                  <c:v>276.2</c:v>
                </c:pt>
                <c:pt idx="4004">
                  <c:v>274.89999999999998</c:v>
                </c:pt>
                <c:pt idx="4005">
                  <c:v>272.8</c:v>
                </c:pt>
                <c:pt idx="4006">
                  <c:v>271.8</c:v>
                </c:pt>
                <c:pt idx="4007">
                  <c:v>267.8</c:v>
                </c:pt>
                <c:pt idx="4008">
                  <c:v>265.89999999999998</c:v>
                </c:pt>
                <c:pt idx="4009">
                  <c:v>265.3</c:v>
                </c:pt>
                <c:pt idx="4010">
                  <c:v>259.3</c:v>
                </c:pt>
                <c:pt idx="4011">
                  <c:v>259.2</c:v>
                </c:pt>
                <c:pt idx="4012">
                  <c:v>257.2</c:v>
                </c:pt>
                <c:pt idx="4013">
                  <c:v>256.7</c:v>
                </c:pt>
                <c:pt idx="4014">
                  <c:v>257.89999999999998</c:v>
                </c:pt>
                <c:pt idx="4015">
                  <c:v>256.8</c:v>
                </c:pt>
                <c:pt idx="4016">
                  <c:v>258.5</c:v>
                </c:pt>
                <c:pt idx="4017">
                  <c:v>255.2</c:v>
                </c:pt>
                <c:pt idx="4018">
                  <c:v>255.5</c:v>
                </c:pt>
                <c:pt idx="4019">
                  <c:v>260</c:v>
                </c:pt>
                <c:pt idx="4020">
                  <c:v>261.3</c:v>
                </c:pt>
                <c:pt idx="4021">
                  <c:v>263.3</c:v>
                </c:pt>
                <c:pt idx="4022">
                  <c:v>265</c:v>
                </c:pt>
                <c:pt idx="4023">
                  <c:v>268.7</c:v>
                </c:pt>
                <c:pt idx="4024">
                  <c:v>270</c:v>
                </c:pt>
                <c:pt idx="4025">
                  <c:v>272.60000000000002</c:v>
                </c:pt>
                <c:pt idx="4026">
                  <c:v>274.8</c:v>
                </c:pt>
                <c:pt idx="4027">
                  <c:v>280.3</c:v>
                </c:pt>
                <c:pt idx="4028">
                  <c:v>283.3</c:v>
                </c:pt>
                <c:pt idx="4029">
                  <c:v>285.3</c:v>
                </c:pt>
                <c:pt idx="4030">
                  <c:v>280.10000000000002</c:v>
                </c:pt>
                <c:pt idx="4031">
                  <c:v>280.5</c:v>
                </c:pt>
                <c:pt idx="4032">
                  <c:v>287.3</c:v>
                </c:pt>
                <c:pt idx="4033">
                  <c:v>289.60000000000002</c:v>
                </c:pt>
                <c:pt idx="4035">
                  <c:v>255.4</c:v>
                </c:pt>
                <c:pt idx="4036">
                  <c:v>257.5</c:v>
                </c:pt>
                <c:pt idx="4037">
                  <c:v>257.60000000000002</c:v>
                </c:pt>
                <c:pt idx="4038">
                  <c:v>262.3</c:v>
                </c:pt>
                <c:pt idx="4039">
                  <c:v>265.60000000000002</c:v>
                </c:pt>
                <c:pt idx="4040">
                  <c:v>263.60000000000002</c:v>
                </c:pt>
                <c:pt idx="4041">
                  <c:v>264.60000000000002</c:v>
                </c:pt>
                <c:pt idx="4042">
                  <c:v>260.60000000000002</c:v>
                </c:pt>
                <c:pt idx="4043">
                  <c:v>260</c:v>
                </c:pt>
                <c:pt idx="4044">
                  <c:v>255.5</c:v>
                </c:pt>
                <c:pt idx="4045">
                  <c:v>255.2</c:v>
                </c:pt>
                <c:pt idx="4046">
                  <c:v>258.5</c:v>
                </c:pt>
                <c:pt idx="4047">
                  <c:v>256.8</c:v>
                </c:pt>
                <c:pt idx="4048">
                  <c:v>257.89999999999998</c:v>
                </c:pt>
                <c:pt idx="4049">
                  <c:v>256.7</c:v>
                </c:pt>
                <c:pt idx="4050">
                  <c:v>257.2</c:v>
                </c:pt>
                <c:pt idx="4051">
                  <c:v>255.9</c:v>
                </c:pt>
                <c:pt idx="4052">
                  <c:v>251.6</c:v>
                </c:pt>
                <c:pt idx="4053">
                  <c:v>251.7</c:v>
                </c:pt>
                <c:pt idx="4054">
                  <c:v>248.7</c:v>
                </c:pt>
                <c:pt idx="4055">
                  <c:v>248.6</c:v>
                </c:pt>
                <c:pt idx="4056">
                  <c:v>243.2</c:v>
                </c:pt>
                <c:pt idx="4057">
                  <c:v>242.1</c:v>
                </c:pt>
                <c:pt idx="4058">
                  <c:v>237.9</c:v>
                </c:pt>
                <c:pt idx="4059">
                  <c:v>240.3</c:v>
                </c:pt>
                <c:pt idx="4060">
                  <c:v>242.3</c:v>
                </c:pt>
                <c:pt idx="4061">
                  <c:v>242.2</c:v>
                </c:pt>
                <c:pt idx="4062">
                  <c:v>245</c:v>
                </c:pt>
                <c:pt idx="4063">
                  <c:v>248.2</c:v>
                </c:pt>
                <c:pt idx="4064">
                  <c:v>249</c:v>
                </c:pt>
                <c:pt idx="4065">
                  <c:v>251.6</c:v>
                </c:pt>
                <c:pt idx="4066">
                  <c:v>252.4</c:v>
                </c:pt>
                <c:pt idx="4067">
                  <c:v>256</c:v>
                </c:pt>
                <c:pt idx="4068">
                  <c:v>255.6</c:v>
                </c:pt>
                <c:pt idx="4069">
                  <c:v>253.1</c:v>
                </c:pt>
                <c:pt idx="4070">
                  <c:v>251.8</c:v>
                </c:pt>
                <c:pt idx="4071">
                  <c:v>248.8</c:v>
                </c:pt>
                <c:pt idx="4072">
                  <c:v>248.1</c:v>
                </c:pt>
                <c:pt idx="4073">
                  <c:v>249.4</c:v>
                </c:pt>
                <c:pt idx="4074">
                  <c:v>249</c:v>
                </c:pt>
                <c:pt idx="4075">
                  <c:v>253.2</c:v>
                </c:pt>
                <c:pt idx="4076">
                  <c:v>255.4</c:v>
                </c:pt>
                <c:pt idx="4078">
                  <c:v>254.1</c:v>
                </c:pt>
                <c:pt idx="4079">
                  <c:v>262</c:v>
                </c:pt>
                <c:pt idx="4080">
                  <c:v>260.60000000000002</c:v>
                </c:pt>
                <c:pt idx="4081">
                  <c:v>262.3</c:v>
                </c:pt>
                <c:pt idx="4082">
                  <c:v>263.3</c:v>
                </c:pt>
                <c:pt idx="4083">
                  <c:v>262.5</c:v>
                </c:pt>
                <c:pt idx="4084">
                  <c:v>264.3</c:v>
                </c:pt>
                <c:pt idx="4085">
                  <c:v>264</c:v>
                </c:pt>
                <c:pt idx="4086">
                  <c:v>262.8</c:v>
                </c:pt>
                <c:pt idx="4087">
                  <c:v>267.2</c:v>
                </c:pt>
                <c:pt idx="4088">
                  <c:v>267.3</c:v>
                </c:pt>
                <c:pt idx="4089">
                  <c:v>264.60000000000002</c:v>
                </c:pt>
                <c:pt idx="4090">
                  <c:v>266.7</c:v>
                </c:pt>
                <c:pt idx="4091">
                  <c:v>267.39999999999998</c:v>
                </c:pt>
                <c:pt idx="4092">
                  <c:v>267.60000000000002</c:v>
                </c:pt>
                <c:pt idx="4093">
                  <c:v>266.10000000000002</c:v>
                </c:pt>
                <c:pt idx="4094">
                  <c:v>263.10000000000002</c:v>
                </c:pt>
                <c:pt idx="4095">
                  <c:v>262.10000000000002</c:v>
                </c:pt>
                <c:pt idx="4096">
                  <c:v>261.10000000000002</c:v>
                </c:pt>
                <c:pt idx="4097">
                  <c:v>256.10000000000002</c:v>
                </c:pt>
                <c:pt idx="4098">
                  <c:v>254.1</c:v>
                </c:pt>
                <c:pt idx="4099">
                  <c:v>250.5</c:v>
                </c:pt>
                <c:pt idx="4100">
                  <c:v>248.8</c:v>
                </c:pt>
                <c:pt idx="4101">
                  <c:v>245.2</c:v>
                </c:pt>
                <c:pt idx="4102">
                  <c:v>242.7</c:v>
                </c:pt>
                <c:pt idx="4103">
                  <c:v>243.5</c:v>
                </c:pt>
                <c:pt idx="4104">
                  <c:v>240.1</c:v>
                </c:pt>
                <c:pt idx="4105">
                  <c:v>241.8</c:v>
                </c:pt>
                <c:pt idx="4106">
                  <c:v>241.1</c:v>
                </c:pt>
                <c:pt idx="4107">
                  <c:v>238</c:v>
                </c:pt>
                <c:pt idx="4108">
                  <c:v>239.4</c:v>
                </c:pt>
                <c:pt idx="4109">
                  <c:v>238.7</c:v>
                </c:pt>
                <c:pt idx="4110">
                  <c:v>240.9</c:v>
                </c:pt>
                <c:pt idx="4111">
                  <c:v>244.7</c:v>
                </c:pt>
                <c:pt idx="4112">
                  <c:v>243.4</c:v>
                </c:pt>
                <c:pt idx="4113">
                  <c:v>245.9</c:v>
                </c:pt>
                <c:pt idx="4114">
                  <c:v>247.3</c:v>
                </c:pt>
                <c:pt idx="4115">
                  <c:v>250</c:v>
                </c:pt>
                <c:pt idx="4116">
                  <c:v>251.9</c:v>
                </c:pt>
                <c:pt idx="4117">
                  <c:v>252.3</c:v>
                </c:pt>
                <c:pt idx="4118">
                  <c:v>254.1</c:v>
                </c:pt>
                <c:pt idx="4120">
                  <c:v>272.8</c:v>
                </c:pt>
                <c:pt idx="4121">
                  <c:v>271.5</c:v>
                </c:pt>
                <c:pt idx="4122">
                  <c:v>266.8</c:v>
                </c:pt>
                <c:pt idx="4123">
                  <c:v>269</c:v>
                </c:pt>
                <c:pt idx="4124">
                  <c:v>269.3</c:v>
                </c:pt>
                <c:pt idx="4125">
                  <c:v>269.7</c:v>
                </c:pt>
                <c:pt idx="4126">
                  <c:v>271</c:v>
                </c:pt>
                <c:pt idx="4127">
                  <c:v>272.2</c:v>
                </c:pt>
                <c:pt idx="4128">
                  <c:v>270.89999999999998</c:v>
                </c:pt>
                <c:pt idx="4129">
                  <c:v>272.8</c:v>
                </c:pt>
                <c:pt idx="4131">
                  <c:v>291.89999999999998</c:v>
                </c:pt>
                <c:pt idx="4132">
                  <c:v>281</c:v>
                </c:pt>
                <c:pt idx="4133">
                  <c:v>279</c:v>
                </c:pt>
                <c:pt idx="4134">
                  <c:v>279.39999999999998</c:v>
                </c:pt>
                <c:pt idx="4135">
                  <c:v>277.10000000000002</c:v>
                </c:pt>
                <c:pt idx="4136">
                  <c:v>277.60000000000002</c:v>
                </c:pt>
                <c:pt idx="4137">
                  <c:v>273.7</c:v>
                </c:pt>
                <c:pt idx="4138">
                  <c:v>267.5</c:v>
                </c:pt>
                <c:pt idx="4139">
                  <c:v>267.10000000000002</c:v>
                </c:pt>
                <c:pt idx="4140">
                  <c:v>269</c:v>
                </c:pt>
                <c:pt idx="4141">
                  <c:v>269.3</c:v>
                </c:pt>
                <c:pt idx="4142">
                  <c:v>268.10000000000002</c:v>
                </c:pt>
                <c:pt idx="4143">
                  <c:v>270.2</c:v>
                </c:pt>
                <c:pt idx="4144">
                  <c:v>274.5</c:v>
                </c:pt>
                <c:pt idx="4145">
                  <c:v>281</c:v>
                </c:pt>
                <c:pt idx="4146">
                  <c:v>284.7</c:v>
                </c:pt>
                <c:pt idx="4147">
                  <c:v>279.7</c:v>
                </c:pt>
                <c:pt idx="4148">
                  <c:v>286.5</c:v>
                </c:pt>
                <c:pt idx="4149">
                  <c:v>292</c:v>
                </c:pt>
                <c:pt idx="4150">
                  <c:v>291.60000000000002</c:v>
                </c:pt>
                <c:pt idx="4151">
                  <c:v>293.39999999999998</c:v>
                </c:pt>
                <c:pt idx="4152">
                  <c:v>291.89999999999998</c:v>
                </c:pt>
                <c:pt idx="4154">
                  <c:v>181.7</c:v>
                </c:pt>
                <c:pt idx="4155">
                  <c:v>180.7</c:v>
                </c:pt>
                <c:pt idx="4156">
                  <c:v>177.9</c:v>
                </c:pt>
                <c:pt idx="4157">
                  <c:v>181.7</c:v>
                </c:pt>
                <c:pt idx="4159">
                  <c:v>181.9</c:v>
                </c:pt>
                <c:pt idx="4160">
                  <c:v>179.5</c:v>
                </c:pt>
                <c:pt idx="4161">
                  <c:v>179.8</c:v>
                </c:pt>
                <c:pt idx="4162">
                  <c:v>182</c:v>
                </c:pt>
                <c:pt idx="4163">
                  <c:v>181.9</c:v>
                </c:pt>
                <c:pt idx="4165">
                  <c:v>185.6</c:v>
                </c:pt>
                <c:pt idx="4166">
                  <c:v>183.4</c:v>
                </c:pt>
                <c:pt idx="4167">
                  <c:v>183</c:v>
                </c:pt>
                <c:pt idx="4168">
                  <c:v>185.6</c:v>
                </c:pt>
                <c:pt idx="4170">
                  <c:v>188.6</c:v>
                </c:pt>
                <c:pt idx="4171">
                  <c:v>185.8</c:v>
                </c:pt>
                <c:pt idx="4172">
                  <c:v>183.1</c:v>
                </c:pt>
                <c:pt idx="4173">
                  <c:v>181.8</c:v>
                </c:pt>
                <c:pt idx="4174">
                  <c:v>183.5</c:v>
                </c:pt>
                <c:pt idx="4175">
                  <c:v>187.8</c:v>
                </c:pt>
                <c:pt idx="4176">
                  <c:v>188.6</c:v>
                </c:pt>
                <c:pt idx="4178">
                  <c:v>104.1</c:v>
                </c:pt>
                <c:pt idx="4179">
                  <c:v>101.1</c:v>
                </c:pt>
                <c:pt idx="4180">
                  <c:v>100.9</c:v>
                </c:pt>
                <c:pt idx="4181">
                  <c:v>104.1</c:v>
                </c:pt>
                <c:pt idx="4183">
                  <c:v>103.5</c:v>
                </c:pt>
                <c:pt idx="4184">
                  <c:v>100.8</c:v>
                </c:pt>
                <c:pt idx="4185">
                  <c:v>98</c:v>
                </c:pt>
                <c:pt idx="4186">
                  <c:v>98.9</c:v>
                </c:pt>
                <c:pt idx="4187">
                  <c:v>101.2</c:v>
                </c:pt>
                <c:pt idx="4188">
                  <c:v>103.1</c:v>
                </c:pt>
                <c:pt idx="4189">
                  <c:v>103.5</c:v>
                </c:pt>
                <c:pt idx="4191">
                  <c:v>124</c:v>
                </c:pt>
                <c:pt idx="4192">
                  <c:v>120.3</c:v>
                </c:pt>
                <c:pt idx="4193">
                  <c:v>120.4</c:v>
                </c:pt>
                <c:pt idx="4194">
                  <c:v>124.1</c:v>
                </c:pt>
                <c:pt idx="4195">
                  <c:v>124</c:v>
                </c:pt>
                <c:pt idx="4197">
                  <c:v>128.30000000000001</c:v>
                </c:pt>
                <c:pt idx="4198">
                  <c:v>128.5</c:v>
                </c:pt>
                <c:pt idx="4199">
                  <c:v>126.3</c:v>
                </c:pt>
                <c:pt idx="4200">
                  <c:v>128.30000000000001</c:v>
                </c:pt>
                <c:pt idx="4202">
                  <c:v>146.1</c:v>
                </c:pt>
                <c:pt idx="4203">
                  <c:v>146.19999999999999</c:v>
                </c:pt>
                <c:pt idx="4204">
                  <c:v>141.6</c:v>
                </c:pt>
                <c:pt idx="4205">
                  <c:v>142.6</c:v>
                </c:pt>
                <c:pt idx="4206">
                  <c:v>146.1</c:v>
                </c:pt>
                <c:pt idx="4208">
                  <c:v>151.1</c:v>
                </c:pt>
                <c:pt idx="4209">
                  <c:v>150.5</c:v>
                </c:pt>
                <c:pt idx="4210">
                  <c:v>148.80000000000001</c:v>
                </c:pt>
                <c:pt idx="4211">
                  <c:v>149.6</c:v>
                </c:pt>
                <c:pt idx="4212">
                  <c:v>148.5</c:v>
                </c:pt>
                <c:pt idx="4213">
                  <c:v>150.5</c:v>
                </c:pt>
                <c:pt idx="4214">
                  <c:v>151.1</c:v>
                </c:pt>
                <c:pt idx="4216">
                  <c:v>154.69999999999999</c:v>
                </c:pt>
                <c:pt idx="4217">
                  <c:v>152.69999999999999</c:v>
                </c:pt>
                <c:pt idx="4218">
                  <c:v>152.5</c:v>
                </c:pt>
                <c:pt idx="4219">
                  <c:v>151</c:v>
                </c:pt>
                <c:pt idx="4220">
                  <c:v>150.1</c:v>
                </c:pt>
                <c:pt idx="4221">
                  <c:v>151.4</c:v>
                </c:pt>
                <c:pt idx="4222">
                  <c:v>151.80000000000001</c:v>
                </c:pt>
                <c:pt idx="4223">
                  <c:v>154.4</c:v>
                </c:pt>
                <c:pt idx="4224">
                  <c:v>155.6</c:v>
                </c:pt>
                <c:pt idx="4225">
                  <c:v>157</c:v>
                </c:pt>
                <c:pt idx="4226">
                  <c:v>154.69999999999999</c:v>
                </c:pt>
                <c:pt idx="4228">
                  <c:v>160.4</c:v>
                </c:pt>
                <c:pt idx="4229">
                  <c:v>158.30000000000001</c:v>
                </c:pt>
                <c:pt idx="4230">
                  <c:v>158</c:v>
                </c:pt>
                <c:pt idx="4231">
                  <c:v>159.1</c:v>
                </c:pt>
                <c:pt idx="4232">
                  <c:v>157.1</c:v>
                </c:pt>
                <c:pt idx="4233">
                  <c:v>159</c:v>
                </c:pt>
                <c:pt idx="4234">
                  <c:v>157.6</c:v>
                </c:pt>
                <c:pt idx="4235">
                  <c:v>159.5</c:v>
                </c:pt>
                <c:pt idx="4236">
                  <c:v>160.4</c:v>
                </c:pt>
                <c:pt idx="4238">
                  <c:v>161.1</c:v>
                </c:pt>
                <c:pt idx="4239">
                  <c:v>160</c:v>
                </c:pt>
                <c:pt idx="4240">
                  <c:v>159.5</c:v>
                </c:pt>
                <c:pt idx="4241">
                  <c:v>161.4</c:v>
                </c:pt>
                <c:pt idx="4242">
                  <c:v>161.1</c:v>
                </c:pt>
                <c:pt idx="4244">
                  <c:v>162</c:v>
                </c:pt>
                <c:pt idx="4245">
                  <c:v>163.1</c:v>
                </c:pt>
                <c:pt idx="4246">
                  <c:v>162.5</c:v>
                </c:pt>
                <c:pt idx="4247">
                  <c:v>163.9</c:v>
                </c:pt>
                <c:pt idx="4248">
                  <c:v>163.69999999999999</c:v>
                </c:pt>
                <c:pt idx="4249">
                  <c:v>162.69999999999999</c:v>
                </c:pt>
                <c:pt idx="4250">
                  <c:v>162</c:v>
                </c:pt>
                <c:pt idx="4252">
                  <c:v>164.2</c:v>
                </c:pt>
                <c:pt idx="4253">
                  <c:v>163.19999999999999</c:v>
                </c:pt>
                <c:pt idx="4254">
                  <c:v>162.80000000000001</c:v>
                </c:pt>
                <c:pt idx="4255">
                  <c:v>163.80000000000001</c:v>
                </c:pt>
                <c:pt idx="4256">
                  <c:v>164.2</c:v>
                </c:pt>
                <c:pt idx="4258">
                  <c:v>175.1</c:v>
                </c:pt>
                <c:pt idx="4259">
                  <c:v>173</c:v>
                </c:pt>
                <c:pt idx="4260">
                  <c:v>173.6</c:v>
                </c:pt>
                <c:pt idx="4261">
                  <c:v>175.1</c:v>
                </c:pt>
                <c:pt idx="4263">
                  <c:v>174.4</c:v>
                </c:pt>
                <c:pt idx="4264">
                  <c:v>173</c:v>
                </c:pt>
                <c:pt idx="4265">
                  <c:v>174.3</c:v>
                </c:pt>
                <c:pt idx="4266">
                  <c:v>173.5</c:v>
                </c:pt>
                <c:pt idx="4267">
                  <c:v>168.8</c:v>
                </c:pt>
                <c:pt idx="4268">
                  <c:v>163</c:v>
                </c:pt>
                <c:pt idx="4269">
                  <c:v>161.9</c:v>
                </c:pt>
                <c:pt idx="4270">
                  <c:v>160.6</c:v>
                </c:pt>
                <c:pt idx="4271">
                  <c:v>161.5</c:v>
                </c:pt>
                <c:pt idx="4272">
                  <c:v>164.6</c:v>
                </c:pt>
                <c:pt idx="4273">
                  <c:v>166.3</c:v>
                </c:pt>
                <c:pt idx="4274">
                  <c:v>166.9</c:v>
                </c:pt>
                <c:pt idx="4275">
                  <c:v>171.7</c:v>
                </c:pt>
                <c:pt idx="4276">
                  <c:v>176.4</c:v>
                </c:pt>
                <c:pt idx="4277">
                  <c:v>174.4</c:v>
                </c:pt>
                <c:pt idx="4279">
                  <c:v>192.8</c:v>
                </c:pt>
                <c:pt idx="4280">
                  <c:v>191.5</c:v>
                </c:pt>
                <c:pt idx="4281">
                  <c:v>189.2</c:v>
                </c:pt>
                <c:pt idx="4282">
                  <c:v>188.9</c:v>
                </c:pt>
                <c:pt idx="4283">
                  <c:v>186.9</c:v>
                </c:pt>
                <c:pt idx="4284">
                  <c:v>188.7</c:v>
                </c:pt>
                <c:pt idx="4285">
                  <c:v>187.9</c:v>
                </c:pt>
                <c:pt idx="4286">
                  <c:v>190.9</c:v>
                </c:pt>
                <c:pt idx="4287">
                  <c:v>189.4</c:v>
                </c:pt>
                <c:pt idx="4288">
                  <c:v>190.5</c:v>
                </c:pt>
                <c:pt idx="4289">
                  <c:v>189.9</c:v>
                </c:pt>
                <c:pt idx="4290">
                  <c:v>184.2</c:v>
                </c:pt>
                <c:pt idx="4291">
                  <c:v>181.4</c:v>
                </c:pt>
                <c:pt idx="4292">
                  <c:v>177.2</c:v>
                </c:pt>
                <c:pt idx="4293">
                  <c:v>175.3</c:v>
                </c:pt>
                <c:pt idx="4294">
                  <c:v>179.2</c:v>
                </c:pt>
                <c:pt idx="4295">
                  <c:v>173.7</c:v>
                </c:pt>
                <c:pt idx="4296">
                  <c:v>175</c:v>
                </c:pt>
                <c:pt idx="4297">
                  <c:v>173.8</c:v>
                </c:pt>
                <c:pt idx="4298">
                  <c:v>171.3</c:v>
                </c:pt>
                <c:pt idx="4299">
                  <c:v>171.2</c:v>
                </c:pt>
                <c:pt idx="4300">
                  <c:v>169.8</c:v>
                </c:pt>
                <c:pt idx="4301">
                  <c:v>167.6</c:v>
                </c:pt>
                <c:pt idx="4302">
                  <c:v>167.7</c:v>
                </c:pt>
                <c:pt idx="4303">
                  <c:v>165</c:v>
                </c:pt>
                <c:pt idx="4304">
                  <c:v>167.8</c:v>
                </c:pt>
                <c:pt idx="4305">
                  <c:v>167.4</c:v>
                </c:pt>
                <c:pt idx="4306">
                  <c:v>165.6</c:v>
                </c:pt>
                <c:pt idx="4307">
                  <c:v>168.6</c:v>
                </c:pt>
                <c:pt idx="4308">
                  <c:v>170.4</c:v>
                </c:pt>
                <c:pt idx="4309">
                  <c:v>172.3</c:v>
                </c:pt>
                <c:pt idx="4310">
                  <c:v>172.4</c:v>
                </c:pt>
                <c:pt idx="4311">
                  <c:v>174.5</c:v>
                </c:pt>
                <c:pt idx="4312">
                  <c:v>178.3</c:v>
                </c:pt>
                <c:pt idx="4313">
                  <c:v>181.4</c:v>
                </c:pt>
                <c:pt idx="4314">
                  <c:v>182</c:v>
                </c:pt>
                <c:pt idx="4315">
                  <c:v>184.6</c:v>
                </c:pt>
                <c:pt idx="4316">
                  <c:v>185</c:v>
                </c:pt>
                <c:pt idx="4317">
                  <c:v>189.8</c:v>
                </c:pt>
                <c:pt idx="4318">
                  <c:v>192.8</c:v>
                </c:pt>
                <c:pt idx="4319">
                  <c:v>192.8</c:v>
                </c:pt>
                <c:pt idx="4320">
                  <c:v>194.5</c:v>
                </c:pt>
                <c:pt idx="4321">
                  <c:v>193.8</c:v>
                </c:pt>
                <c:pt idx="4322">
                  <c:v>192.8</c:v>
                </c:pt>
                <c:pt idx="4324">
                  <c:v>194</c:v>
                </c:pt>
                <c:pt idx="4325">
                  <c:v>193.7</c:v>
                </c:pt>
                <c:pt idx="4326">
                  <c:v>191.8</c:v>
                </c:pt>
                <c:pt idx="4327">
                  <c:v>191.8</c:v>
                </c:pt>
                <c:pt idx="4328">
                  <c:v>193.9</c:v>
                </c:pt>
                <c:pt idx="4329">
                  <c:v>194</c:v>
                </c:pt>
                <c:pt idx="4331">
                  <c:v>196.7</c:v>
                </c:pt>
                <c:pt idx="4332">
                  <c:v>192.8</c:v>
                </c:pt>
                <c:pt idx="4333">
                  <c:v>192.8</c:v>
                </c:pt>
                <c:pt idx="4334">
                  <c:v>190.7</c:v>
                </c:pt>
                <c:pt idx="4335">
                  <c:v>188.4</c:v>
                </c:pt>
                <c:pt idx="4336">
                  <c:v>188.7</c:v>
                </c:pt>
                <c:pt idx="4337">
                  <c:v>192.4</c:v>
                </c:pt>
                <c:pt idx="4338">
                  <c:v>191.9</c:v>
                </c:pt>
                <c:pt idx="4339">
                  <c:v>188.4</c:v>
                </c:pt>
                <c:pt idx="4340">
                  <c:v>187.8</c:v>
                </c:pt>
                <c:pt idx="4341">
                  <c:v>188.9</c:v>
                </c:pt>
                <c:pt idx="4342">
                  <c:v>187.3</c:v>
                </c:pt>
                <c:pt idx="4343">
                  <c:v>188.5</c:v>
                </c:pt>
                <c:pt idx="4344">
                  <c:v>191.2</c:v>
                </c:pt>
                <c:pt idx="4345">
                  <c:v>191.2</c:v>
                </c:pt>
                <c:pt idx="4346">
                  <c:v>193.6</c:v>
                </c:pt>
                <c:pt idx="4347">
                  <c:v>192.8</c:v>
                </c:pt>
                <c:pt idx="4348">
                  <c:v>195</c:v>
                </c:pt>
                <c:pt idx="4349">
                  <c:v>193</c:v>
                </c:pt>
                <c:pt idx="4350">
                  <c:v>194.1</c:v>
                </c:pt>
                <c:pt idx="4351">
                  <c:v>197</c:v>
                </c:pt>
                <c:pt idx="4352">
                  <c:v>200.7</c:v>
                </c:pt>
                <c:pt idx="4353">
                  <c:v>204.1</c:v>
                </c:pt>
                <c:pt idx="4354">
                  <c:v>202</c:v>
                </c:pt>
                <c:pt idx="4355">
                  <c:v>203.1</c:v>
                </c:pt>
                <c:pt idx="4356">
                  <c:v>219.6</c:v>
                </c:pt>
                <c:pt idx="4357">
                  <c:v>219.5</c:v>
                </c:pt>
                <c:pt idx="4358">
                  <c:v>214.4</c:v>
                </c:pt>
                <c:pt idx="4359">
                  <c:v>215.4</c:v>
                </c:pt>
                <c:pt idx="4360">
                  <c:v>213</c:v>
                </c:pt>
                <c:pt idx="4361">
                  <c:v>216.1</c:v>
                </c:pt>
                <c:pt idx="4362">
                  <c:v>216.4</c:v>
                </c:pt>
                <c:pt idx="4363">
                  <c:v>221.3</c:v>
                </c:pt>
                <c:pt idx="4364">
                  <c:v>225.8</c:v>
                </c:pt>
                <c:pt idx="4365">
                  <c:v>225.7</c:v>
                </c:pt>
                <c:pt idx="4366">
                  <c:v>217.7</c:v>
                </c:pt>
                <c:pt idx="4367">
                  <c:v>212.6</c:v>
                </c:pt>
                <c:pt idx="4368">
                  <c:v>209.3</c:v>
                </c:pt>
                <c:pt idx="4369">
                  <c:v>205.7</c:v>
                </c:pt>
                <c:pt idx="4370">
                  <c:v>204.1</c:v>
                </c:pt>
                <c:pt idx="4371">
                  <c:v>201.2</c:v>
                </c:pt>
                <c:pt idx="4372">
                  <c:v>199.1</c:v>
                </c:pt>
                <c:pt idx="4373">
                  <c:v>196.7</c:v>
                </c:pt>
                <c:pt idx="4375">
                  <c:v>217.7</c:v>
                </c:pt>
                <c:pt idx="4376">
                  <c:v>216.8</c:v>
                </c:pt>
                <c:pt idx="4377">
                  <c:v>217.7</c:v>
                </c:pt>
                <c:pt idx="4378">
                  <c:v>215.3</c:v>
                </c:pt>
                <c:pt idx="4379">
                  <c:v>213.1</c:v>
                </c:pt>
                <c:pt idx="4380">
                  <c:v>212.5</c:v>
                </c:pt>
                <c:pt idx="4381">
                  <c:v>211.2</c:v>
                </c:pt>
                <c:pt idx="4382">
                  <c:v>211.2</c:v>
                </c:pt>
                <c:pt idx="4383">
                  <c:v>214</c:v>
                </c:pt>
                <c:pt idx="4384">
                  <c:v>213.9</c:v>
                </c:pt>
                <c:pt idx="4385">
                  <c:v>211.4</c:v>
                </c:pt>
                <c:pt idx="4386">
                  <c:v>206.5</c:v>
                </c:pt>
                <c:pt idx="4387">
                  <c:v>204.7</c:v>
                </c:pt>
                <c:pt idx="4388">
                  <c:v>199</c:v>
                </c:pt>
                <c:pt idx="4389">
                  <c:v>193.7</c:v>
                </c:pt>
                <c:pt idx="4390">
                  <c:v>191.2</c:v>
                </c:pt>
                <c:pt idx="4391">
                  <c:v>194.6</c:v>
                </c:pt>
                <c:pt idx="4392">
                  <c:v>193.5</c:v>
                </c:pt>
                <c:pt idx="4393">
                  <c:v>199</c:v>
                </c:pt>
                <c:pt idx="4394">
                  <c:v>199.7</c:v>
                </c:pt>
                <c:pt idx="4395">
                  <c:v>198.3</c:v>
                </c:pt>
                <c:pt idx="4396">
                  <c:v>192.7</c:v>
                </c:pt>
                <c:pt idx="4397">
                  <c:v>194</c:v>
                </c:pt>
                <c:pt idx="4398">
                  <c:v>193.5</c:v>
                </c:pt>
                <c:pt idx="4399">
                  <c:v>197</c:v>
                </c:pt>
                <c:pt idx="4400">
                  <c:v>197.9</c:v>
                </c:pt>
                <c:pt idx="4401">
                  <c:v>196.3</c:v>
                </c:pt>
                <c:pt idx="4402">
                  <c:v>196.3</c:v>
                </c:pt>
                <c:pt idx="4403">
                  <c:v>194.2</c:v>
                </c:pt>
                <c:pt idx="4404">
                  <c:v>191.4</c:v>
                </c:pt>
                <c:pt idx="4405">
                  <c:v>197.3</c:v>
                </c:pt>
                <c:pt idx="4406">
                  <c:v>196.8</c:v>
                </c:pt>
                <c:pt idx="4407">
                  <c:v>200</c:v>
                </c:pt>
                <c:pt idx="4408">
                  <c:v>203.7</c:v>
                </c:pt>
                <c:pt idx="4409">
                  <c:v>204.3</c:v>
                </c:pt>
                <c:pt idx="4410">
                  <c:v>202.6</c:v>
                </c:pt>
                <c:pt idx="4411">
                  <c:v>205.1</c:v>
                </c:pt>
                <c:pt idx="4412">
                  <c:v>207.1</c:v>
                </c:pt>
                <c:pt idx="4413">
                  <c:v>216.1</c:v>
                </c:pt>
                <c:pt idx="4414">
                  <c:v>214.9</c:v>
                </c:pt>
                <c:pt idx="4415">
                  <c:v>217.7</c:v>
                </c:pt>
                <c:pt idx="4417">
                  <c:v>196.7</c:v>
                </c:pt>
                <c:pt idx="4418">
                  <c:v>193.9</c:v>
                </c:pt>
                <c:pt idx="4419">
                  <c:v>193.6</c:v>
                </c:pt>
                <c:pt idx="4420">
                  <c:v>196.7</c:v>
                </c:pt>
                <c:pt idx="4422">
                  <c:v>196</c:v>
                </c:pt>
                <c:pt idx="4423">
                  <c:v>195.9</c:v>
                </c:pt>
                <c:pt idx="4424">
                  <c:v>197.9</c:v>
                </c:pt>
                <c:pt idx="4425">
                  <c:v>196</c:v>
                </c:pt>
                <c:pt idx="4427">
                  <c:v>199</c:v>
                </c:pt>
                <c:pt idx="4428">
                  <c:v>196.4</c:v>
                </c:pt>
                <c:pt idx="4429">
                  <c:v>193.2</c:v>
                </c:pt>
                <c:pt idx="4430">
                  <c:v>195.3</c:v>
                </c:pt>
                <c:pt idx="4431">
                  <c:v>195.6</c:v>
                </c:pt>
                <c:pt idx="4432">
                  <c:v>196.1</c:v>
                </c:pt>
                <c:pt idx="4433">
                  <c:v>199.8</c:v>
                </c:pt>
                <c:pt idx="4434">
                  <c:v>199</c:v>
                </c:pt>
                <c:pt idx="4436">
                  <c:v>222.8</c:v>
                </c:pt>
                <c:pt idx="4437">
                  <c:v>220.1</c:v>
                </c:pt>
                <c:pt idx="4438">
                  <c:v>214.5</c:v>
                </c:pt>
                <c:pt idx="4439">
                  <c:v>211.3</c:v>
                </c:pt>
                <c:pt idx="4440">
                  <c:v>206.7</c:v>
                </c:pt>
                <c:pt idx="4441">
                  <c:v>201.4</c:v>
                </c:pt>
                <c:pt idx="4442">
                  <c:v>198.3</c:v>
                </c:pt>
                <c:pt idx="4443">
                  <c:v>198.4</c:v>
                </c:pt>
                <c:pt idx="4444">
                  <c:v>201.4</c:v>
                </c:pt>
                <c:pt idx="4445">
                  <c:v>200.6</c:v>
                </c:pt>
                <c:pt idx="4446">
                  <c:v>196.7</c:v>
                </c:pt>
                <c:pt idx="4447">
                  <c:v>198.1</c:v>
                </c:pt>
                <c:pt idx="4448">
                  <c:v>195</c:v>
                </c:pt>
                <c:pt idx="4449">
                  <c:v>192.9</c:v>
                </c:pt>
                <c:pt idx="4450">
                  <c:v>194.9</c:v>
                </c:pt>
                <c:pt idx="4451">
                  <c:v>195.7</c:v>
                </c:pt>
                <c:pt idx="4452">
                  <c:v>195.3</c:v>
                </c:pt>
                <c:pt idx="4453">
                  <c:v>197.5</c:v>
                </c:pt>
                <c:pt idx="4454">
                  <c:v>196.7</c:v>
                </c:pt>
                <c:pt idx="4455">
                  <c:v>199.1</c:v>
                </c:pt>
                <c:pt idx="4456">
                  <c:v>201</c:v>
                </c:pt>
                <c:pt idx="4457">
                  <c:v>205.9</c:v>
                </c:pt>
                <c:pt idx="4458">
                  <c:v>213.2</c:v>
                </c:pt>
                <c:pt idx="4459">
                  <c:v>216.9</c:v>
                </c:pt>
                <c:pt idx="4460">
                  <c:v>215.8</c:v>
                </c:pt>
                <c:pt idx="4461">
                  <c:v>218.4</c:v>
                </c:pt>
                <c:pt idx="4462">
                  <c:v>218.3</c:v>
                </c:pt>
                <c:pt idx="4463">
                  <c:v>225</c:v>
                </c:pt>
                <c:pt idx="4464">
                  <c:v>222.8</c:v>
                </c:pt>
                <c:pt idx="4466">
                  <c:v>255.7</c:v>
                </c:pt>
                <c:pt idx="4467">
                  <c:v>252.4</c:v>
                </c:pt>
                <c:pt idx="4468">
                  <c:v>251.6</c:v>
                </c:pt>
                <c:pt idx="4469">
                  <c:v>249</c:v>
                </c:pt>
                <c:pt idx="4470">
                  <c:v>248.2</c:v>
                </c:pt>
                <c:pt idx="4471">
                  <c:v>245</c:v>
                </c:pt>
                <c:pt idx="4472">
                  <c:v>242.2</c:v>
                </c:pt>
                <c:pt idx="4473">
                  <c:v>242.3</c:v>
                </c:pt>
                <c:pt idx="4474">
                  <c:v>240.3</c:v>
                </c:pt>
                <c:pt idx="4475">
                  <c:v>238.1</c:v>
                </c:pt>
                <c:pt idx="4476">
                  <c:v>234.4</c:v>
                </c:pt>
                <c:pt idx="4477">
                  <c:v>232.3</c:v>
                </c:pt>
                <c:pt idx="4478">
                  <c:v>226.6</c:v>
                </c:pt>
                <c:pt idx="4479">
                  <c:v>225.4</c:v>
                </c:pt>
                <c:pt idx="4480">
                  <c:v>219.6</c:v>
                </c:pt>
                <c:pt idx="4481">
                  <c:v>218</c:v>
                </c:pt>
                <c:pt idx="4482">
                  <c:v>220</c:v>
                </c:pt>
                <c:pt idx="4483">
                  <c:v>224.2</c:v>
                </c:pt>
                <c:pt idx="4484">
                  <c:v>225.9</c:v>
                </c:pt>
                <c:pt idx="4485">
                  <c:v>225.1</c:v>
                </c:pt>
                <c:pt idx="4486">
                  <c:v>232.6</c:v>
                </c:pt>
                <c:pt idx="4487">
                  <c:v>233.4</c:v>
                </c:pt>
                <c:pt idx="4488">
                  <c:v>232.3</c:v>
                </c:pt>
                <c:pt idx="4489">
                  <c:v>237.3</c:v>
                </c:pt>
                <c:pt idx="4490">
                  <c:v>240.2</c:v>
                </c:pt>
                <c:pt idx="4491">
                  <c:v>240.8</c:v>
                </c:pt>
                <c:pt idx="4492">
                  <c:v>242.5</c:v>
                </c:pt>
                <c:pt idx="4493">
                  <c:v>244.7</c:v>
                </c:pt>
                <c:pt idx="4494">
                  <c:v>247.4</c:v>
                </c:pt>
                <c:pt idx="4495">
                  <c:v>246.6</c:v>
                </c:pt>
                <c:pt idx="4496">
                  <c:v>249.1</c:v>
                </c:pt>
                <c:pt idx="4497">
                  <c:v>248.8</c:v>
                </c:pt>
                <c:pt idx="4498">
                  <c:v>251.8</c:v>
                </c:pt>
                <c:pt idx="4499">
                  <c:v>253.1</c:v>
                </c:pt>
                <c:pt idx="4500">
                  <c:v>255.6</c:v>
                </c:pt>
                <c:pt idx="4501">
                  <c:v>255.7</c:v>
                </c:pt>
                <c:pt idx="4503">
                  <c:v>241.4</c:v>
                </c:pt>
                <c:pt idx="4504">
                  <c:v>239.6</c:v>
                </c:pt>
                <c:pt idx="4505">
                  <c:v>241.6</c:v>
                </c:pt>
                <c:pt idx="4506">
                  <c:v>239.3</c:v>
                </c:pt>
                <c:pt idx="4507">
                  <c:v>238.4</c:v>
                </c:pt>
                <c:pt idx="4508">
                  <c:v>240.4</c:v>
                </c:pt>
                <c:pt idx="4509">
                  <c:v>238</c:v>
                </c:pt>
                <c:pt idx="4510">
                  <c:v>236.2</c:v>
                </c:pt>
                <c:pt idx="4511">
                  <c:v>231.6</c:v>
                </c:pt>
                <c:pt idx="4512">
                  <c:v>229.8</c:v>
                </c:pt>
                <c:pt idx="4513">
                  <c:v>226.4</c:v>
                </c:pt>
                <c:pt idx="4514">
                  <c:v>225.8</c:v>
                </c:pt>
                <c:pt idx="4515">
                  <c:v>221.4</c:v>
                </c:pt>
                <c:pt idx="4516">
                  <c:v>216.4</c:v>
                </c:pt>
                <c:pt idx="4517">
                  <c:v>216.1</c:v>
                </c:pt>
                <c:pt idx="4518">
                  <c:v>213</c:v>
                </c:pt>
                <c:pt idx="4519">
                  <c:v>215.4</c:v>
                </c:pt>
                <c:pt idx="4520">
                  <c:v>214.4</c:v>
                </c:pt>
                <c:pt idx="4521">
                  <c:v>217.4</c:v>
                </c:pt>
                <c:pt idx="4522">
                  <c:v>216.5</c:v>
                </c:pt>
                <c:pt idx="4523">
                  <c:v>219.8</c:v>
                </c:pt>
                <c:pt idx="4524">
                  <c:v>219.7</c:v>
                </c:pt>
                <c:pt idx="4525">
                  <c:v>223.3</c:v>
                </c:pt>
                <c:pt idx="4526">
                  <c:v>225.7</c:v>
                </c:pt>
                <c:pt idx="4527">
                  <c:v>228.7</c:v>
                </c:pt>
                <c:pt idx="4528">
                  <c:v>226.5</c:v>
                </c:pt>
                <c:pt idx="4529">
                  <c:v>227</c:v>
                </c:pt>
                <c:pt idx="4530">
                  <c:v>232.3</c:v>
                </c:pt>
                <c:pt idx="4531">
                  <c:v>234.4</c:v>
                </c:pt>
                <c:pt idx="4532">
                  <c:v>237.9</c:v>
                </c:pt>
                <c:pt idx="4533">
                  <c:v>241.4</c:v>
                </c:pt>
                <c:pt idx="4535">
                  <c:v>244.9</c:v>
                </c:pt>
                <c:pt idx="4536">
                  <c:v>239.9</c:v>
                </c:pt>
                <c:pt idx="4537">
                  <c:v>232.6</c:v>
                </c:pt>
                <c:pt idx="4538">
                  <c:v>225.2</c:v>
                </c:pt>
                <c:pt idx="4539">
                  <c:v>218.3</c:v>
                </c:pt>
                <c:pt idx="4540">
                  <c:v>218.4</c:v>
                </c:pt>
                <c:pt idx="4541">
                  <c:v>215.8</c:v>
                </c:pt>
                <c:pt idx="4542">
                  <c:v>219.3</c:v>
                </c:pt>
                <c:pt idx="4543">
                  <c:v>222.9</c:v>
                </c:pt>
                <c:pt idx="4544">
                  <c:v>225.9</c:v>
                </c:pt>
                <c:pt idx="4545">
                  <c:v>226.2</c:v>
                </c:pt>
                <c:pt idx="4546">
                  <c:v>227.8</c:v>
                </c:pt>
                <c:pt idx="4547">
                  <c:v>230.2</c:v>
                </c:pt>
                <c:pt idx="4548">
                  <c:v>231.6</c:v>
                </c:pt>
                <c:pt idx="4549">
                  <c:v>238.2</c:v>
                </c:pt>
                <c:pt idx="4550">
                  <c:v>244.2</c:v>
                </c:pt>
                <c:pt idx="4551">
                  <c:v>244.9</c:v>
                </c:pt>
                <c:pt idx="4553">
                  <c:v>142.1</c:v>
                </c:pt>
                <c:pt idx="4554">
                  <c:v>138.5</c:v>
                </c:pt>
                <c:pt idx="4555">
                  <c:v>139.30000000000001</c:v>
                </c:pt>
                <c:pt idx="4556">
                  <c:v>142.1</c:v>
                </c:pt>
                <c:pt idx="4558">
                  <c:v>147.5</c:v>
                </c:pt>
                <c:pt idx="4559">
                  <c:v>146.9</c:v>
                </c:pt>
                <c:pt idx="4560">
                  <c:v>148.5</c:v>
                </c:pt>
                <c:pt idx="4561">
                  <c:v>145.80000000000001</c:v>
                </c:pt>
                <c:pt idx="4562">
                  <c:v>143.1</c:v>
                </c:pt>
                <c:pt idx="4563">
                  <c:v>142.1</c:v>
                </c:pt>
                <c:pt idx="4564">
                  <c:v>144</c:v>
                </c:pt>
                <c:pt idx="4565">
                  <c:v>145.30000000000001</c:v>
                </c:pt>
                <c:pt idx="4566">
                  <c:v>145.80000000000001</c:v>
                </c:pt>
                <c:pt idx="4567">
                  <c:v>145.9</c:v>
                </c:pt>
                <c:pt idx="4568">
                  <c:v>148.80000000000001</c:v>
                </c:pt>
                <c:pt idx="4569">
                  <c:v>147.5</c:v>
                </c:pt>
                <c:pt idx="4571">
                  <c:v>150.9</c:v>
                </c:pt>
                <c:pt idx="4572">
                  <c:v>148.80000000000001</c:v>
                </c:pt>
                <c:pt idx="4573">
                  <c:v>143.80000000000001</c:v>
                </c:pt>
                <c:pt idx="4574">
                  <c:v>144.4</c:v>
                </c:pt>
                <c:pt idx="4575">
                  <c:v>142.80000000000001</c:v>
                </c:pt>
                <c:pt idx="4576">
                  <c:v>145.80000000000001</c:v>
                </c:pt>
                <c:pt idx="4577">
                  <c:v>145.30000000000001</c:v>
                </c:pt>
                <c:pt idx="4578">
                  <c:v>148.30000000000001</c:v>
                </c:pt>
                <c:pt idx="4579">
                  <c:v>150.4</c:v>
                </c:pt>
                <c:pt idx="4580">
                  <c:v>148.5</c:v>
                </c:pt>
                <c:pt idx="4581">
                  <c:v>150.9</c:v>
                </c:pt>
                <c:pt idx="4583">
                  <c:v>152.80000000000001</c:v>
                </c:pt>
                <c:pt idx="4584">
                  <c:v>151.6</c:v>
                </c:pt>
                <c:pt idx="4585">
                  <c:v>152.5</c:v>
                </c:pt>
                <c:pt idx="4586">
                  <c:v>154</c:v>
                </c:pt>
                <c:pt idx="4587">
                  <c:v>152.80000000000001</c:v>
                </c:pt>
                <c:pt idx="4589">
                  <c:v>156.1</c:v>
                </c:pt>
                <c:pt idx="4590">
                  <c:v>155.30000000000001</c:v>
                </c:pt>
                <c:pt idx="4591">
                  <c:v>154.19999999999999</c:v>
                </c:pt>
                <c:pt idx="4592">
                  <c:v>153</c:v>
                </c:pt>
                <c:pt idx="4593">
                  <c:v>152.9</c:v>
                </c:pt>
                <c:pt idx="4594">
                  <c:v>150.6</c:v>
                </c:pt>
                <c:pt idx="4595">
                  <c:v>149.1</c:v>
                </c:pt>
                <c:pt idx="4596">
                  <c:v>150.6</c:v>
                </c:pt>
                <c:pt idx="4597">
                  <c:v>152.6</c:v>
                </c:pt>
                <c:pt idx="4598">
                  <c:v>153.6</c:v>
                </c:pt>
                <c:pt idx="4599">
                  <c:v>156.1</c:v>
                </c:pt>
                <c:pt idx="4601">
                  <c:v>173.3</c:v>
                </c:pt>
                <c:pt idx="4602">
                  <c:v>172.6</c:v>
                </c:pt>
                <c:pt idx="4603">
                  <c:v>171.2</c:v>
                </c:pt>
                <c:pt idx="4604">
                  <c:v>173.3</c:v>
                </c:pt>
                <c:pt idx="4606">
                  <c:v>169.5</c:v>
                </c:pt>
                <c:pt idx="4607">
                  <c:v>174.1</c:v>
                </c:pt>
                <c:pt idx="4608">
                  <c:v>178.7</c:v>
                </c:pt>
                <c:pt idx="4609">
                  <c:v>178.4</c:v>
                </c:pt>
                <c:pt idx="4610">
                  <c:v>176.4</c:v>
                </c:pt>
                <c:pt idx="4611">
                  <c:v>177.6</c:v>
                </c:pt>
                <c:pt idx="4612">
                  <c:v>176.5</c:v>
                </c:pt>
                <c:pt idx="4613">
                  <c:v>180.7</c:v>
                </c:pt>
                <c:pt idx="4614">
                  <c:v>182.8</c:v>
                </c:pt>
                <c:pt idx="4615">
                  <c:v>182.5</c:v>
                </c:pt>
                <c:pt idx="4616">
                  <c:v>185</c:v>
                </c:pt>
                <c:pt idx="4617">
                  <c:v>186.6</c:v>
                </c:pt>
                <c:pt idx="4618">
                  <c:v>180.3</c:v>
                </c:pt>
                <c:pt idx="4619">
                  <c:v>177.5</c:v>
                </c:pt>
                <c:pt idx="4620">
                  <c:v>176</c:v>
                </c:pt>
                <c:pt idx="4621">
                  <c:v>170.2</c:v>
                </c:pt>
                <c:pt idx="4622">
                  <c:v>167.6</c:v>
                </c:pt>
                <c:pt idx="4623">
                  <c:v>167.2</c:v>
                </c:pt>
                <c:pt idx="4624">
                  <c:v>165.7</c:v>
                </c:pt>
                <c:pt idx="4625">
                  <c:v>161.5</c:v>
                </c:pt>
                <c:pt idx="4626">
                  <c:v>159.4</c:v>
                </c:pt>
                <c:pt idx="4627">
                  <c:v>161.30000000000001</c:v>
                </c:pt>
                <c:pt idx="4628">
                  <c:v>159.69999999999999</c:v>
                </c:pt>
                <c:pt idx="4629">
                  <c:v>161</c:v>
                </c:pt>
                <c:pt idx="4630">
                  <c:v>160.80000000000001</c:v>
                </c:pt>
                <c:pt idx="4631">
                  <c:v>159.9</c:v>
                </c:pt>
                <c:pt idx="4632">
                  <c:v>157.9</c:v>
                </c:pt>
                <c:pt idx="4633">
                  <c:v>156.69999999999999</c:v>
                </c:pt>
                <c:pt idx="4634">
                  <c:v>154.5</c:v>
                </c:pt>
                <c:pt idx="4635">
                  <c:v>152.9</c:v>
                </c:pt>
                <c:pt idx="4636">
                  <c:v>153.69999999999999</c:v>
                </c:pt>
                <c:pt idx="4637">
                  <c:v>152.1</c:v>
                </c:pt>
                <c:pt idx="4638">
                  <c:v>151.80000000000001</c:v>
                </c:pt>
                <c:pt idx="4639">
                  <c:v>149.6</c:v>
                </c:pt>
                <c:pt idx="4640">
                  <c:v>150.6</c:v>
                </c:pt>
                <c:pt idx="4641">
                  <c:v>149</c:v>
                </c:pt>
                <c:pt idx="4642">
                  <c:v>150.19999999999999</c:v>
                </c:pt>
                <c:pt idx="4643">
                  <c:v>148.9</c:v>
                </c:pt>
                <c:pt idx="4644">
                  <c:v>147.9</c:v>
                </c:pt>
                <c:pt idx="4645">
                  <c:v>147.5</c:v>
                </c:pt>
                <c:pt idx="4646">
                  <c:v>146.5</c:v>
                </c:pt>
                <c:pt idx="4647">
                  <c:v>145.1</c:v>
                </c:pt>
                <c:pt idx="4648">
                  <c:v>149.6</c:v>
                </c:pt>
                <c:pt idx="4649">
                  <c:v>151.1</c:v>
                </c:pt>
                <c:pt idx="4650">
                  <c:v>153.69999999999999</c:v>
                </c:pt>
                <c:pt idx="4651">
                  <c:v>153.4</c:v>
                </c:pt>
                <c:pt idx="4652">
                  <c:v>155.19999999999999</c:v>
                </c:pt>
                <c:pt idx="4653">
                  <c:v>153.30000000000001</c:v>
                </c:pt>
                <c:pt idx="4654">
                  <c:v>154.9</c:v>
                </c:pt>
                <c:pt idx="4655">
                  <c:v>153.69999999999999</c:v>
                </c:pt>
                <c:pt idx="4656">
                  <c:v>156.6</c:v>
                </c:pt>
                <c:pt idx="4657">
                  <c:v>162.30000000000001</c:v>
                </c:pt>
                <c:pt idx="4658">
                  <c:v>161.6</c:v>
                </c:pt>
                <c:pt idx="4659">
                  <c:v>165.2</c:v>
                </c:pt>
                <c:pt idx="4660">
                  <c:v>167.8</c:v>
                </c:pt>
                <c:pt idx="4661">
                  <c:v>168.2</c:v>
                </c:pt>
                <c:pt idx="4662">
                  <c:v>174.3</c:v>
                </c:pt>
                <c:pt idx="4663">
                  <c:v>175</c:v>
                </c:pt>
                <c:pt idx="4664">
                  <c:v>170.3</c:v>
                </c:pt>
                <c:pt idx="4665">
                  <c:v>169.5</c:v>
                </c:pt>
                <c:pt idx="4667">
                  <c:v>184.4</c:v>
                </c:pt>
                <c:pt idx="4668">
                  <c:v>182.4</c:v>
                </c:pt>
                <c:pt idx="4669">
                  <c:v>181.6</c:v>
                </c:pt>
                <c:pt idx="4670">
                  <c:v>184.4</c:v>
                </c:pt>
                <c:pt idx="4672">
                  <c:v>182.8</c:v>
                </c:pt>
                <c:pt idx="4673">
                  <c:v>186.8</c:v>
                </c:pt>
                <c:pt idx="4674">
                  <c:v>185</c:v>
                </c:pt>
                <c:pt idx="4675">
                  <c:v>182.5</c:v>
                </c:pt>
                <c:pt idx="4676">
                  <c:v>182.8</c:v>
                </c:pt>
                <c:pt idx="4677">
                  <c:v>179.5</c:v>
                </c:pt>
                <c:pt idx="4678">
                  <c:v>177.1</c:v>
                </c:pt>
                <c:pt idx="4679">
                  <c:v>172.5</c:v>
                </c:pt>
                <c:pt idx="4680">
                  <c:v>173.2</c:v>
                </c:pt>
                <c:pt idx="4681">
                  <c:v>166</c:v>
                </c:pt>
                <c:pt idx="4682">
                  <c:v>170.9</c:v>
                </c:pt>
                <c:pt idx="4683">
                  <c:v>171.2</c:v>
                </c:pt>
                <c:pt idx="4684">
                  <c:v>174</c:v>
                </c:pt>
                <c:pt idx="4685">
                  <c:v>178.3</c:v>
                </c:pt>
                <c:pt idx="4686">
                  <c:v>186.3</c:v>
                </c:pt>
                <c:pt idx="4687">
                  <c:v>191.8</c:v>
                </c:pt>
                <c:pt idx="4688">
                  <c:v>197.5</c:v>
                </c:pt>
                <c:pt idx="4689">
                  <c:v>202</c:v>
                </c:pt>
                <c:pt idx="4690">
                  <c:v>203.1</c:v>
                </c:pt>
                <c:pt idx="4691">
                  <c:v>202</c:v>
                </c:pt>
                <c:pt idx="4692">
                  <c:v>204.1</c:v>
                </c:pt>
                <c:pt idx="4693">
                  <c:v>197</c:v>
                </c:pt>
                <c:pt idx="4694">
                  <c:v>194.1</c:v>
                </c:pt>
                <c:pt idx="4695">
                  <c:v>193</c:v>
                </c:pt>
                <c:pt idx="4696">
                  <c:v>195</c:v>
                </c:pt>
                <c:pt idx="4697">
                  <c:v>192.8</c:v>
                </c:pt>
                <c:pt idx="4698">
                  <c:v>193.6</c:v>
                </c:pt>
                <c:pt idx="4699">
                  <c:v>191.2</c:v>
                </c:pt>
                <c:pt idx="4700">
                  <c:v>191.2</c:v>
                </c:pt>
                <c:pt idx="4701">
                  <c:v>188.5</c:v>
                </c:pt>
                <c:pt idx="4702">
                  <c:v>187.6</c:v>
                </c:pt>
                <c:pt idx="4703">
                  <c:v>186.6</c:v>
                </c:pt>
                <c:pt idx="4704">
                  <c:v>188.1</c:v>
                </c:pt>
                <c:pt idx="4705">
                  <c:v>185.4</c:v>
                </c:pt>
                <c:pt idx="4706">
                  <c:v>185.5</c:v>
                </c:pt>
                <c:pt idx="4707">
                  <c:v>182.8</c:v>
                </c:pt>
                <c:pt idx="4709">
                  <c:v>226.6</c:v>
                </c:pt>
                <c:pt idx="4710">
                  <c:v>203.9</c:v>
                </c:pt>
                <c:pt idx="4711">
                  <c:v>201.7</c:v>
                </c:pt>
                <c:pt idx="4712">
                  <c:v>202</c:v>
                </c:pt>
                <c:pt idx="4713">
                  <c:v>198.6</c:v>
                </c:pt>
                <c:pt idx="4714">
                  <c:v>191.8</c:v>
                </c:pt>
                <c:pt idx="4715">
                  <c:v>188.9</c:v>
                </c:pt>
                <c:pt idx="4716">
                  <c:v>187.7</c:v>
                </c:pt>
                <c:pt idx="4717">
                  <c:v>189.4</c:v>
                </c:pt>
                <c:pt idx="4718">
                  <c:v>186.4</c:v>
                </c:pt>
                <c:pt idx="4719">
                  <c:v>188.9</c:v>
                </c:pt>
                <c:pt idx="4720">
                  <c:v>191.7</c:v>
                </c:pt>
                <c:pt idx="4721">
                  <c:v>191.5</c:v>
                </c:pt>
                <c:pt idx="4722">
                  <c:v>194.6</c:v>
                </c:pt>
                <c:pt idx="4723">
                  <c:v>199</c:v>
                </c:pt>
                <c:pt idx="4724">
                  <c:v>204.7</c:v>
                </c:pt>
                <c:pt idx="4725">
                  <c:v>206.5</c:v>
                </c:pt>
                <c:pt idx="4726">
                  <c:v>211.4</c:v>
                </c:pt>
                <c:pt idx="4727">
                  <c:v>214.1</c:v>
                </c:pt>
                <c:pt idx="4728">
                  <c:v>215.4</c:v>
                </c:pt>
                <c:pt idx="4729">
                  <c:v>213.5</c:v>
                </c:pt>
                <c:pt idx="4730">
                  <c:v>213.4</c:v>
                </c:pt>
                <c:pt idx="4731">
                  <c:v>215.8</c:v>
                </c:pt>
                <c:pt idx="4732">
                  <c:v>220.5</c:v>
                </c:pt>
                <c:pt idx="4733">
                  <c:v>218.5</c:v>
                </c:pt>
                <c:pt idx="4734">
                  <c:v>219.6</c:v>
                </c:pt>
                <c:pt idx="4735">
                  <c:v>225.4</c:v>
                </c:pt>
                <c:pt idx="4736">
                  <c:v>226.5</c:v>
                </c:pt>
                <c:pt idx="4737">
                  <c:v>228.7</c:v>
                </c:pt>
                <c:pt idx="4738">
                  <c:v>226.6</c:v>
                </c:pt>
                <c:pt idx="4740">
                  <c:v>146.69999999999999</c:v>
                </c:pt>
                <c:pt idx="4741">
                  <c:v>146.6</c:v>
                </c:pt>
                <c:pt idx="4742">
                  <c:v>143</c:v>
                </c:pt>
                <c:pt idx="4743">
                  <c:v>146.1</c:v>
                </c:pt>
                <c:pt idx="4744">
                  <c:v>148.69999999999999</c:v>
                </c:pt>
                <c:pt idx="4745">
                  <c:v>152.6</c:v>
                </c:pt>
                <c:pt idx="4746">
                  <c:v>156.19999999999999</c:v>
                </c:pt>
                <c:pt idx="4747">
                  <c:v>164.2</c:v>
                </c:pt>
                <c:pt idx="4748">
                  <c:v>165</c:v>
                </c:pt>
                <c:pt idx="4749">
                  <c:v>175.5</c:v>
                </c:pt>
                <c:pt idx="4750">
                  <c:v>183.2</c:v>
                </c:pt>
                <c:pt idx="4751">
                  <c:v>186.9</c:v>
                </c:pt>
                <c:pt idx="4752">
                  <c:v>188.3</c:v>
                </c:pt>
                <c:pt idx="4753">
                  <c:v>192.3</c:v>
                </c:pt>
                <c:pt idx="4754">
                  <c:v>191.7</c:v>
                </c:pt>
                <c:pt idx="4755">
                  <c:v>188.9</c:v>
                </c:pt>
                <c:pt idx="4756">
                  <c:v>186.4</c:v>
                </c:pt>
                <c:pt idx="4757">
                  <c:v>189.4</c:v>
                </c:pt>
                <c:pt idx="4758">
                  <c:v>187.8</c:v>
                </c:pt>
                <c:pt idx="4759">
                  <c:v>188</c:v>
                </c:pt>
                <c:pt idx="4760">
                  <c:v>186.2</c:v>
                </c:pt>
                <c:pt idx="4761">
                  <c:v>177</c:v>
                </c:pt>
                <c:pt idx="4762">
                  <c:v>173.8</c:v>
                </c:pt>
                <c:pt idx="4763">
                  <c:v>171.2</c:v>
                </c:pt>
                <c:pt idx="4764">
                  <c:v>170.9</c:v>
                </c:pt>
                <c:pt idx="4765">
                  <c:v>167</c:v>
                </c:pt>
                <c:pt idx="4766">
                  <c:v>164.9</c:v>
                </c:pt>
                <c:pt idx="4767">
                  <c:v>165.5</c:v>
                </c:pt>
                <c:pt idx="4768">
                  <c:v>163.1</c:v>
                </c:pt>
                <c:pt idx="4769">
                  <c:v>159.4</c:v>
                </c:pt>
                <c:pt idx="4770">
                  <c:v>159</c:v>
                </c:pt>
                <c:pt idx="4771">
                  <c:v>157.4</c:v>
                </c:pt>
                <c:pt idx="4772">
                  <c:v>158.1</c:v>
                </c:pt>
                <c:pt idx="4773">
                  <c:v>151</c:v>
                </c:pt>
                <c:pt idx="4774">
                  <c:v>148.30000000000001</c:v>
                </c:pt>
                <c:pt idx="4775">
                  <c:v>148</c:v>
                </c:pt>
                <c:pt idx="4776">
                  <c:v>149.6</c:v>
                </c:pt>
                <c:pt idx="4777">
                  <c:v>145.69999999999999</c:v>
                </c:pt>
                <c:pt idx="4778">
                  <c:v>146.69999999999999</c:v>
                </c:pt>
                <c:pt idx="4780">
                  <c:v>156.5</c:v>
                </c:pt>
                <c:pt idx="4781">
                  <c:v>163.69999999999999</c:v>
                </c:pt>
                <c:pt idx="4782">
                  <c:v>154.30000000000001</c:v>
                </c:pt>
                <c:pt idx="4783">
                  <c:v>154.19999999999999</c:v>
                </c:pt>
                <c:pt idx="4784">
                  <c:v>151.30000000000001</c:v>
                </c:pt>
                <c:pt idx="4785">
                  <c:v>149.9</c:v>
                </c:pt>
                <c:pt idx="4786">
                  <c:v>148.4</c:v>
                </c:pt>
                <c:pt idx="4787">
                  <c:v>146.6</c:v>
                </c:pt>
                <c:pt idx="4788">
                  <c:v>148.19999999999999</c:v>
                </c:pt>
                <c:pt idx="4789">
                  <c:v>148.30000000000001</c:v>
                </c:pt>
                <c:pt idx="4790">
                  <c:v>154.1</c:v>
                </c:pt>
                <c:pt idx="4791">
                  <c:v>155.6</c:v>
                </c:pt>
                <c:pt idx="4792">
                  <c:v>158.30000000000001</c:v>
                </c:pt>
                <c:pt idx="4793">
                  <c:v>161.4</c:v>
                </c:pt>
                <c:pt idx="4794">
                  <c:v>165.5</c:v>
                </c:pt>
                <c:pt idx="4795">
                  <c:v>165.7</c:v>
                </c:pt>
                <c:pt idx="4796">
                  <c:v>171.1</c:v>
                </c:pt>
                <c:pt idx="4797">
                  <c:v>171.6</c:v>
                </c:pt>
                <c:pt idx="4798">
                  <c:v>174.9</c:v>
                </c:pt>
                <c:pt idx="4799">
                  <c:v>176.5</c:v>
                </c:pt>
                <c:pt idx="4800">
                  <c:v>180.2</c:v>
                </c:pt>
                <c:pt idx="4801">
                  <c:v>179.3</c:v>
                </c:pt>
                <c:pt idx="4802">
                  <c:v>182.4</c:v>
                </c:pt>
                <c:pt idx="4803">
                  <c:v>181.7</c:v>
                </c:pt>
                <c:pt idx="4804">
                  <c:v>175.5</c:v>
                </c:pt>
                <c:pt idx="4805">
                  <c:v>165</c:v>
                </c:pt>
                <c:pt idx="4806">
                  <c:v>164.2</c:v>
                </c:pt>
                <c:pt idx="4807">
                  <c:v>156.19999999999999</c:v>
                </c:pt>
                <c:pt idx="4808">
                  <c:v>152.6</c:v>
                </c:pt>
                <c:pt idx="4809">
                  <c:v>148.1</c:v>
                </c:pt>
                <c:pt idx="4810">
                  <c:v>145.80000000000001</c:v>
                </c:pt>
                <c:pt idx="4811">
                  <c:v>146.69999999999999</c:v>
                </c:pt>
                <c:pt idx="4812">
                  <c:v>148</c:v>
                </c:pt>
                <c:pt idx="4813">
                  <c:v>147.19999999999999</c:v>
                </c:pt>
                <c:pt idx="4814">
                  <c:v>156.5</c:v>
                </c:pt>
                <c:pt idx="4816">
                  <c:v>144.80000000000001</c:v>
                </c:pt>
                <c:pt idx="4817">
                  <c:v>143.6</c:v>
                </c:pt>
                <c:pt idx="4818">
                  <c:v>142.30000000000001</c:v>
                </c:pt>
                <c:pt idx="4819">
                  <c:v>143.5</c:v>
                </c:pt>
                <c:pt idx="4820">
                  <c:v>140.80000000000001</c:v>
                </c:pt>
                <c:pt idx="4821">
                  <c:v>131.4</c:v>
                </c:pt>
                <c:pt idx="4822">
                  <c:v>132.19999999999999</c:v>
                </c:pt>
                <c:pt idx="4823">
                  <c:v>129</c:v>
                </c:pt>
                <c:pt idx="4824">
                  <c:v>136.4</c:v>
                </c:pt>
                <c:pt idx="4825">
                  <c:v>136.80000000000001</c:v>
                </c:pt>
                <c:pt idx="4826">
                  <c:v>135</c:v>
                </c:pt>
                <c:pt idx="4827">
                  <c:v>136.5</c:v>
                </c:pt>
                <c:pt idx="4828">
                  <c:v>136.80000000000001</c:v>
                </c:pt>
                <c:pt idx="4829">
                  <c:v>138.9</c:v>
                </c:pt>
                <c:pt idx="4830">
                  <c:v>139</c:v>
                </c:pt>
                <c:pt idx="4831">
                  <c:v>141.5</c:v>
                </c:pt>
                <c:pt idx="4832">
                  <c:v>142.1</c:v>
                </c:pt>
                <c:pt idx="4833">
                  <c:v>145</c:v>
                </c:pt>
                <c:pt idx="4834">
                  <c:v>143.4</c:v>
                </c:pt>
                <c:pt idx="4835">
                  <c:v>145.80000000000001</c:v>
                </c:pt>
                <c:pt idx="4836">
                  <c:v>146</c:v>
                </c:pt>
                <c:pt idx="4837">
                  <c:v>149</c:v>
                </c:pt>
                <c:pt idx="4838">
                  <c:v>149.80000000000001</c:v>
                </c:pt>
                <c:pt idx="4839">
                  <c:v>151.6</c:v>
                </c:pt>
                <c:pt idx="4840">
                  <c:v>152.19999999999999</c:v>
                </c:pt>
                <c:pt idx="4841">
                  <c:v>153.9</c:v>
                </c:pt>
                <c:pt idx="4842">
                  <c:v>154.9</c:v>
                </c:pt>
                <c:pt idx="4843">
                  <c:v>155.19999999999999</c:v>
                </c:pt>
                <c:pt idx="4844">
                  <c:v>156.80000000000001</c:v>
                </c:pt>
                <c:pt idx="4845">
                  <c:v>157.69999999999999</c:v>
                </c:pt>
                <c:pt idx="4846">
                  <c:v>156.5</c:v>
                </c:pt>
                <c:pt idx="4847">
                  <c:v>154.9</c:v>
                </c:pt>
                <c:pt idx="4848">
                  <c:v>158.1</c:v>
                </c:pt>
                <c:pt idx="4849">
                  <c:v>158.69999999999999</c:v>
                </c:pt>
                <c:pt idx="4850">
                  <c:v>160.9</c:v>
                </c:pt>
                <c:pt idx="4851">
                  <c:v>163.5</c:v>
                </c:pt>
                <c:pt idx="4852">
                  <c:v>163.5</c:v>
                </c:pt>
                <c:pt idx="4853">
                  <c:v>165.4</c:v>
                </c:pt>
                <c:pt idx="4854">
                  <c:v>166.6</c:v>
                </c:pt>
                <c:pt idx="4855">
                  <c:v>169.2</c:v>
                </c:pt>
                <c:pt idx="4856">
                  <c:v>179.3</c:v>
                </c:pt>
                <c:pt idx="4857">
                  <c:v>177.4</c:v>
                </c:pt>
                <c:pt idx="4858">
                  <c:v>175.3</c:v>
                </c:pt>
                <c:pt idx="4859">
                  <c:v>172.3</c:v>
                </c:pt>
                <c:pt idx="4860">
                  <c:v>175.8</c:v>
                </c:pt>
                <c:pt idx="4861">
                  <c:v>175.5</c:v>
                </c:pt>
                <c:pt idx="4862">
                  <c:v>174</c:v>
                </c:pt>
                <c:pt idx="4863">
                  <c:v>168.5</c:v>
                </c:pt>
                <c:pt idx="4864">
                  <c:v>171.2</c:v>
                </c:pt>
                <c:pt idx="4865">
                  <c:v>170.2</c:v>
                </c:pt>
                <c:pt idx="4866">
                  <c:v>172.2</c:v>
                </c:pt>
                <c:pt idx="4867">
                  <c:v>171.1</c:v>
                </c:pt>
                <c:pt idx="4868">
                  <c:v>165.7</c:v>
                </c:pt>
                <c:pt idx="4869">
                  <c:v>165.5</c:v>
                </c:pt>
                <c:pt idx="4870">
                  <c:v>161.4</c:v>
                </c:pt>
                <c:pt idx="4871">
                  <c:v>158.30000000000001</c:v>
                </c:pt>
                <c:pt idx="4872">
                  <c:v>155.4</c:v>
                </c:pt>
                <c:pt idx="4873">
                  <c:v>154.1</c:v>
                </c:pt>
                <c:pt idx="4874">
                  <c:v>148.30000000000001</c:v>
                </c:pt>
                <c:pt idx="4875">
                  <c:v>148.19999999999999</c:v>
                </c:pt>
                <c:pt idx="4876">
                  <c:v>146.6</c:v>
                </c:pt>
                <c:pt idx="4877">
                  <c:v>144.80000000000001</c:v>
                </c:pt>
                <c:pt idx="4879">
                  <c:v>199.5</c:v>
                </c:pt>
                <c:pt idx="4880">
                  <c:v>199</c:v>
                </c:pt>
                <c:pt idx="4881">
                  <c:v>193.5</c:v>
                </c:pt>
                <c:pt idx="4882">
                  <c:v>194.6</c:v>
                </c:pt>
                <c:pt idx="4883">
                  <c:v>191.3</c:v>
                </c:pt>
                <c:pt idx="4884">
                  <c:v>191.1</c:v>
                </c:pt>
                <c:pt idx="4885">
                  <c:v>188.3</c:v>
                </c:pt>
                <c:pt idx="4886">
                  <c:v>186.9</c:v>
                </c:pt>
                <c:pt idx="4887">
                  <c:v>181.8</c:v>
                </c:pt>
                <c:pt idx="4888">
                  <c:v>182.2</c:v>
                </c:pt>
                <c:pt idx="4889">
                  <c:v>179.2</c:v>
                </c:pt>
                <c:pt idx="4890">
                  <c:v>180.3</c:v>
                </c:pt>
                <c:pt idx="4891">
                  <c:v>176.7</c:v>
                </c:pt>
                <c:pt idx="4892">
                  <c:v>174.9</c:v>
                </c:pt>
                <c:pt idx="4893">
                  <c:v>172.1</c:v>
                </c:pt>
                <c:pt idx="4894">
                  <c:v>170.2</c:v>
                </c:pt>
                <c:pt idx="4895">
                  <c:v>170.7</c:v>
                </c:pt>
                <c:pt idx="4896">
                  <c:v>168.5</c:v>
                </c:pt>
                <c:pt idx="4897">
                  <c:v>174.1</c:v>
                </c:pt>
                <c:pt idx="4898">
                  <c:v>177.3</c:v>
                </c:pt>
                <c:pt idx="4899">
                  <c:v>176.1</c:v>
                </c:pt>
                <c:pt idx="4900">
                  <c:v>177.8</c:v>
                </c:pt>
                <c:pt idx="4901">
                  <c:v>177.8</c:v>
                </c:pt>
                <c:pt idx="4902">
                  <c:v>176.1</c:v>
                </c:pt>
                <c:pt idx="4903">
                  <c:v>177.4</c:v>
                </c:pt>
                <c:pt idx="4904">
                  <c:v>175.8</c:v>
                </c:pt>
                <c:pt idx="4905">
                  <c:v>177.6</c:v>
                </c:pt>
                <c:pt idx="4906">
                  <c:v>180.5</c:v>
                </c:pt>
                <c:pt idx="4907">
                  <c:v>182</c:v>
                </c:pt>
                <c:pt idx="4908">
                  <c:v>183</c:v>
                </c:pt>
                <c:pt idx="4909">
                  <c:v>180.7</c:v>
                </c:pt>
                <c:pt idx="4910">
                  <c:v>194.2</c:v>
                </c:pt>
                <c:pt idx="4911">
                  <c:v>196.3</c:v>
                </c:pt>
                <c:pt idx="4912">
                  <c:v>197.5</c:v>
                </c:pt>
                <c:pt idx="4913">
                  <c:v>193.5</c:v>
                </c:pt>
                <c:pt idx="4914">
                  <c:v>194</c:v>
                </c:pt>
                <c:pt idx="4915">
                  <c:v>192.7</c:v>
                </c:pt>
                <c:pt idx="4916">
                  <c:v>198.3</c:v>
                </c:pt>
                <c:pt idx="4917">
                  <c:v>199.5</c:v>
                </c:pt>
                <c:pt idx="4919">
                  <c:v>222.8</c:v>
                </c:pt>
                <c:pt idx="4920">
                  <c:v>217.3</c:v>
                </c:pt>
                <c:pt idx="4921">
                  <c:v>215.4</c:v>
                </c:pt>
                <c:pt idx="4922">
                  <c:v>216.3</c:v>
                </c:pt>
                <c:pt idx="4923">
                  <c:v>213.7</c:v>
                </c:pt>
                <c:pt idx="4924">
                  <c:v>214</c:v>
                </c:pt>
                <c:pt idx="4925">
                  <c:v>212.2</c:v>
                </c:pt>
                <c:pt idx="4926">
                  <c:v>214.8</c:v>
                </c:pt>
                <c:pt idx="4927">
                  <c:v>212.7</c:v>
                </c:pt>
                <c:pt idx="4928">
                  <c:v>213.7</c:v>
                </c:pt>
                <c:pt idx="4929">
                  <c:v>212.3</c:v>
                </c:pt>
                <c:pt idx="4930">
                  <c:v>210.2</c:v>
                </c:pt>
                <c:pt idx="4931">
                  <c:v>208.4</c:v>
                </c:pt>
                <c:pt idx="4932">
                  <c:v>208.5</c:v>
                </c:pt>
                <c:pt idx="4933">
                  <c:v>210.3</c:v>
                </c:pt>
                <c:pt idx="4934">
                  <c:v>213.2</c:v>
                </c:pt>
                <c:pt idx="4935">
                  <c:v>212.5</c:v>
                </c:pt>
                <c:pt idx="4936">
                  <c:v>208.2</c:v>
                </c:pt>
                <c:pt idx="4937">
                  <c:v>207.1</c:v>
                </c:pt>
                <c:pt idx="4938">
                  <c:v>203.9</c:v>
                </c:pt>
                <c:pt idx="4939">
                  <c:v>202.8</c:v>
                </c:pt>
                <c:pt idx="4940">
                  <c:v>200</c:v>
                </c:pt>
                <c:pt idx="4941">
                  <c:v>196.8</c:v>
                </c:pt>
                <c:pt idx="4942">
                  <c:v>196.9</c:v>
                </c:pt>
                <c:pt idx="4943">
                  <c:v>191.3</c:v>
                </c:pt>
                <c:pt idx="4944">
                  <c:v>185.3</c:v>
                </c:pt>
                <c:pt idx="4945">
                  <c:v>180.5</c:v>
                </c:pt>
                <c:pt idx="4946">
                  <c:v>183.1</c:v>
                </c:pt>
                <c:pt idx="4947">
                  <c:v>187.7</c:v>
                </c:pt>
                <c:pt idx="4948">
                  <c:v>189.2</c:v>
                </c:pt>
                <c:pt idx="4949">
                  <c:v>192.6</c:v>
                </c:pt>
                <c:pt idx="4950">
                  <c:v>192.3</c:v>
                </c:pt>
                <c:pt idx="4951">
                  <c:v>195.9</c:v>
                </c:pt>
                <c:pt idx="4952">
                  <c:v>205.4</c:v>
                </c:pt>
                <c:pt idx="4953">
                  <c:v>202.1</c:v>
                </c:pt>
                <c:pt idx="4954">
                  <c:v>200.9</c:v>
                </c:pt>
                <c:pt idx="4955">
                  <c:v>196.8</c:v>
                </c:pt>
                <c:pt idx="4956">
                  <c:v>196.5</c:v>
                </c:pt>
                <c:pt idx="4957">
                  <c:v>198</c:v>
                </c:pt>
                <c:pt idx="4958">
                  <c:v>197.7</c:v>
                </c:pt>
                <c:pt idx="4959">
                  <c:v>199.4</c:v>
                </c:pt>
                <c:pt idx="4960">
                  <c:v>202.7</c:v>
                </c:pt>
                <c:pt idx="4961">
                  <c:v>204.2</c:v>
                </c:pt>
                <c:pt idx="4962">
                  <c:v>201.9</c:v>
                </c:pt>
                <c:pt idx="4963">
                  <c:v>203.7</c:v>
                </c:pt>
                <c:pt idx="4964">
                  <c:v>204.7</c:v>
                </c:pt>
                <c:pt idx="4965">
                  <c:v>204.8</c:v>
                </c:pt>
                <c:pt idx="4966">
                  <c:v>208.1</c:v>
                </c:pt>
                <c:pt idx="4967">
                  <c:v>210.8</c:v>
                </c:pt>
                <c:pt idx="4968">
                  <c:v>209.7</c:v>
                </c:pt>
                <c:pt idx="4969">
                  <c:v>211.6</c:v>
                </c:pt>
                <c:pt idx="4970">
                  <c:v>212.2</c:v>
                </c:pt>
                <c:pt idx="4971">
                  <c:v>213.1</c:v>
                </c:pt>
                <c:pt idx="4972">
                  <c:v>215.1</c:v>
                </c:pt>
                <c:pt idx="4973">
                  <c:v>214.9</c:v>
                </c:pt>
                <c:pt idx="4974">
                  <c:v>212.1</c:v>
                </c:pt>
                <c:pt idx="4975">
                  <c:v>211.4</c:v>
                </c:pt>
                <c:pt idx="4976">
                  <c:v>210</c:v>
                </c:pt>
                <c:pt idx="4977">
                  <c:v>212</c:v>
                </c:pt>
                <c:pt idx="4978">
                  <c:v>211.3</c:v>
                </c:pt>
                <c:pt idx="4979">
                  <c:v>213.8</c:v>
                </c:pt>
                <c:pt idx="4980">
                  <c:v>216</c:v>
                </c:pt>
                <c:pt idx="4981">
                  <c:v>215.9</c:v>
                </c:pt>
                <c:pt idx="4982">
                  <c:v>217.6</c:v>
                </c:pt>
                <c:pt idx="4983">
                  <c:v>220.9</c:v>
                </c:pt>
                <c:pt idx="4984">
                  <c:v>221.7</c:v>
                </c:pt>
                <c:pt idx="4985">
                  <c:v>220.2</c:v>
                </c:pt>
                <c:pt idx="4986">
                  <c:v>219.3</c:v>
                </c:pt>
                <c:pt idx="4987">
                  <c:v>222.8</c:v>
                </c:pt>
                <c:pt idx="4989">
                  <c:v>228.2</c:v>
                </c:pt>
                <c:pt idx="4990">
                  <c:v>224.1</c:v>
                </c:pt>
                <c:pt idx="4991">
                  <c:v>221.3</c:v>
                </c:pt>
                <c:pt idx="4992">
                  <c:v>216.1</c:v>
                </c:pt>
                <c:pt idx="4993">
                  <c:v>214.9</c:v>
                </c:pt>
                <c:pt idx="4994">
                  <c:v>216.1</c:v>
                </c:pt>
                <c:pt idx="4995">
                  <c:v>207.1</c:v>
                </c:pt>
                <c:pt idx="4996">
                  <c:v>205.1</c:v>
                </c:pt>
                <c:pt idx="4997">
                  <c:v>202.6</c:v>
                </c:pt>
                <c:pt idx="4998">
                  <c:v>204.3</c:v>
                </c:pt>
                <c:pt idx="4999">
                  <c:v>202.8</c:v>
                </c:pt>
                <c:pt idx="5000">
                  <c:v>203.9</c:v>
                </c:pt>
                <c:pt idx="5001">
                  <c:v>207.1</c:v>
                </c:pt>
                <c:pt idx="5002">
                  <c:v>208.9</c:v>
                </c:pt>
                <c:pt idx="5003">
                  <c:v>212.5</c:v>
                </c:pt>
                <c:pt idx="5004">
                  <c:v>214.7</c:v>
                </c:pt>
                <c:pt idx="5005">
                  <c:v>216.3</c:v>
                </c:pt>
                <c:pt idx="5006">
                  <c:v>217.1</c:v>
                </c:pt>
                <c:pt idx="5007">
                  <c:v>223.6</c:v>
                </c:pt>
                <c:pt idx="5008">
                  <c:v>225.7</c:v>
                </c:pt>
                <c:pt idx="5009">
                  <c:v>224.2</c:v>
                </c:pt>
                <c:pt idx="5010">
                  <c:v>226.4</c:v>
                </c:pt>
                <c:pt idx="5011">
                  <c:v>225.3</c:v>
                </c:pt>
                <c:pt idx="5012">
                  <c:v>225.9</c:v>
                </c:pt>
                <c:pt idx="5013">
                  <c:v>226.7</c:v>
                </c:pt>
                <c:pt idx="5014">
                  <c:v>231</c:v>
                </c:pt>
                <c:pt idx="5015">
                  <c:v>228.2</c:v>
                </c:pt>
                <c:pt idx="5017">
                  <c:v>237.5</c:v>
                </c:pt>
                <c:pt idx="5018">
                  <c:v>235.6</c:v>
                </c:pt>
                <c:pt idx="5019">
                  <c:v>234.8</c:v>
                </c:pt>
                <c:pt idx="5020">
                  <c:v>236.4</c:v>
                </c:pt>
                <c:pt idx="5021">
                  <c:v>237.5</c:v>
                </c:pt>
                <c:pt idx="5023">
                  <c:v>244.8</c:v>
                </c:pt>
                <c:pt idx="5024">
                  <c:v>243</c:v>
                </c:pt>
                <c:pt idx="5025">
                  <c:v>241.4</c:v>
                </c:pt>
                <c:pt idx="5026">
                  <c:v>242.8</c:v>
                </c:pt>
                <c:pt idx="5027">
                  <c:v>243.1</c:v>
                </c:pt>
                <c:pt idx="5028">
                  <c:v>244.1</c:v>
                </c:pt>
                <c:pt idx="5029">
                  <c:v>244.8</c:v>
                </c:pt>
                <c:pt idx="5031">
                  <c:v>251.6</c:v>
                </c:pt>
                <c:pt idx="5032">
                  <c:v>251.6</c:v>
                </c:pt>
                <c:pt idx="5033">
                  <c:v>249.8</c:v>
                </c:pt>
                <c:pt idx="5034">
                  <c:v>247.3</c:v>
                </c:pt>
                <c:pt idx="5035">
                  <c:v>245.9</c:v>
                </c:pt>
                <c:pt idx="5036">
                  <c:v>243.4</c:v>
                </c:pt>
                <c:pt idx="5037">
                  <c:v>244.7</c:v>
                </c:pt>
                <c:pt idx="5038">
                  <c:v>240.9</c:v>
                </c:pt>
                <c:pt idx="5039">
                  <c:v>238.7</c:v>
                </c:pt>
                <c:pt idx="5040">
                  <c:v>239.4</c:v>
                </c:pt>
                <c:pt idx="5041">
                  <c:v>238</c:v>
                </c:pt>
                <c:pt idx="5042">
                  <c:v>241.1</c:v>
                </c:pt>
                <c:pt idx="5043">
                  <c:v>241.8</c:v>
                </c:pt>
                <c:pt idx="5044">
                  <c:v>240.1</c:v>
                </c:pt>
                <c:pt idx="5045">
                  <c:v>238</c:v>
                </c:pt>
                <c:pt idx="5046">
                  <c:v>235.6</c:v>
                </c:pt>
                <c:pt idx="5047">
                  <c:v>233.4</c:v>
                </c:pt>
                <c:pt idx="5048">
                  <c:v>226.7</c:v>
                </c:pt>
                <c:pt idx="5049">
                  <c:v>225.2</c:v>
                </c:pt>
                <c:pt idx="5050">
                  <c:v>226.4</c:v>
                </c:pt>
                <c:pt idx="5051">
                  <c:v>224.2</c:v>
                </c:pt>
                <c:pt idx="5052">
                  <c:v>225.7</c:v>
                </c:pt>
                <c:pt idx="5053">
                  <c:v>223.2</c:v>
                </c:pt>
                <c:pt idx="5054">
                  <c:v>225.4</c:v>
                </c:pt>
                <c:pt idx="5055">
                  <c:v>226.1</c:v>
                </c:pt>
                <c:pt idx="5056">
                  <c:v>228.4</c:v>
                </c:pt>
                <c:pt idx="5057">
                  <c:v>226.1</c:v>
                </c:pt>
                <c:pt idx="5058">
                  <c:v>228.6</c:v>
                </c:pt>
                <c:pt idx="5059">
                  <c:v>227.5</c:v>
                </c:pt>
                <c:pt idx="5060">
                  <c:v>229.6</c:v>
                </c:pt>
                <c:pt idx="5061">
                  <c:v>232.6</c:v>
                </c:pt>
                <c:pt idx="5062">
                  <c:v>231.9</c:v>
                </c:pt>
                <c:pt idx="5063">
                  <c:v>233.9</c:v>
                </c:pt>
                <c:pt idx="5064">
                  <c:v>235.1</c:v>
                </c:pt>
                <c:pt idx="5065">
                  <c:v>234.5</c:v>
                </c:pt>
                <c:pt idx="5066">
                  <c:v>235.8</c:v>
                </c:pt>
                <c:pt idx="5067">
                  <c:v>236.2</c:v>
                </c:pt>
                <c:pt idx="5068">
                  <c:v>245.4</c:v>
                </c:pt>
                <c:pt idx="5069">
                  <c:v>243.2</c:v>
                </c:pt>
                <c:pt idx="5070">
                  <c:v>248.2</c:v>
                </c:pt>
                <c:pt idx="5071">
                  <c:v>251.6</c:v>
                </c:pt>
                <c:pt idx="5072">
                  <c:v>252.3</c:v>
                </c:pt>
                <c:pt idx="5073">
                  <c:v>251.6</c:v>
                </c:pt>
                <c:pt idx="5075">
                  <c:v>258.2</c:v>
                </c:pt>
                <c:pt idx="5076">
                  <c:v>257.2</c:v>
                </c:pt>
                <c:pt idx="5077">
                  <c:v>255.5</c:v>
                </c:pt>
                <c:pt idx="5078">
                  <c:v>255.4</c:v>
                </c:pt>
                <c:pt idx="5079">
                  <c:v>253.2</c:v>
                </c:pt>
                <c:pt idx="5080">
                  <c:v>251.2</c:v>
                </c:pt>
                <c:pt idx="5081">
                  <c:v>248.4</c:v>
                </c:pt>
                <c:pt idx="5082">
                  <c:v>246.5</c:v>
                </c:pt>
                <c:pt idx="5083">
                  <c:v>247.4</c:v>
                </c:pt>
                <c:pt idx="5084">
                  <c:v>244.7</c:v>
                </c:pt>
                <c:pt idx="5085">
                  <c:v>242.5</c:v>
                </c:pt>
                <c:pt idx="5086">
                  <c:v>240.8</c:v>
                </c:pt>
                <c:pt idx="5087">
                  <c:v>240.2</c:v>
                </c:pt>
                <c:pt idx="5088">
                  <c:v>237.3</c:v>
                </c:pt>
                <c:pt idx="5089">
                  <c:v>232.7</c:v>
                </c:pt>
                <c:pt idx="5090">
                  <c:v>229.1</c:v>
                </c:pt>
                <c:pt idx="5091">
                  <c:v>230.8</c:v>
                </c:pt>
                <c:pt idx="5092">
                  <c:v>233.4</c:v>
                </c:pt>
                <c:pt idx="5093">
                  <c:v>232.8</c:v>
                </c:pt>
                <c:pt idx="5094">
                  <c:v>228.5</c:v>
                </c:pt>
                <c:pt idx="5095">
                  <c:v>228.8</c:v>
                </c:pt>
                <c:pt idx="5096">
                  <c:v>226.2</c:v>
                </c:pt>
                <c:pt idx="5097">
                  <c:v>226.3</c:v>
                </c:pt>
                <c:pt idx="5098">
                  <c:v>231.3</c:v>
                </c:pt>
                <c:pt idx="5099">
                  <c:v>233.4</c:v>
                </c:pt>
                <c:pt idx="5100">
                  <c:v>234.8</c:v>
                </c:pt>
                <c:pt idx="5101">
                  <c:v>238</c:v>
                </c:pt>
                <c:pt idx="5102">
                  <c:v>238.9</c:v>
                </c:pt>
                <c:pt idx="5103">
                  <c:v>243.5</c:v>
                </c:pt>
                <c:pt idx="5104">
                  <c:v>242.7</c:v>
                </c:pt>
                <c:pt idx="5105">
                  <c:v>246.3</c:v>
                </c:pt>
                <c:pt idx="5106">
                  <c:v>248.8</c:v>
                </c:pt>
                <c:pt idx="5107">
                  <c:v>250.5</c:v>
                </c:pt>
                <c:pt idx="5108">
                  <c:v>254.5</c:v>
                </c:pt>
                <c:pt idx="5109">
                  <c:v>256</c:v>
                </c:pt>
                <c:pt idx="5110">
                  <c:v>256.2</c:v>
                </c:pt>
                <c:pt idx="5111">
                  <c:v>258.2</c:v>
                </c:pt>
                <c:pt idx="5113">
                  <c:v>96.1</c:v>
                </c:pt>
                <c:pt idx="5114">
                  <c:v>93.9</c:v>
                </c:pt>
                <c:pt idx="5115">
                  <c:v>94.3</c:v>
                </c:pt>
                <c:pt idx="5116">
                  <c:v>96.1</c:v>
                </c:pt>
                <c:pt idx="5118">
                  <c:v>116.5</c:v>
                </c:pt>
                <c:pt idx="5119">
                  <c:v>114.8</c:v>
                </c:pt>
                <c:pt idx="5120">
                  <c:v>115.1</c:v>
                </c:pt>
                <c:pt idx="5121">
                  <c:v>113.7</c:v>
                </c:pt>
                <c:pt idx="5122">
                  <c:v>114.8</c:v>
                </c:pt>
                <c:pt idx="5123">
                  <c:v>113.2</c:v>
                </c:pt>
                <c:pt idx="5124">
                  <c:v>114.9</c:v>
                </c:pt>
                <c:pt idx="5125">
                  <c:v>112</c:v>
                </c:pt>
                <c:pt idx="5126">
                  <c:v>110.5</c:v>
                </c:pt>
                <c:pt idx="5127">
                  <c:v>114.6</c:v>
                </c:pt>
                <c:pt idx="5128">
                  <c:v>116.5</c:v>
                </c:pt>
                <c:pt idx="5130">
                  <c:v>118.8</c:v>
                </c:pt>
                <c:pt idx="5131">
                  <c:v>117</c:v>
                </c:pt>
                <c:pt idx="5132">
                  <c:v>115.9</c:v>
                </c:pt>
                <c:pt idx="5133">
                  <c:v>113.4</c:v>
                </c:pt>
                <c:pt idx="5134">
                  <c:v>109.3</c:v>
                </c:pt>
                <c:pt idx="5135">
                  <c:v>113.1</c:v>
                </c:pt>
                <c:pt idx="5136">
                  <c:v>115.7</c:v>
                </c:pt>
                <c:pt idx="5137">
                  <c:v>117.7</c:v>
                </c:pt>
                <c:pt idx="5138">
                  <c:v>118.8</c:v>
                </c:pt>
                <c:pt idx="5140">
                  <c:v>117.9</c:v>
                </c:pt>
                <c:pt idx="5141">
                  <c:v>116.5</c:v>
                </c:pt>
                <c:pt idx="5142">
                  <c:v>117.6</c:v>
                </c:pt>
                <c:pt idx="5143">
                  <c:v>120.2</c:v>
                </c:pt>
                <c:pt idx="5144">
                  <c:v>117.9</c:v>
                </c:pt>
                <c:pt idx="5146">
                  <c:v>120.9</c:v>
                </c:pt>
                <c:pt idx="5147">
                  <c:v>120.3</c:v>
                </c:pt>
                <c:pt idx="5148">
                  <c:v>117.2</c:v>
                </c:pt>
                <c:pt idx="5149">
                  <c:v>117.8</c:v>
                </c:pt>
                <c:pt idx="5150">
                  <c:v>114.5</c:v>
                </c:pt>
                <c:pt idx="5151">
                  <c:v>113.5</c:v>
                </c:pt>
                <c:pt idx="5152">
                  <c:v>115.3</c:v>
                </c:pt>
                <c:pt idx="5153">
                  <c:v>113.6</c:v>
                </c:pt>
                <c:pt idx="5154">
                  <c:v>118.9</c:v>
                </c:pt>
                <c:pt idx="5155">
                  <c:v>120.9</c:v>
                </c:pt>
                <c:pt idx="5157">
                  <c:v>122.6</c:v>
                </c:pt>
                <c:pt idx="5158">
                  <c:v>119.6</c:v>
                </c:pt>
                <c:pt idx="5159">
                  <c:v>119</c:v>
                </c:pt>
                <c:pt idx="5160">
                  <c:v>117</c:v>
                </c:pt>
                <c:pt idx="5161">
                  <c:v>118</c:v>
                </c:pt>
                <c:pt idx="5162">
                  <c:v>116</c:v>
                </c:pt>
                <c:pt idx="5163">
                  <c:v>117.8</c:v>
                </c:pt>
                <c:pt idx="5164">
                  <c:v>121.5</c:v>
                </c:pt>
                <c:pt idx="5165">
                  <c:v>122.6</c:v>
                </c:pt>
                <c:pt idx="5166">
                  <c:v>122.6</c:v>
                </c:pt>
                <c:pt idx="5168">
                  <c:v>124.3</c:v>
                </c:pt>
                <c:pt idx="5169">
                  <c:v>123.1</c:v>
                </c:pt>
                <c:pt idx="5170">
                  <c:v>122.6</c:v>
                </c:pt>
                <c:pt idx="5171">
                  <c:v>124.3</c:v>
                </c:pt>
                <c:pt idx="5173">
                  <c:v>133.69999999999999</c:v>
                </c:pt>
                <c:pt idx="5174">
                  <c:v>132.4</c:v>
                </c:pt>
                <c:pt idx="5175">
                  <c:v>129.9</c:v>
                </c:pt>
                <c:pt idx="5176">
                  <c:v>132.69999999999999</c:v>
                </c:pt>
                <c:pt idx="5177">
                  <c:v>133.69999999999999</c:v>
                </c:pt>
                <c:pt idx="5179">
                  <c:v>131.1</c:v>
                </c:pt>
                <c:pt idx="5180">
                  <c:v>132.6</c:v>
                </c:pt>
                <c:pt idx="5181">
                  <c:v>131.5</c:v>
                </c:pt>
                <c:pt idx="5182">
                  <c:v>133.6</c:v>
                </c:pt>
                <c:pt idx="5183">
                  <c:v>133.30000000000001</c:v>
                </c:pt>
                <c:pt idx="5184">
                  <c:v>134.80000000000001</c:v>
                </c:pt>
                <c:pt idx="5185">
                  <c:v>133.69999999999999</c:v>
                </c:pt>
                <c:pt idx="5186">
                  <c:v>136.1</c:v>
                </c:pt>
                <c:pt idx="5187">
                  <c:v>133.69999999999999</c:v>
                </c:pt>
                <c:pt idx="5188">
                  <c:v>134.6</c:v>
                </c:pt>
                <c:pt idx="5189">
                  <c:v>131</c:v>
                </c:pt>
                <c:pt idx="5190">
                  <c:v>132.19999999999999</c:v>
                </c:pt>
                <c:pt idx="5191">
                  <c:v>129.69999999999999</c:v>
                </c:pt>
                <c:pt idx="5192">
                  <c:v>131.1</c:v>
                </c:pt>
                <c:pt idx="5194">
                  <c:v>134.1</c:v>
                </c:pt>
                <c:pt idx="5195">
                  <c:v>136.19999999999999</c:v>
                </c:pt>
                <c:pt idx="5196">
                  <c:v>135.9</c:v>
                </c:pt>
                <c:pt idx="5197">
                  <c:v>138.5</c:v>
                </c:pt>
                <c:pt idx="5198">
                  <c:v>135.30000000000001</c:v>
                </c:pt>
                <c:pt idx="5199">
                  <c:v>136.4</c:v>
                </c:pt>
                <c:pt idx="5200">
                  <c:v>133.9</c:v>
                </c:pt>
                <c:pt idx="5201">
                  <c:v>134.9</c:v>
                </c:pt>
                <c:pt idx="5202">
                  <c:v>133.30000000000001</c:v>
                </c:pt>
                <c:pt idx="5203">
                  <c:v>133.1</c:v>
                </c:pt>
                <c:pt idx="5204">
                  <c:v>130.69999999999999</c:v>
                </c:pt>
                <c:pt idx="5205">
                  <c:v>132.5</c:v>
                </c:pt>
                <c:pt idx="5206">
                  <c:v>133.80000000000001</c:v>
                </c:pt>
                <c:pt idx="5207">
                  <c:v>134.1</c:v>
                </c:pt>
                <c:pt idx="5209">
                  <c:v>139.69999999999999</c:v>
                </c:pt>
                <c:pt idx="5210">
                  <c:v>138.19999999999999</c:v>
                </c:pt>
                <c:pt idx="5211">
                  <c:v>137.5</c:v>
                </c:pt>
                <c:pt idx="5212">
                  <c:v>139.69999999999999</c:v>
                </c:pt>
                <c:pt idx="5214">
                  <c:v>140.4</c:v>
                </c:pt>
                <c:pt idx="5215">
                  <c:v>138.4</c:v>
                </c:pt>
                <c:pt idx="5216">
                  <c:v>134.4</c:v>
                </c:pt>
                <c:pt idx="5217">
                  <c:v>131.5</c:v>
                </c:pt>
                <c:pt idx="5218">
                  <c:v>131.6</c:v>
                </c:pt>
                <c:pt idx="5219">
                  <c:v>129.80000000000001</c:v>
                </c:pt>
                <c:pt idx="5220">
                  <c:v>128.4</c:v>
                </c:pt>
                <c:pt idx="5221">
                  <c:v>130.30000000000001</c:v>
                </c:pt>
                <c:pt idx="5222">
                  <c:v>128.30000000000001</c:v>
                </c:pt>
                <c:pt idx="5223">
                  <c:v>129</c:v>
                </c:pt>
                <c:pt idx="5224">
                  <c:v>132.30000000000001</c:v>
                </c:pt>
                <c:pt idx="5225">
                  <c:v>132.80000000000001</c:v>
                </c:pt>
                <c:pt idx="5226">
                  <c:v>138.69999999999999</c:v>
                </c:pt>
                <c:pt idx="5227">
                  <c:v>140.69999999999999</c:v>
                </c:pt>
                <c:pt idx="5228">
                  <c:v>140.4</c:v>
                </c:pt>
                <c:pt idx="5230">
                  <c:v>139.80000000000001</c:v>
                </c:pt>
                <c:pt idx="5231">
                  <c:v>137.1</c:v>
                </c:pt>
                <c:pt idx="5232">
                  <c:v>137.4</c:v>
                </c:pt>
                <c:pt idx="5233">
                  <c:v>135.6</c:v>
                </c:pt>
                <c:pt idx="5234">
                  <c:v>137.69999999999999</c:v>
                </c:pt>
                <c:pt idx="5235">
                  <c:v>141.30000000000001</c:v>
                </c:pt>
                <c:pt idx="5236">
                  <c:v>139.6</c:v>
                </c:pt>
                <c:pt idx="5237">
                  <c:v>142</c:v>
                </c:pt>
                <c:pt idx="5238">
                  <c:v>139.80000000000001</c:v>
                </c:pt>
                <c:pt idx="5240">
                  <c:v>144.6</c:v>
                </c:pt>
                <c:pt idx="5241">
                  <c:v>142.80000000000001</c:v>
                </c:pt>
                <c:pt idx="5242">
                  <c:v>142.69999999999999</c:v>
                </c:pt>
                <c:pt idx="5243">
                  <c:v>142.6</c:v>
                </c:pt>
                <c:pt idx="5244">
                  <c:v>139.5</c:v>
                </c:pt>
                <c:pt idx="5245">
                  <c:v>138.69999999999999</c:v>
                </c:pt>
                <c:pt idx="5246">
                  <c:v>135.5</c:v>
                </c:pt>
                <c:pt idx="5247">
                  <c:v>135.9</c:v>
                </c:pt>
                <c:pt idx="5248">
                  <c:v>138.69999999999999</c:v>
                </c:pt>
                <c:pt idx="5249">
                  <c:v>138.5</c:v>
                </c:pt>
                <c:pt idx="5250">
                  <c:v>141.6</c:v>
                </c:pt>
                <c:pt idx="5251">
                  <c:v>144.1</c:v>
                </c:pt>
                <c:pt idx="5252">
                  <c:v>144.6</c:v>
                </c:pt>
                <c:pt idx="5254">
                  <c:v>147.1</c:v>
                </c:pt>
                <c:pt idx="5255">
                  <c:v>143.80000000000001</c:v>
                </c:pt>
                <c:pt idx="5256">
                  <c:v>140.80000000000001</c:v>
                </c:pt>
                <c:pt idx="5257">
                  <c:v>143.4</c:v>
                </c:pt>
                <c:pt idx="5258">
                  <c:v>142.19999999999999</c:v>
                </c:pt>
                <c:pt idx="5259">
                  <c:v>146.5</c:v>
                </c:pt>
                <c:pt idx="5260">
                  <c:v>147.1</c:v>
                </c:pt>
                <c:pt idx="5262">
                  <c:v>124</c:v>
                </c:pt>
                <c:pt idx="5263">
                  <c:v>123.3</c:v>
                </c:pt>
                <c:pt idx="5264">
                  <c:v>122.3</c:v>
                </c:pt>
                <c:pt idx="5265">
                  <c:v>124</c:v>
                </c:pt>
                <c:pt idx="5267">
                  <c:v>124.3</c:v>
                </c:pt>
                <c:pt idx="5268">
                  <c:v>121.7</c:v>
                </c:pt>
                <c:pt idx="5269">
                  <c:v>122.3</c:v>
                </c:pt>
                <c:pt idx="5270">
                  <c:v>123.3</c:v>
                </c:pt>
                <c:pt idx="5271">
                  <c:v>124.8</c:v>
                </c:pt>
                <c:pt idx="5272">
                  <c:v>124.3</c:v>
                </c:pt>
                <c:pt idx="5274">
                  <c:v>127.5</c:v>
                </c:pt>
                <c:pt idx="5275">
                  <c:v>125.9</c:v>
                </c:pt>
                <c:pt idx="5276">
                  <c:v>126</c:v>
                </c:pt>
                <c:pt idx="5277">
                  <c:v>124.6</c:v>
                </c:pt>
                <c:pt idx="5278">
                  <c:v>126.3</c:v>
                </c:pt>
                <c:pt idx="5279">
                  <c:v>127.5</c:v>
                </c:pt>
                <c:pt idx="5281">
                  <c:v>131.6</c:v>
                </c:pt>
                <c:pt idx="5282">
                  <c:v>130.19999999999999</c:v>
                </c:pt>
                <c:pt idx="5283">
                  <c:v>131</c:v>
                </c:pt>
                <c:pt idx="5284">
                  <c:v>127.1</c:v>
                </c:pt>
                <c:pt idx="5285">
                  <c:v>128.1</c:v>
                </c:pt>
                <c:pt idx="5286">
                  <c:v>126.9</c:v>
                </c:pt>
                <c:pt idx="5287">
                  <c:v>128.6</c:v>
                </c:pt>
                <c:pt idx="5288">
                  <c:v>127</c:v>
                </c:pt>
                <c:pt idx="5289">
                  <c:v>128.19999999999999</c:v>
                </c:pt>
                <c:pt idx="5290">
                  <c:v>131.1</c:v>
                </c:pt>
                <c:pt idx="5291">
                  <c:v>131.6</c:v>
                </c:pt>
                <c:pt idx="5293">
                  <c:v>134.4</c:v>
                </c:pt>
                <c:pt idx="5294">
                  <c:v>131.9</c:v>
                </c:pt>
                <c:pt idx="5295">
                  <c:v>133.1</c:v>
                </c:pt>
                <c:pt idx="5296">
                  <c:v>132.5</c:v>
                </c:pt>
                <c:pt idx="5297">
                  <c:v>134</c:v>
                </c:pt>
                <c:pt idx="5298">
                  <c:v>134.4</c:v>
                </c:pt>
                <c:pt idx="5300">
                  <c:v>150.69999999999999</c:v>
                </c:pt>
                <c:pt idx="5301">
                  <c:v>149.4</c:v>
                </c:pt>
                <c:pt idx="5302">
                  <c:v>147.19999999999999</c:v>
                </c:pt>
                <c:pt idx="5303">
                  <c:v>149.6</c:v>
                </c:pt>
                <c:pt idx="5304">
                  <c:v>150.69999999999999</c:v>
                </c:pt>
                <c:pt idx="5306">
                  <c:v>160.5</c:v>
                </c:pt>
                <c:pt idx="5307">
                  <c:v>159.1</c:v>
                </c:pt>
                <c:pt idx="5308">
                  <c:v>156.1</c:v>
                </c:pt>
                <c:pt idx="5309">
                  <c:v>157</c:v>
                </c:pt>
                <c:pt idx="5310">
                  <c:v>152.80000000000001</c:v>
                </c:pt>
                <c:pt idx="5311">
                  <c:v>149.30000000000001</c:v>
                </c:pt>
                <c:pt idx="5312">
                  <c:v>149.30000000000001</c:v>
                </c:pt>
                <c:pt idx="5313">
                  <c:v>148.19999999999999</c:v>
                </c:pt>
                <c:pt idx="5314">
                  <c:v>146.80000000000001</c:v>
                </c:pt>
                <c:pt idx="5315">
                  <c:v>145.30000000000001</c:v>
                </c:pt>
                <c:pt idx="5316">
                  <c:v>140</c:v>
                </c:pt>
                <c:pt idx="5317">
                  <c:v>143.30000000000001</c:v>
                </c:pt>
                <c:pt idx="5318">
                  <c:v>140.6</c:v>
                </c:pt>
                <c:pt idx="5319">
                  <c:v>142.1</c:v>
                </c:pt>
                <c:pt idx="5320">
                  <c:v>140.80000000000001</c:v>
                </c:pt>
                <c:pt idx="5321">
                  <c:v>141.6</c:v>
                </c:pt>
                <c:pt idx="5322">
                  <c:v>140</c:v>
                </c:pt>
                <c:pt idx="5323">
                  <c:v>138.6</c:v>
                </c:pt>
                <c:pt idx="5324">
                  <c:v>136.69999999999999</c:v>
                </c:pt>
                <c:pt idx="5325">
                  <c:v>139.69999999999999</c:v>
                </c:pt>
                <c:pt idx="5326">
                  <c:v>140.30000000000001</c:v>
                </c:pt>
                <c:pt idx="5327">
                  <c:v>138.19999999999999</c:v>
                </c:pt>
                <c:pt idx="5328">
                  <c:v>137.5</c:v>
                </c:pt>
                <c:pt idx="5329">
                  <c:v>136.30000000000001</c:v>
                </c:pt>
                <c:pt idx="5330">
                  <c:v>135.1</c:v>
                </c:pt>
                <c:pt idx="5331">
                  <c:v>136.19999999999999</c:v>
                </c:pt>
                <c:pt idx="5332">
                  <c:v>135.9</c:v>
                </c:pt>
                <c:pt idx="5333">
                  <c:v>136.80000000000001</c:v>
                </c:pt>
                <c:pt idx="5334">
                  <c:v>136.19999999999999</c:v>
                </c:pt>
                <c:pt idx="5335">
                  <c:v>139</c:v>
                </c:pt>
                <c:pt idx="5336">
                  <c:v>138.6</c:v>
                </c:pt>
                <c:pt idx="5337">
                  <c:v>142.6</c:v>
                </c:pt>
                <c:pt idx="5338">
                  <c:v>144.5</c:v>
                </c:pt>
                <c:pt idx="5339">
                  <c:v>145.30000000000001</c:v>
                </c:pt>
                <c:pt idx="5340">
                  <c:v>147.1</c:v>
                </c:pt>
                <c:pt idx="5341">
                  <c:v>149.80000000000001</c:v>
                </c:pt>
                <c:pt idx="5342">
                  <c:v>153</c:v>
                </c:pt>
                <c:pt idx="5343">
                  <c:v>151</c:v>
                </c:pt>
                <c:pt idx="5344">
                  <c:v>151</c:v>
                </c:pt>
                <c:pt idx="5345">
                  <c:v>152.5</c:v>
                </c:pt>
                <c:pt idx="5346">
                  <c:v>153.19999999999999</c:v>
                </c:pt>
                <c:pt idx="5347">
                  <c:v>154.30000000000001</c:v>
                </c:pt>
                <c:pt idx="5348">
                  <c:v>155.4</c:v>
                </c:pt>
                <c:pt idx="5349">
                  <c:v>158.19999999999999</c:v>
                </c:pt>
                <c:pt idx="5350">
                  <c:v>160.5</c:v>
                </c:pt>
                <c:pt idx="5351">
                  <c:v>160.5</c:v>
                </c:pt>
                <c:pt idx="5353">
                  <c:v>107.7</c:v>
                </c:pt>
                <c:pt idx="5354">
                  <c:v>106.8</c:v>
                </c:pt>
                <c:pt idx="5355">
                  <c:v>102.7</c:v>
                </c:pt>
                <c:pt idx="5356">
                  <c:v>102.5</c:v>
                </c:pt>
                <c:pt idx="5357">
                  <c:v>105.4</c:v>
                </c:pt>
                <c:pt idx="5358">
                  <c:v>107.7</c:v>
                </c:pt>
                <c:pt idx="5360">
                  <c:v>165.3</c:v>
                </c:pt>
                <c:pt idx="5361">
                  <c:v>161</c:v>
                </c:pt>
                <c:pt idx="5362">
                  <c:v>158.9</c:v>
                </c:pt>
                <c:pt idx="5363">
                  <c:v>157.1</c:v>
                </c:pt>
                <c:pt idx="5364">
                  <c:v>154.80000000000001</c:v>
                </c:pt>
                <c:pt idx="5365">
                  <c:v>156.19999999999999</c:v>
                </c:pt>
                <c:pt idx="5366">
                  <c:v>155.5</c:v>
                </c:pt>
                <c:pt idx="5367">
                  <c:v>156.69999999999999</c:v>
                </c:pt>
                <c:pt idx="5368">
                  <c:v>157.1</c:v>
                </c:pt>
                <c:pt idx="5369">
                  <c:v>158</c:v>
                </c:pt>
                <c:pt idx="5370">
                  <c:v>157.80000000000001</c:v>
                </c:pt>
                <c:pt idx="5371">
                  <c:v>160.6</c:v>
                </c:pt>
                <c:pt idx="5372">
                  <c:v>163.30000000000001</c:v>
                </c:pt>
                <c:pt idx="5373">
                  <c:v>165.3</c:v>
                </c:pt>
                <c:pt idx="5375">
                  <c:v>165.2</c:v>
                </c:pt>
                <c:pt idx="5376">
                  <c:v>164.4</c:v>
                </c:pt>
                <c:pt idx="5377">
                  <c:v>162.9</c:v>
                </c:pt>
                <c:pt idx="5378">
                  <c:v>165.2</c:v>
                </c:pt>
                <c:pt idx="5380">
                  <c:v>165.5</c:v>
                </c:pt>
                <c:pt idx="5381">
                  <c:v>162.69999999999999</c:v>
                </c:pt>
                <c:pt idx="5382">
                  <c:v>161.9</c:v>
                </c:pt>
                <c:pt idx="5383">
                  <c:v>163.19999999999999</c:v>
                </c:pt>
                <c:pt idx="5384">
                  <c:v>164.7</c:v>
                </c:pt>
                <c:pt idx="5385">
                  <c:v>163.80000000000001</c:v>
                </c:pt>
                <c:pt idx="5386">
                  <c:v>165.5</c:v>
                </c:pt>
                <c:pt idx="5388">
                  <c:v>166.1</c:v>
                </c:pt>
                <c:pt idx="5389">
                  <c:v>165.5</c:v>
                </c:pt>
                <c:pt idx="5390">
                  <c:v>163.4</c:v>
                </c:pt>
                <c:pt idx="5391">
                  <c:v>162.5</c:v>
                </c:pt>
                <c:pt idx="5392">
                  <c:v>158.80000000000001</c:v>
                </c:pt>
                <c:pt idx="5393">
                  <c:v>158.4</c:v>
                </c:pt>
                <c:pt idx="5394">
                  <c:v>166.1</c:v>
                </c:pt>
                <c:pt idx="5396">
                  <c:v>166.3</c:v>
                </c:pt>
                <c:pt idx="5397">
                  <c:v>164.3</c:v>
                </c:pt>
                <c:pt idx="5398">
                  <c:v>166</c:v>
                </c:pt>
                <c:pt idx="5399">
                  <c:v>167.1</c:v>
                </c:pt>
                <c:pt idx="5400">
                  <c:v>166.3</c:v>
                </c:pt>
                <c:pt idx="5402">
                  <c:v>169.7</c:v>
                </c:pt>
                <c:pt idx="5403">
                  <c:v>166.1</c:v>
                </c:pt>
                <c:pt idx="5404">
                  <c:v>163.9</c:v>
                </c:pt>
                <c:pt idx="5405">
                  <c:v>166.7</c:v>
                </c:pt>
                <c:pt idx="5406">
                  <c:v>167.5</c:v>
                </c:pt>
                <c:pt idx="5407">
                  <c:v>169.7</c:v>
                </c:pt>
                <c:pt idx="5409">
                  <c:v>172.7</c:v>
                </c:pt>
                <c:pt idx="5410">
                  <c:v>169.4</c:v>
                </c:pt>
                <c:pt idx="5411">
                  <c:v>170.4</c:v>
                </c:pt>
                <c:pt idx="5412">
                  <c:v>172.7</c:v>
                </c:pt>
                <c:pt idx="5414">
                  <c:v>173.4</c:v>
                </c:pt>
                <c:pt idx="5415">
                  <c:v>170.9</c:v>
                </c:pt>
                <c:pt idx="5416">
                  <c:v>171.3</c:v>
                </c:pt>
                <c:pt idx="5417">
                  <c:v>173.4</c:v>
                </c:pt>
                <c:pt idx="5419">
                  <c:v>172.7</c:v>
                </c:pt>
                <c:pt idx="5420">
                  <c:v>171.4</c:v>
                </c:pt>
                <c:pt idx="5421">
                  <c:v>172.6</c:v>
                </c:pt>
                <c:pt idx="5422">
                  <c:v>171.7</c:v>
                </c:pt>
                <c:pt idx="5423">
                  <c:v>168.8</c:v>
                </c:pt>
                <c:pt idx="5424">
                  <c:v>167.2</c:v>
                </c:pt>
                <c:pt idx="5425">
                  <c:v>164.9</c:v>
                </c:pt>
                <c:pt idx="5426">
                  <c:v>168.4</c:v>
                </c:pt>
                <c:pt idx="5427">
                  <c:v>172.7</c:v>
                </c:pt>
                <c:pt idx="5428">
                  <c:v>172.7</c:v>
                </c:pt>
                <c:pt idx="5430">
                  <c:v>173.9</c:v>
                </c:pt>
                <c:pt idx="5431">
                  <c:v>169.5</c:v>
                </c:pt>
                <c:pt idx="5432">
                  <c:v>171.1</c:v>
                </c:pt>
                <c:pt idx="5433">
                  <c:v>173.9</c:v>
                </c:pt>
                <c:pt idx="5435">
                  <c:v>175.8</c:v>
                </c:pt>
                <c:pt idx="5436">
                  <c:v>173.2</c:v>
                </c:pt>
                <c:pt idx="5437">
                  <c:v>168.3</c:v>
                </c:pt>
                <c:pt idx="5438">
                  <c:v>170.1</c:v>
                </c:pt>
                <c:pt idx="5439">
                  <c:v>170</c:v>
                </c:pt>
                <c:pt idx="5440">
                  <c:v>172.7</c:v>
                </c:pt>
                <c:pt idx="5441">
                  <c:v>174.3</c:v>
                </c:pt>
                <c:pt idx="5442">
                  <c:v>174.6</c:v>
                </c:pt>
                <c:pt idx="5443">
                  <c:v>177.1</c:v>
                </c:pt>
                <c:pt idx="5444">
                  <c:v>175.8</c:v>
                </c:pt>
                <c:pt idx="5446">
                  <c:v>177.4</c:v>
                </c:pt>
                <c:pt idx="5447">
                  <c:v>176.4</c:v>
                </c:pt>
                <c:pt idx="5448">
                  <c:v>174.6</c:v>
                </c:pt>
                <c:pt idx="5449">
                  <c:v>175.7</c:v>
                </c:pt>
                <c:pt idx="5450">
                  <c:v>177.4</c:v>
                </c:pt>
                <c:pt idx="5452">
                  <c:v>180.2</c:v>
                </c:pt>
                <c:pt idx="5453">
                  <c:v>175.5</c:v>
                </c:pt>
                <c:pt idx="5454">
                  <c:v>177.9</c:v>
                </c:pt>
                <c:pt idx="5455">
                  <c:v>180.2</c:v>
                </c:pt>
                <c:pt idx="5457">
                  <c:v>173.2</c:v>
                </c:pt>
                <c:pt idx="5458">
                  <c:v>176.1</c:v>
                </c:pt>
                <c:pt idx="5459">
                  <c:v>174</c:v>
                </c:pt>
                <c:pt idx="5460">
                  <c:v>178.5</c:v>
                </c:pt>
                <c:pt idx="5461">
                  <c:v>180.5</c:v>
                </c:pt>
                <c:pt idx="5462">
                  <c:v>180.7</c:v>
                </c:pt>
                <c:pt idx="5463">
                  <c:v>178.7</c:v>
                </c:pt>
                <c:pt idx="5464">
                  <c:v>178.8</c:v>
                </c:pt>
                <c:pt idx="5465">
                  <c:v>173.7</c:v>
                </c:pt>
                <c:pt idx="5466">
                  <c:v>173.2</c:v>
                </c:pt>
                <c:pt idx="5468">
                  <c:v>184.6</c:v>
                </c:pt>
                <c:pt idx="5469">
                  <c:v>182.7</c:v>
                </c:pt>
                <c:pt idx="5470">
                  <c:v>181.1</c:v>
                </c:pt>
                <c:pt idx="5471">
                  <c:v>179.7</c:v>
                </c:pt>
                <c:pt idx="5472">
                  <c:v>178.2</c:v>
                </c:pt>
                <c:pt idx="5473">
                  <c:v>180.3</c:v>
                </c:pt>
                <c:pt idx="5474">
                  <c:v>178.8</c:v>
                </c:pt>
                <c:pt idx="5475">
                  <c:v>178.9</c:v>
                </c:pt>
                <c:pt idx="5476">
                  <c:v>176.7</c:v>
                </c:pt>
                <c:pt idx="5477">
                  <c:v>175.2</c:v>
                </c:pt>
                <c:pt idx="5478">
                  <c:v>176.1</c:v>
                </c:pt>
                <c:pt idx="5479">
                  <c:v>181.7</c:v>
                </c:pt>
                <c:pt idx="5480">
                  <c:v>181.4</c:v>
                </c:pt>
                <c:pt idx="5481">
                  <c:v>184.6</c:v>
                </c:pt>
                <c:pt idx="5483">
                  <c:v>186.2</c:v>
                </c:pt>
                <c:pt idx="5484">
                  <c:v>184</c:v>
                </c:pt>
                <c:pt idx="5485">
                  <c:v>182.2</c:v>
                </c:pt>
                <c:pt idx="5486">
                  <c:v>182.5</c:v>
                </c:pt>
                <c:pt idx="5487">
                  <c:v>180.1</c:v>
                </c:pt>
                <c:pt idx="5488">
                  <c:v>179.6</c:v>
                </c:pt>
                <c:pt idx="5489">
                  <c:v>181.8</c:v>
                </c:pt>
                <c:pt idx="5490">
                  <c:v>182.6</c:v>
                </c:pt>
                <c:pt idx="5491">
                  <c:v>183.6</c:v>
                </c:pt>
                <c:pt idx="5492">
                  <c:v>186.2</c:v>
                </c:pt>
                <c:pt idx="5494">
                  <c:v>192.7</c:v>
                </c:pt>
                <c:pt idx="5495">
                  <c:v>191.4</c:v>
                </c:pt>
                <c:pt idx="5496">
                  <c:v>190.4</c:v>
                </c:pt>
                <c:pt idx="5497">
                  <c:v>190.3</c:v>
                </c:pt>
                <c:pt idx="5498">
                  <c:v>188.5</c:v>
                </c:pt>
                <c:pt idx="5499">
                  <c:v>186.8</c:v>
                </c:pt>
                <c:pt idx="5500">
                  <c:v>187.6</c:v>
                </c:pt>
                <c:pt idx="5501">
                  <c:v>183.9</c:v>
                </c:pt>
                <c:pt idx="5502">
                  <c:v>183.6</c:v>
                </c:pt>
                <c:pt idx="5503">
                  <c:v>185.7</c:v>
                </c:pt>
                <c:pt idx="5504">
                  <c:v>185.3</c:v>
                </c:pt>
                <c:pt idx="5505">
                  <c:v>183.2</c:v>
                </c:pt>
                <c:pt idx="5506">
                  <c:v>186.7</c:v>
                </c:pt>
                <c:pt idx="5507">
                  <c:v>185.9</c:v>
                </c:pt>
                <c:pt idx="5508">
                  <c:v>189</c:v>
                </c:pt>
                <c:pt idx="5509">
                  <c:v>190.3</c:v>
                </c:pt>
                <c:pt idx="5510">
                  <c:v>189.4</c:v>
                </c:pt>
                <c:pt idx="5511">
                  <c:v>192.7</c:v>
                </c:pt>
                <c:pt idx="5513">
                  <c:v>189.3</c:v>
                </c:pt>
                <c:pt idx="5514">
                  <c:v>189.9</c:v>
                </c:pt>
                <c:pt idx="5515">
                  <c:v>188.2</c:v>
                </c:pt>
                <c:pt idx="5516">
                  <c:v>189.2</c:v>
                </c:pt>
                <c:pt idx="5517">
                  <c:v>190.9</c:v>
                </c:pt>
                <c:pt idx="5518">
                  <c:v>190.2</c:v>
                </c:pt>
                <c:pt idx="5519">
                  <c:v>191.7</c:v>
                </c:pt>
                <c:pt idx="5520">
                  <c:v>190.7</c:v>
                </c:pt>
                <c:pt idx="5521">
                  <c:v>193.3</c:v>
                </c:pt>
                <c:pt idx="5522">
                  <c:v>193.3</c:v>
                </c:pt>
                <c:pt idx="5523">
                  <c:v>195.7</c:v>
                </c:pt>
                <c:pt idx="5524">
                  <c:v>197.1</c:v>
                </c:pt>
                <c:pt idx="5525">
                  <c:v>194.5</c:v>
                </c:pt>
                <c:pt idx="5526">
                  <c:v>193.3</c:v>
                </c:pt>
                <c:pt idx="5527">
                  <c:v>193.8</c:v>
                </c:pt>
                <c:pt idx="5528">
                  <c:v>191.1</c:v>
                </c:pt>
                <c:pt idx="5529">
                  <c:v>190.8</c:v>
                </c:pt>
                <c:pt idx="5530">
                  <c:v>187.4</c:v>
                </c:pt>
                <c:pt idx="5531">
                  <c:v>185.3</c:v>
                </c:pt>
                <c:pt idx="5532">
                  <c:v>186.3</c:v>
                </c:pt>
                <c:pt idx="5533">
                  <c:v>187.7</c:v>
                </c:pt>
                <c:pt idx="5534">
                  <c:v>189.1</c:v>
                </c:pt>
                <c:pt idx="5535">
                  <c:v>189.3</c:v>
                </c:pt>
                <c:pt idx="5537">
                  <c:v>199.1</c:v>
                </c:pt>
                <c:pt idx="5538">
                  <c:v>196.1</c:v>
                </c:pt>
                <c:pt idx="5539">
                  <c:v>195.7</c:v>
                </c:pt>
                <c:pt idx="5540">
                  <c:v>197.3</c:v>
                </c:pt>
                <c:pt idx="5541">
                  <c:v>199.1</c:v>
                </c:pt>
                <c:pt idx="5543">
                  <c:v>198.2</c:v>
                </c:pt>
                <c:pt idx="5544">
                  <c:v>195.7</c:v>
                </c:pt>
                <c:pt idx="5545">
                  <c:v>194.2</c:v>
                </c:pt>
                <c:pt idx="5546">
                  <c:v>193.5</c:v>
                </c:pt>
                <c:pt idx="5547">
                  <c:v>192.1</c:v>
                </c:pt>
                <c:pt idx="5548">
                  <c:v>192.6</c:v>
                </c:pt>
                <c:pt idx="5549">
                  <c:v>190.8</c:v>
                </c:pt>
                <c:pt idx="5550">
                  <c:v>188.7</c:v>
                </c:pt>
                <c:pt idx="5551">
                  <c:v>191.7</c:v>
                </c:pt>
                <c:pt idx="5552">
                  <c:v>190.3</c:v>
                </c:pt>
                <c:pt idx="5553">
                  <c:v>191.6</c:v>
                </c:pt>
                <c:pt idx="5554">
                  <c:v>192.2</c:v>
                </c:pt>
                <c:pt idx="5555">
                  <c:v>196</c:v>
                </c:pt>
                <c:pt idx="5556">
                  <c:v>196</c:v>
                </c:pt>
                <c:pt idx="5557">
                  <c:v>198.2</c:v>
                </c:pt>
                <c:pt idx="5559">
                  <c:v>202.2</c:v>
                </c:pt>
                <c:pt idx="5560">
                  <c:v>198.3</c:v>
                </c:pt>
                <c:pt idx="5561">
                  <c:v>200.8</c:v>
                </c:pt>
                <c:pt idx="5562">
                  <c:v>202.2</c:v>
                </c:pt>
                <c:pt idx="5564">
                  <c:v>197</c:v>
                </c:pt>
                <c:pt idx="5565">
                  <c:v>199.7</c:v>
                </c:pt>
                <c:pt idx="5566">
                  <c:v>199.8</c:v>
                </c:pt>
                <c:pt idx="5567">
                  <c:v>201.6</c:v>
                </c:pt>
                <c:pt idx="5568">
                  <c:v>203.9</c:v>
                </c:pt>
                <c:pt idx="5569">
                  <c:v>197</c:v>
                </c:pt>
                <c:pt idx="5571">
                  <c:v>206.2</c:v>
                </c:pt>
                <c:pt idx="5572">
                  <c:v>202.9</c:v>
                </c:pt>
                <c:pt idx="5573">
                  <c:v>202.8</c:v>
                </c:pt>
                <c:pt idx="5574">
                  <c:v>206.2</c:v>
                </c:pt>
                <c:pt idx="5576">
                  <c:v>201.5</c:v>
                </c:pt>
                <c:pt idx="5577">
                  <c:v>202.1</c:v>
                </c:pt>
                <c:pt idx="5578">
                  <c:v>199.8</c:v>
                </c:pt>
                <c:pt idx="5579">
                  <c:v>204.6</c:v>
                </c:pt>
                <c:pt idx="5580">
                  <c:v>204.3</c:v>
                </c:pt>
                <c:pt idx="5581">
                  <c:v>205.7</c:v>
                </c:pt>
                <c:pt idx="5582">
                  <c:v>205.8</c:v>
                </c:pt>
                <c:pt idx="5583">
                  <c:v>208.3</c:v>
                </c:pt>
                <c:pt idx="5584">
                  <c:v>207.7</c:v>
                </c:pt>
                <c:pt idx="5585">
                  <c:v>202.8</c:v>
                </c:pt>
                <c:pt idx="5586">
                  <c:v>201.5</c:v>
                </c:pt>
                <c:pt idx="5588">
                  <c:v>211.9</c:v>
                </c:pt>
                <c:pt idx="5589">
                  <c:v>209.7</c:v>
                </c:pt>
                <c:pt idx="5590">
                  <c:v>206.3</c:v>
                </c:pt>
                <c:pt idx="5591">
                  <c:v>208.4</c:v>
                </c:pt>
                <c:pt idx="5592">
                  <c:v>210.7</c:v>
                </c:pt>
                <c:pt idx="5593">
                  <c:v>211.9</c:v>
                </c:pt>
                <c:pt idx="5595">
                  <c:v>216.3</c:v>
                </c:pt>
                <c:pt idx="5596">
                  <c:v>213.8</c:v>
                </c:pt>
                <c:pt idx="5597">
                  <c:v>215.6</c:v>
                </c:pt>
                <c:pt idx="5598">
                  <c:v>216.3</c:v>
                </c:pt>
                <c:pt idx="5600">
                  <c:v>217</c:v>
                </c:pt>
                <c:pt idx="5601">
                  <c:v>216</c:v>
                </c:pt>
                <c:pt idx="5602">
                  <c:v>213.8</c:v>
                </c:pt>
                <c:pt idx="5603">
                  <c:v>209.2</c:v>
                </c:pt>
                <c:pt idx="5604">
                  <c:v>206.9</c:v>
                </c:pt>
                <c:pt idx="5605">
                  <c:v>208.5</c:v>
                </c:pt>
                <c:pt idx="5606">
                  <c:v>207.6</c:v>
                </c:pt>
                <c:pt idx="5607">
                  <c:v>211.2</c:v>
                </c:pt>
                <c:pt idx="5608">
                  <c:v>212.7</c:v>
                </c:pt>
                <c:pt idx="5609">
                  <c:v>216.2</c:v>
                </c:pt>
                <c:pt idx="5610">
                  <c:v>217.7</c:v>
                </c:pt>
                <c:pt idx="5611">
                  <c:v>217</c:v>
                </c:pt>
                <c:pt idx="5613">
                  <c:v>213.6</c:v>
                </c:pt>
                <c:pt idx="5614">
                  <c:v>214.6</c:v>
                </c:pt>
                <c:pt idx="5615">
                  <c:v>216.6</c:v>
                </c:pt>
                <c:pt idx="5616">
                  <c:v>217.1</c:v>
                </c:pt>
                <c:pt idx="5617">
                  <c:v>221</c:v>
                </c:pt>
                <c:pt idx="5618">
                  <c:v>221.3</c:v>
                </c:pt>
                <c:pt idx="5619">
                  <c:v>220.1</c:v>
                </c:pt>
                <c:pt idx="5620">
                  <c:v>214.3</c:v>
                </c:pt>
                <c:pt idx="5621">
                  <c:v>215</c:v>
                </c:pt>
                <c:pt idx="5622">
                  <c:v>213.8</c:v>
                </c:pt>
                <c:pt idx="5623">
                  <c:v>210.7</c:v>
                </c:pt>
                <c:pt idx="5624">
                  <c:v>211.9</c:v>
                </c:pt>
                <c:pt idx="5625">
                  <c:v>213</c:v>
                </c:pt>
                <c:pt idx="5626">
                  <c:v>212.9</c:v>
                </c:pt>
                <c:pt idx="5627">
                  <c:v>211.5</c:v>
                </c:pt>
                <c:pt idx="5628">
                  <c:v>212.6</c:v>
                </c:pt>
                <c:pt idx="5629">
                  <c:v>213.6</c:v>
                </c:pt>
                <c:pt idx="5631">
                  <c:v>317.89999999999998</c:v>
                </c:pt>
                <c:pt idx="5632">
                  <c:v>316.60000000000002</c:v>
                </c:pt>
                <c:pt idx="5633">
                  <c:v>315.60000000000002</c:v>
                </c:pt>
                <c:pt idx="5634">
                  <c:v>314.60000000000002</c:v>
                </c:pt>
                <c:pt idx="5635">
                  <c:v>316.10000000000002</c:v>
                </c:pt>
                <c:pt idx="5636">
                  <c:v>314.10000000000002</c:v>
                </c:pt>
                <c:pt idx="5637">
                  <c:v>312.7</c:v>
                </c:pt>
                <c:pt idx="5638">
                  <c:v>316.39999999999998</c:v>
                </c:pt>
                <c:pt idx="5639">
                  <c:v>322.8</c:v>
                </c:pt>
                <c:pt idx="5640">
                  <c:v>322.10000000000002</c:v>
                </c:pt>
                <c:pt idx="5641">
                  <c:v>315.39999999999998</c:v>
                </c:pt>
                <c:pt idx="5642">
                  <c:v>306</c:v>
                </c:pt>
                <c:pt idx="5643">
                  <c:v>302.89999999999998</c:v>
                </c:pt>
                <c:pt idx="5644">
                  <c:v>300</c:v>
                </c:pt>
                <c:pt idx="5645">
                  <c:v>299.39999999999998</c:v>
                </c:pt>
                <c:pt idx="5646">
                  <c:v>296.2</c:v>
                </c:pt>
                <c:pt idx="5647">
                  <c:v>297.8</c:v>
                </c:pt>
                <c:pt idx="5648">
                  <c:v>297.2</c:v>
                </c:pt>
                <c:pt idx="5649">
                  <c:v>301.10000000000002</c:v>
                </c:pt>
                <c:pt idx="5650">
                  <c:v>298.3</c:v>
                </c:pt>
                <c:pt idx="5651">
                  <c:v>298.60000000000002</c:v>
                </c:pt>
                <c:pt idx="5652">
                  <c:v>299.89999999999998</c:v>
                </c:pt>
                <c:pt idx="5653">
                  <c:v>301.60000000000002</c:v>
                </c:pt>
                <c:pt idx="5654">
                  <c:v>302</c:v>
                </c:pt>
                <c:pt idx="5655">
                  <c:v>313.10000000000002</c:v>
                </c:pt>
                <c:pt idx="5656">
                  <c:v>316.60000000000002</c:v>
                </c:pt>
                <c:pt idx="5657">
                  <c:v>320</c:v>
                </c:pt>
                <c:pt idx="5658">
                  <c:v>318.10000000000002</c:v>
                </c:pt>
                <c:pt idx="5659">
                  <c:v>315.2</c:v>
                </c:pt>
                <c:pt idx="5660">
                  <c:v>319</c:v>
                </c:pt>
                <c:pt idx="5661">
                  <c:v>316.7</c:v>
                </c:pt>
                <c:pt idx="5662">
                  <c:v>317.89999999999998</c:v>
                </c:pt>
                <c:pt idx="5664">
                  <c:v>323.8</c:v>
                </c:pt>
                <c:pt idx="5665">
                  <c:v>321.60000000000002</c:v>
                </c:pt>
                <c:pt idx="5666">
                  <c:v>320.2</c:v>
                </c:pt>
                <c:pt idx="5667">
                  <c:v>315.2</c:v>
                </c:pt>
                <c:pt idx="5668">
                  <c:v>318.10000000000002</c:v>
                </c:pt>
                <c:pt idx="5669">
                  <c:v>318.39999999999998</c:v>
                </c:pt>
                <c:pt idx="5670">
                  <c:v>322.3</c:v>
                </c:pt>
                <c:pt idx="5671">
                  <c:v>321.8</c:v>
                </c:pt>
                <c:pt idx="5672">
                  <c:v>319.3</c:v>
                </c:pt>
                <c:pt idx="5673">
                  <c:v>316.60000000000002</c:v>
                </c:pt>
                <c:pt idx="5674">
                  <c:v>319.39999999999998</c:v>
                </c:pt>
                <c:pt idx="5675">
                  <c:v>320</c:v>
                </c:pt>
                <c:pt idx="5676">
                  <c:v>322.39999999999998</c:v>
                </c:pt>
                <c:pt idx="5677">
                  <c:v>323.7</c:v>
                </c:pt>
                <c:pt idx="5678">
                  <c:v>326.8</c:v>
                </c:pt>
                <c:pt idx="5679">
                  <c:v>326</c:v>
                </c:pt>
                <c:pt idx="5680">
                  <c:v>329.2</c:v>
                </c:pt>
                <c:pt idx="5681">
                  <c:v>332.6</c:v>
                </c:pt>
                <c:pt idx="5682">
                  <c:v>333.5</c:v>
                </c:pt>
                <c:pt idx="5683">
                  <c:v>337.7</c:v>
                </c:pt>
                <c:pt idx="5684">
                  <c:v>337.4</c:v>
                </c:pt>
                <c:pt idx="5685">
                  <c:v>339.1</c:v>
                </c:pt>
                <c:pt idx="5686">
                  <c:v>341.7</c:v>
                </c:pt>
                <c:pt idx="5687">
                  <c:v>342.9</c:v>
                </c:pt>
                <c:pt idx="5688">
                  <c:v>343.6</c:v>
                </c:pt>
                <c:pt idx="5689">
                  <c:v>342</c:v>
                </c:pt>
                <c:pt idx="5690">
                  <c:v>338</c:v>
                </c:pt>
                <c:pt idx="5691">
                  <c:v>343.6</c:v>
                </c:pt>
                <c:pt idx="5692">
                  <c:v>347.5</c:v>
                </c:pt>
                <c:pt idx="5693">
                  <c:v>349.7</c:v>
                </c:pt>
                <c:pt idx="5694">
                  <c:v>348.2</c:v>
                </c:pt>
                <c:pt idx="5695">
                  <c:v>344.6</c:v>
                </c:pt>
                <c:pt idx="5696">
                  <c:v>342.6</c:v>
                </c:pt>
                <c:pt idx="5697">
                  <c:v>342.7</c:v>
                </c:pt>
                <c:pt idx="5698">
                  <c:v>337.2</c:v>
                </c:pt>
                <c:pt idx="5699">
                  <c:v>335</c:v>
                </c:pt>
                <c:pt idx="5700">
                  <c:v>333.3</c:v>
                </c:pt>
                <c:pt idx="5701">
                  <c:v>328.2</c:v>
                </c:pt>
                <c:pt idx="5702">
                  <c:v>325.8</c:v>
                </c:pt>
                <c:pt idx="5703">
                  <c:v>323.8</c:v>
                </c:pt>
                <c:pt idx="5705">
                  <c:v>280.39999999999998</c:v>
                </c:pt>
                <c:pt idx="5706">
                  <c:v>275.89999999999998</c:v>
                </c:pt>
                <c:pt idx="5707">
                  <c:v>279</c:v>
                </c:pt>
                <c:pt idx="5708">
                  <c:v>275.10000000000002</c:v>
                </c:pt>
                <c:pt idx="5709">
                  <c:v>276.89999999999998</c:v>
                </c:pt>
                <c:pt idx="5710">
                  <c:v>281.3</c:v>
                </c:pt>
                <c:pt idx="5711">
                  <c:v>283.5</c:v>
                </c:pt>
                <c:pt idx="5712">
                  <c:v>282.8</c:v>
                </c:pt>
                <c:pt idx="5713">
                  <c:v>283.89999999999998</c:v>
                </c:pt>
                <c:pt idx="5714">
                  <c:v>280.39999999999998</c:v>
                </c:pt>
                <c:pt idx="5715">
                  <c:v>274.8</c:v>
                </c:pt>
                <c:pt idx="5716">
                  <c:v>276.39999999999998</c:v>
                </c:pt>
                <c:pt idx="5717">
                  <c:v>280.7</c:v>
                </c:pt>
                <c:pt idx="5718">
                  <c:v>280.60000000000002</c:v>
                </c:pt>
                <c:pt idx="5719">
                  <c:v>287.10000000000002</c:v>
                </c:pt>
                <c:pt idx="5720">
                  <c:v>289</c:v>
                </c:pt>
                <c:pt idx="5721">
                  <c:v>289.7</c:v>
                </c:pt>
                <c:pt idx="5722">
                  <c:v>292</c:v>
                </c:pt>
                <c:pt idx="5723">
                  <c:v>299.7</c:v>
                </c:pt>
                <c:pt idx="5724">
                  <c:v>303.39999999999998</c:v>
                </c:pt>
                <c:pt idx="5725">
                  <c:v>307.39999999999998</c:v>
                </c:pt>
                <c:pt idx="5726">
                  <c:v>307</c:v>
                </c:pt>
                <c:pt idx="5727">
                  <c:v>304.7</c:v>
                </c:pt>
                <c:pt idx="5728">
                  <c:v>305.8</c:v>
                </c:pt>
                <c:pt idx="5729">
                  <c:v>314.3</c:v>
                </c:pt>
                <c:pt idx="5730">
                  <c:v>314.8</c:v>
                </c:pt>
                <c:pt idx="5731">
                  <c:v>317.39999999999998</c:v>
                </c:pt>
                <c:pt idx="5732">
                  <c:v>319.60000000000002</c:v>
                </c:pt>
                <c:pt idx="5733">
                  <c:v>318.8</c:v>
                </c:pt>
                <c:pt idx="5734">
                  <c:v>316.60000000000002</c:v>
                </c:pt>
                <c:pt idx="5735">
                  <c:v>319.3</c:v>
                </c:pt>
                <c:pt idx="5736">
                  <c:v>321.8</c:v>
                </c:pt>
                <c:pt idx="5737">
                  <c:v>322.2</c:v>
                </c:pt>
                <c:pt idx="5738">
                  <c:v>316.60000000000002</c:v>
                </c:pt>
                <c:pt idx="5739">
                  <c:v>313.10000000000002</c:v>
                </c:pt>
                <c:pt idx="5740">
                  <c:v>302</c:v>
                </c:pt>
                <c:pt idx="5741">
                  <c:v>301.5</c:v>
                </c:pt>
                <c:pt idx="5742">
                  <c:v>299</c:v>
                </c:pt>
                <c:pt idx="5743">
                  <c:v>298.3</c:v>
                </c:pt>
                <c:pt idx="5744">
                  <c:v>301.10000000000002</c:v>
                </c:pt>
                <c:pt idx="5745">
                  <c:v>297.2</c:v>
                </c:pt>
                <c:pt idx="5746">
                  <c:v>296.60000000000002</c:v>
                </c:pt>
                <c:pt idx="5747">
                  <c:v>292.7</c:v>
                </c:pt>
                <c:pt idx="5748">
                  <c:v>290.7</c:v>
                </c:pt>
                <c:pt idx="5749">
                  <c:v>280.39999999999998</c:v>
                </c:pt>
                <c:pt idx="5751">
                  <c:v>341.4</c:v>
                </c:pt>
                <c:pt idx="5752">
                  <c:v>338.2</c:v>
                </c:pt>
                <c:pt idx="5753">
                  <c:v>335.4</c:v>
                </c:pt>
                <c:pt idx="5754">
                  <c:v>334.8</c:v>
                </c:pt>
                <c:pt idx="5755">
                  <c:v>332.5</c:v>
                </c:pt>
                <c:pt idx="5756">
                  <c:v>331.8</c:v>
                </c:pt>
                <c:pt idx="5757">
                  <c:v>328.8</c:v>
                </c:pt>
                <c:pt idx="5758">
                  <c:v>328</c:v>
                </c:pt>
                <c:pt idx="5759">
                  <c:v>325</c:v>
                </c:pt>
                <c:pt idx="5760">
                  <c:v>323.89999999999998</c:v>
                </c:pt>
                <c:pt idx="5761">
                  <c:v>319.2</c:v>
                </c:pt>
                <c:pt idx="5762">
                  <c:v>318.3</c:v>
                </c:pt>
                <c:pt idx="5763">
                  <c:v>319.60000000000002</c:v>
                </c:pt>
                <c:pt idx="5764">
                  <c:v>318.5</c:v>
                </c:pt>
                <c:pt idx="5765">
                  <c:v>317.10000000000002</c:v>
                </c:pt>
                <c:pt idx="5766">
                  <c:v>317.2</c:v>
                </c:pt>
                <c:pt idx="5767">
                  <c:v>312.89999999999998</c:v>
                </c:pt>
                <c:pt idx="5768">
                  <c:v>310</c:v>
                </c:pt>
                <c:pt idx="5769">
                  <c:v>308.7</c:v>
                </c:pt>
                <c:pt idx="5770">
                  <c:v>305.2</c:v>
                </c:pt>
                <c:pt idx="5771">
                  <c:v>307.39999999999998</c:v>
                </c:pt>
                <c:pt idx="5772">
                  <c:v>306.3</c:v>
                </c:pt>
                <c:pt idx="5773">
                  <c:v>299.89999999999998</c:v>
                </c:pt>
                <c:pt idx="5774">
                  <c:v>296.3</c:v>
                </c:pt>
                <c:pt idx="5775">
                  <c:v>295.2</c:v>
                </c:pt>
                <c:pt idx="5776">
                  <c:v>298.39999999999998</c:v>
                </c:pt>
                <c:pt idx="5777">
                  <c:v>298</c:v>
                </c:pt>
                <c:pt idx="5778">
                  <c:v>302.10000000000002</c:v>
                </c:pt>
                <c:pt idx="5779">
                  <c:v>302.10000000000002</c:v>
                </c:pt>
                <c:pt idx="5780">
                  <c:v>306</c:v>
                </c:pt>
                <c:pt idx="5781">
                  <c:v>308.2</c:v>
                </c:pt>
                <c:pt idx="5782">
                  <c:v>313.3</c:v>
                </c:pt>
                <c:pt idx="5783">
                  <c:v>316.10000000000002</c:v>
                </c:pt>
                <c:pt idx="5784">
                  <c:v>321.3</c:v>
                </c:pt>
                <c:pt idx="5785">
                  <c:v>326.39999999999998</c:v>
                </c:pt>
                <c:pt idx="5786">
                  <c:v>330.5</c:v>
                </c:pt>
                <c:pt idx="5787">
                  <c:v>335.1</c:v>
                </c:pt>
                <c:pt idx="5788">
                  <c:v>336.3</c:v>
                </c:pt>
                <c:pt idx="5789">
                  <c:v>334.7</c:v>
                </c:pt>
                <c:pt idx="5790">
                  <c:v>335.4</c:v>
                </c:pt>
                <c:pt idx="5791">
                  <c:v>339.6</c:v>
                </c:pt>
                <c:pt idx="5792">
                  <c:v>340.9</c:v>
                </c:pt>
                <c:pt idx="5793">
                  <c:v>339.8</c:v>
                </c:pt>
                <c:pt idx="5794">
                  <c:v>340.9</c:v>
                </c:pt>
                <c:pt idx="5795">
                  <c:v>339.3</c:v>
                </c:pt>
                <c:pt idx="5796">
                  <c:v>341</c:v>
                </c:pt>
                <c:pt idx="5797">
                  <c:v>341.4</c:v>
                </c:pt>
                <c:pt idx="5799">
                  <c:v>401.7</c:v>
                </c:pt>
                <c:pt idx="5800">
                  <c:v>399.7</c:v>
                </c:pt>
                <c:pt idx="5801">
                  <c:v>401.3</c:v>
                </c:pt>
                <c:pt idx="5802">
                  <c:v>401.2</c:v>
                </c:pt>
                <c:pt idx="5803">
                  <c:v>397.2</c:v>
                </c:pt>
                <c:pt idx="5804">
                  <c:v>397</c:v>
                </c:pt>
                <c:pt idx="5805">
                  <c:v>395</c:v>
                </c:pt>
                <c:pt idx="5806">
                  <c:v>394.5</c:v>
                </c:pt>
                <c:pt idx="5807">
                  <c:v>391.4</c:v>
                </c:pt>
                <c:pt idx="5808">
                  <c:v>386.6</c:v>
                </c:pt>
                <c:pt idx="5809">
                  <c:v>377.3</c:v>
                </c:pt>
                <c:pt idx="5810">
                  <c:v>371.2</c:v>
                </c:pt>
                <c:pt idx="5811">
                  <c:v>368.5</c:v>
                </c:pt>
                <c:pt idx="5812">
                  <c:v>366</c:v>
                </c:pt>
                <c:pt idx="5813">
                  <c:v>363.8</c:v>
                </c:pt>
                <c:pt idx="5814">
                  <c:v>363.6</c:v>
                </c:pt>
                <c:pt idx="5815">
                  <c:v>357.4</c:v>
                </c:pt>
                <c:pt idx="5816">
                  <c:v>350.3</c:v>
                </c:pt>
                <c:pt idx="5817">
                  <c:v>345.7</c:v>
                </c:pt>
                <c:pt idx="5818">
                  <c:v>345.8</c:v>
                </c:pt>
                <c:pt idx="5819">
                  <c:v>354.3</c:v>
                </c:pt>
                <c:pt idx="5820">
                  <c:v>355.6</c:v>
                </c:pt>
                <c:pt idx="5821">
                  <c:v>362.6</c:v>
                </c:pt>
                <c:pt idx="5822">
                  <c:v>366.5</c:v>
                </c:pt>
                <c:pt idx="5823">
                  <c:v>365.2</c:v>
                </c:pt>
                <c:pt idx="5824">
                  <c:v>362.1</c:v>
                </c:pt>
                <c:pt idx="5825">
                  <c:v>359.8</c:v>
                </c:pt>
                <c:pt idx="5826">
                  <c:v>357.5</c:v>
                </c:pt>
                <c:pt idx="5827">
                  <c:v>366.7</c:v>
                </c:pt>
                <c:pt idx="5828">
                  <c:v>367.7</c:v>
                </c:pt>
                <c:pt idx="5829">
                  <c:v>369.6</c:v>
                </c:pt>
                <c:pt idx="5830">
                  <c:v>366.8</c:v>
                </c:pt>
                <c:pt idx="5831">
                  <c:v>369.9</c:v>
                </c:pt>
                <c:pt idx="5832">
                  <c:v>371.9</c:v>
                </c:pt>
                <c:pt idx="5833">
                  <c:v>373.6</c:v>
                </c:pt>
                <c:pt idx="5834">
                  <c:v>375.3</c:v>
                </c:pt>
                <c:pt idx="5835">
                  <c:v>378.9</c:v>
                </c:pt>
                <c:pt idx="5836">
                  <c:v>378.7</c:v>
                </c:pt>
                <c:pt idx="5837">
                  <c:v>381.6</c:v>
                </c:pt>
                <c:pt idx="5838">
                  <c:v>384.2</c:v>
                </c:pt>
                <c:pt idx="5839">
                  <c:v>391</c:v>
                </c:pt>
                <c:pt idx="5840">
                  <c:v>391.4</c:v>
                </c:pt>
                <c:pt idx="5841">
                  <c:v>389.4</c:v>
                </c:pt>
                <c:pt idx="5842">
                  <c:v>389.1</c:v>
                </c:pt>
                <c:pt idx="5843">
                  <c:v>399.2</c:v>
                </c:pt>
                <c:pt idx="5844">
                  <c:v>401.2</c:v>
                </c:pt>
                <c:pt idx="5845">
                  <c:v>400.4</c:v>
                </c:pt>
                <c:pt idx="5846">
                  <c:v>402.7</c:v>
                </c:pt>
                <c:pt idx="5847">
                  <c:v>401.7</c:v>
                </c:pt>
                <c:pt idx="5849">
                  <c:v>352.7</c:v>
                </c:pt>
                <c:pt idx="5850">
                  <c:v>349.4</c:v>
                </c:pt>
                <c:pt idx="5851">
                  <c:v>351.4</c:v>
                </c:pt>
                <c:pt idx="5852">
                  <c:v>350.2</c:v>
                </c:pt>
                <c:pt idx="5853">
                  <c:v>345.3</c:v>
                </c:pt>
                <c:pt idx="5854">
                  <c:v>343.4</c:v>
                </c:pt>
                <c:pt idx="5855">
                  <c:v>340.2</c:v>
                </c:pt>
                <c:pt idx="5856">
                  <c:v>337.3</c:v>
                </c:pt>
                <c:pt idx="5857">
                  <c:v>338.9</c:v>
                </c:pt>
                <c:pt idx="5858">
                  <c:v>333.6</c:v>
                </c:pt>
                <c:pt idx="5859">
                  <c:v>335.3</c:v>
                </c:pt>
                <c:pt idx="5860">
                  <c:v>334.7</c:v>
                </c:pt>
                <c:pt idx="5861">
                  <c:v>332.8</c:v>
                </c:pt>
                <c:pt idx="5862">
                  <c:v>331.1</c:v>
                </c:pt>
                <c:pt idx="5863">
                  <c:v>325.7</c:v>
                </c:pt>
                <c:pt idx="5864">
                  <c:v>325.8</c:v>
                </c:pt>
                <c:pt idx="5865">
                  <c:v>327.2</c:v>
                </c:pt>
                <c:pt idx="5866">
                  <c:v>321.5</c:v>
                </c:pt>
                <c:pt idx="5867">
                  <c:v>323.60000000000002</c:v>
                </c:pt>
                <c:pt idx="5868">
                  <c:v>320.2</c:v>
                </c:pt>
                <c:pt idx="5869">
                  <c:v>323.5</c:v>
                </c:pt>
                <c:pt idx="5870">
                  <c:v>323.2</c:v>
                </c:pt>
                <c:pt idx="5871">
                  <c:v>325</c:v>
                </c:pt>
                <c:pt idx="5872">
                  <c:v>328</c:v>
                </c:pt>
                <c:pt idx="5873">
                  <c:v>328.8</c:v>
                </c:pt>
                <c:pt idx="5874">
                  <c:v>331.6</c:v>
                </c:pt>
                <c:pt idx="5875">
                  <c:v>332.5</c:v>
                </c:pt>
                <c:pt idx="5876">
                  <c:v>334.8</c:v>
                </c:pt>
                <c:pt idx="5877">
                  <c:v>335.4</c:v>
                </c:pt>
                <c:pt idx="5878">
                  <c:v>338.2</c:v>
                </c:pt>
                <c:pt idx="5879">
                  <c:v>342.6</c:v>
                </c:pt>
                <c:pt idx="5880">
                  <c:v>345.8</c:v>
                </c:pt>
                <c:pt idx="5881">
                  <c:v>346.4</c:v>
                </c:pt>
                <c:pt idx="5882">
                  <c:v>349.7</c:v>
                </c:pt>
                <c:pt idx="5883">
                  <c:v>352.7</c:v>
                </c:pt>
                <c:pt idx="5885">
                  <c:v>428.4</c:v>
                </c:pt>
                <c:pt idx="5886">
                  <c:v>426.1</c:v>
                </c:pt>
                <c:pt idx="5887">
                  <c:v>419</c:v>
                </c:pt>
                <c:pt idx="5888">
                  <c:v>414.4</c:v>
                </c:pt>
                <c:pt idx="5889">
                  <c:v>413</c:v>
                </c:pt>
                <c:pt idx="5890">
                  <c:v>409.8</c:v>
                </c:pt>
                <c:pt idx="5891">
                  <c:v>407.8</c:v>
                </c:pt>
                <c:pt idx="5892">
                  <c:v>406.4</c:v>
                </c:pt>
                <c:pt idx="5893">
                  <c:v>404.8</c:v>
                </c:pt>
                <c:pt idx="5894">
                  <c:v>406.9</c:v>
                </c:pt>
                <c:pt idx="5895">
                  <c:v>407.3</c:v>
                </c:pt>
                <c:pt idx="5896">
                  <c:v>404.4</c:v>
                </c:pt>
                <c:pt idx="5897">
                  <c:v>402.6</c:v>
                </c:pt>
                <c:pt idx="5898">
                  <c:v>402.2</c:v>
                </c:pt>
                <c:pt idx="5899">
                  <c:v>399.1</c:v>
                </c:pt>
                <c:pt idx="5900">
                  <c:v>399.9</c:v>
                </c:pt>
                <c:pt idx="5901">
                  <c:v>389</c:v>
                </c:pt>
                <c:pt idx="5902">
                  <c:v>391.5</c:v>
                </c:pt>
                <c:pt idx="5903">
                  <c:v>391</c:v>
                </c:pt>
                <c:pt idx="5904">
                  <c:v>389.5</c:v>
                </c:pt>
                <c:pt idx="5905">
                  <c:v>396.7</c:v>
                </c:pt>
                <c:pt idx="5906">
                  <c:v>396.3</c:v>
                </c:pt>
                <c:pt idx="5907">
                  <c:v>397.7</c:v>
                </c:pt>
                <c:pt idx="5908">
                  <c:v>403.9</c:v>
                </c:pt>
                <c:pt idx="5909">
                  <c:v>408.5</c:v>
                </c:pt>
                <c:pt idx="5910">
                  <c:v>414</c:v>
                </c:pt>
                <c:pt idx="5911">
                  <c:v>420.4</c:v>
                </c:pt>
                <c:pt idx="5912">
                  <c:v>421.6</c:v>
                </c:pt>
                <c:pt idx="5913">
                  <c:v>425.5</c:v>
                </c:pt>
                <c:pt idx="5914">
                  <c:v>427.5</c:v>
                </c:pt>
                <c:pt idx="5915">
                  <c:v>426.2</c:v>
                </c:pt>
                <c:pt idx="5916">
                  <c:v>428.4</c:v>
                </c:pt>
                <c:pt idx="5918">
                  <c:v>333.2</c:v>
                </c:pt>
                <c:pt idx="5919">
                  <c:v>331.1</c:v>
                </c:pt>
                <c:pt idx="5920">
                  <c:v>331.8</c:v>
                </c:pt>
                <c:pt idx="5921">
                  <c:v>330.5</c:v>
                </c:pt>
                <c:pt idx="5922">
                  <c:v>326.10000000000002</c:v>
                </c:pt>
                <c:pt idx="5923">
                  <c:v>326.3</c:v>
                </c:pt>
                <c:pt idx="5924">
                  <c:v>324.10000000000002</c:v>
                </c:pt>
                <c:pt idx="5925">
                  <c:v>319.60000000000002</c:v>
                </c:pt>
                <c:pt idx="5926">
                  <c:v>317.39999999999998</c:v>
                </c:pt>
                <c:pt idx="5927">
                  <c:v>314.8</c:v>
                </c:pt>
                <c:pt idx="5928">
                  <c:v>314.3</c:v>
                </c:pt>
                <c:pt idx="5929">
                  <c:v>305.8</c:v>
                </c:pt>
                <c:pt idx="5930">
                  <c:v>304.7</c:v>
                </c:pt>
                <c:pt idx="5931">
                  <c:v>307</c:v>
                </c:pt>
                <c:pt idx="5932">
                  <c:v>307.3</c:v>
                </c:pt>
                <c:pt idx="5933">
                  <c:v>303.39999999999998</c:v>
                </c:pt>
                <c:pt idx="5934">
                  <c:v>299.7</c:v>
                </c:pt>
                <c:pt idx="5935">
                  <c:v>297</c:v>
                </c:pt>
                <c:pt idx="5936">
                  <c:v>295.60000000000002</c:v>
                </c:pt>
                <c:pt idx="5937">
                  <c:v>296.60000000000002</c:v>
                </c:pt>
                <c:pt idx="5938">
                  <c:v>295.39999999999998</c:v>
                </c:pt>
                <c:pt idx="5939">
                  <c:v>296.7</c:v>
                </c:pt>
                <c:pt idx="5940">
                  <c:v>300.39999999999998</c:v>
                </c:pt>
                <c:pt idx="5941">
                  <c:v>301.60000000000002</c:v>
                </c:pt>
                <c:pt idx="5942">
                  <c:v>302.8</c:v>
                </c:pt>
                <c:pt idx="5943">
                  <c:v>308.7</c:v>
                </c:pt>
                <c:pt idx="5944">
                  <c:v>309.89999999999998</c:v>
                </c:pt>
                <c:pt idx="5945">
                  <c:v>312.39999999999998</c:v>
                </c:pt>
                <c:pt idx="5946">
                  <c:v>312.89999999999998</c:v>
                </c:pt>
                <c:pt idx="5947">
                  <c:v>315.60000000000002</c:v>
                </c:pt>
                <c:pt idx="5948">
                  <c:v>319.89999999999998</c:v>
                </c:pt>
                <c:pt idx="5949">
                  <c:v>325.5</c:v>
                </c:pt>
                <c:pt idx="5950">
                  <c:v>323.5</c:v>
                </c:pt>
                <c:pt idx="5951">
                  <c:v>324.5</c:v>
                </c:pt>
                <c:pt idx="5952">
                  <c:v>323.3</c:v>
                </c:pt>
                <c:pt idx="5953">
                  <c:v>326.39999999999998</c:v>
                </c:pt>
                <c:pt idx="5954">
                  <c:v>329.3</c:v>
                </c:pt>
                <c:pt idx="5955">
                  <c:v>329.2</c:v>
                </c:pt>
                <c:pt idx="5956">
                  <c:v>332.8</c:v>
                </c:pt>
                <c:pt idx="5957">
                  <c:v>333.2</c:v>
                </c:pt>
                <c:pt idx="5959">
                  <c:v>382.3</c:v>
                </c:pt>
                <c:pt idx="5960">
                  <c:v>377.6</c:v>
                </c:pt>
                <c:pt idx="5961">
                  <c:v>371.2</c:v>
                </c:pt>
                <c:pt idx="5962">
                  <c:v>369.1</c:v>
                </c:pt>
                <c:pt idx="5963">
                  <c:v>372.4</c:v>
                </c:pt>
                <c:pt idx="5964">
                  <c:v>372.7</c:v>
                </c:pt>
                <c:pt idx="5965">
                  <c:v>379.1</c:v>
                </c:pt>
                <c:pt idx="5966">
                  <c:v>379.3</c:v>
                </c:pt>
                <c:pt idx="5967">
                  <c:v>380.9</c:v>
                </c:pt>
                <c:pt idx="5968">
                  <c:v>378.2</c:v>
                </c:pt>
                <c:pt idx="5969">
                  <c:v>376.6</c:v>
                </c:pt>
                <c:pt idx="5970">
                  <c:v>375.9</c:v>
                </c:pt>
                <c:pt idx="5971">
                  <c:v>371.5</c:v>
                </c:pt>
                <c:pt idx="5972">
                  <c:v>371.6</c:v>
                </c:pt>
                <c:pt idx="5973">
                  <c:v>365.2</c:v>
                </c:pt>
                <c:pt idx="5974">
                  <c:v>361.7</c:v>
                </c:pt>
                <c:pt idx="5975">
                  <c:v>357.4</c:v>
                </c:pt>
                <c:pt idx="5976">
                  <c:v>352.7</c:v>
                </c:pt>
                <c:pt idx="5977">
                  <c:v>351.1</c:v>
                </c:pt>
                <c:pt idx="5978">
                  <c:v>352.5</c:v>
                </c:pt>
                <c:pt idx="5979">
                  <c:v>346.4</c:v>
                </c:pt>
                <c:pt idx="5980">
                  <c:v>345.6</c:v>
                </c:pt>
                <c:pt idx="5981">
                  <c:v>344.2</c:v>
                </c:pt>
                <c:pt idx="5982">
                  <c:v>341.2</c:v>
                </c:pt>
                <c:pt idx="5983">
                  <c:v>339.3</c:v>
                </c:pt>
                <c:pt idx="5984">
                  <c:v>340.9</c:v>
                </c:pt>
                <c:pt idx="5985">
                  <c:v>340.1</c:v>
                </c:pt>
                <c:pt idx="5986">
                  <c:v>343.1</c:v>
                </c:pt>
                <c:pt idx="5987">
                  <c:v>340.9</c:v>
                </c:pt>
                <c:pt idx="5988">
                  <c:v>344.5</c:v>
                </c:pt>
                <c:pt idx="5989">
                  <c:v>346.3</c:v>
                </c:pt>
                <c:pt idx="5990">
                  <c:v>343.3</c:v>
                </c:pt>
                <c:pt idx="5991">
                  <c:v>343.3</c:v>
                </c:pt>
                <c:pt idx="5992">
                  <c:v>347.2</c:v>
                </c:pt>
                <c:pt idx="5993">
                  <c:v>352.6</c:v>
                </c:pt>
                <c:pt idx="5994">
                  <c:v>356.2</c:v>
                </c:pt>
                <c:pt idx="5995">
                  <c:v>359.3</c:v>
                </c:pt>
                <c:pt idx="5996">
                  <c:v>366.5</c:v>
                </c:pt>
                <c:pt idx="5997">
                  <c:v>368.5</c:v>
                </c:pt>
                <c:pt idx="5998">
                  <c:v>375.1</c:v>
                </c:pt>
                <c:pt idx="5999">
                  <c:v>375.4</c:v>
                </c:pt>
                <c:pt idx="6000">
                  <c:v>378</c:v>
                </c:pt>
                <c:pt idx="6001">
                  <c:v>380</c:v>
                </c:pt>
                <c:pt idx="6002">
                  <c:v>380</c:v>
                </c:pt>
                <c:pt idx="6003">
                  <c:v>382.2</c:v>
                </c:pt>
                <c:pt idx="6004">
                  <c:v>384.6</c:v>
                </c:pt>
                <c:pt idx="6005">
                  <c:v>382.3</c:v>
                </c:pt>
                <c:pt idx="6007">
                  <c:v>407.2</c:v>
                </c:pt>
                <c:pt idx="6008">
                  <c:v>402</c:v>
                </c:pt>
                <c:pt idx="6009">
                  <c:v>399.9</c:v>
                </c:pt>
                <c:pt idx="6010">
                  <c:v>394.9</c:v>
                </c:pt>
                <c:pt idx="6011">
                  <c:v>393.2</c:v>
                </c:pt>
                <c:pt idx="6012">
                  <c:v>388.7</c:v>
                </c:pt>
                <c:pt idx="6013">
                  <c:v>387</c:v>
                </c:pt>
                <c:pt idx="6014">
                  <c:v>383.6</c:v>
                </c:pt>
                <c:pt idx="6015">
                  <c:v>383.1</c:v>
                </c:pt>
                <c:pt idx="6016">
                  <c:v>384.6</c:v>
                </c:pt>
                <c:pt idx="6017">
                  <c:v>382.7</c:v>
                </c:pt>
                <c:pt idx="6018">
                  <c:v>379.8</c:v>
                </c:pt>
                <c:pt idx="6019">
                  <c:v>376.2</c:v>
                </c:pt>
                <c:pt idx="6020">
                  <c:v>373.5</c:v>
                </c:pt>
                <c:pt idx="6021">
                  <c:v>373.3</c:v>
                </c:pt>
                <c:pt idx="6022">
                  <c:v>371.2</c:v>
                </c:pt>
                <c:pt idx="6023">
                  <c:v>371.2</c:v>
                </c:pt>
                <c:pt idx="6024">
                  <c:v>372</c:v>
                </c:pt>
                <c:pt idx="6025">
                  <c:v>375.9</c:v>
                </c:pt>
                <c:pt idx="6026">
                  <c:v>376.6</c:v>
                </c:pt>
                <c:pt idx="6027">
                  <c:v>378.2</c:v>
                </c:pt>
                <c:pt idx="6028">
                  <c:v>380.9</c:v>
                </c:pt>
                <c:pt idx="6029">
                  <c:v>379.3</c:v>
                </c:pt>
                <c:pt idx="6030">
                  <c:v>379.1</c:v>
                </c:pt>
                <c:pt idx="6031">
                  <c:v>372.7</c:v>
                </c:pt>
                <c:pt idx="6032">
                  <c:v>372.6</c:v>
                </c:pt>
                <c:pt idx="6033">
                  <c:v>369.1</c:v>
                </c:pt>
                <c:pt idx="6034">
                  <c:v>370.8</c:v>
                </c:pt>
                <c:pt idx="6035">
                  <c:v>379.9</c:v>
                </c:pt>
                <c:pt idx="6036">
                  <c:v>384.3</c:v>
                </c:pt>
                <c:pt idx="6037">
                  <c:v>387</c:v>
                </c:pt>
                <c:pt idx="6038">
                  <c:v>387.5</c:v>
                </c:pt>
                <c:pt idx="6039">
                  <c:v>388.8</c:v>
                </c:pt>
                <c:pt idx="6040">
                  <c:v>388.4</c:v>
                </c:pt>
                <c:pt idx="6041">
                  <c:v>393.4</c:v>
                </c:pt>
                <c:pt idx="6042">
                  <c:v>391.3</c:v>
                </c:pt>
                <c:pt idx="6043">
                  <c:v>392.6</c:v>
                </c:pt>
                <c:pt idx="6044">
                  <c:v>390.2</c:v>
                </c:pt>
                <c:pt idx="6045">
                  <c:v>394.5</c:v>
                </c:pt>
                <c:pt idx="6046">
                  <c:v>402</c:v>
                </c:pt>
                <c:pt idx="6047">
                  <c:v>399.8</c:v>
                </c:pt>
                <c:pt idx="6048">
                  <c:v>402.5</c:v>
                </c:pt>
                <c:pt idx="6049">
                  <c:v>403.8</c:v>
                </c:pt>
                <c:pt idx="6050">
                  <c:v>401.4</c:v>
                </c:pt>
                <c:pt idx="6051">
                  <c:v>405.5</c:v>
                </c:pt>
                <c:pt idx="6052">
                  <c:v>405.1</c:v>
                </c:pt>
                <c:pt idx="6053">
                  <c:v>408</c:v>
                </c:pt>
                <c:pt idx="6054">
                  <c:v>407.2</c:v>
                </c:pt>
                <c:pt idx="6056">
                  <c:v>312.7</c:v>
                </c:pt>
                <c:pt idx="6057">
                  <c:v>312.39999999999998</c:v>
                </c:pt>
                <c:pt idx="6058">
                  <c:v>309.89999999999998</c:v>
                </c:pt>
                <c:pt idx="6059">
                  <c:v>308.7</c:v>
                </c:pt>
                <c:pt idx="6060">
                  <c:v>302.8</c:v>
                </c:pt>
                <c:pt idx="6061">
                  <c:v>301.60000000000002</c:v>
                </c:pt>
                <c:pt idx="6062">
                  <c:v>300.39999999999998</c:v>
                </c:pt>
                <c:pt idx="6063">
                  <c:v>296.7</c:v>
                </c:pt>
                <c:pt idx="6064">
                  <c:v>295.39999999999998</c:v>
                </c:pt>
                <c:pt idx="6065">
                  <c:v>296</c:v>
                </c:pt>
                <c:pt idx="6066">
                  <c:v>287.60000000000002</c:v>
                </c:pt>
                <c:pt idx="6067">
                  <c:v>286.2</c:v>
                </c:pt>
                <c:pt idx="6068">
                  <c:v>288.10000000000002</c:v>
                </c:pt>
                <c:pt idx="6069">
                  <c:v>286.39999999999998</c:v>
                </c:pt>
                <c:pt idx="6070">
                  <c:v>287.39999999999998</c:v>
                </c:pt>
                <c:pt idx="6071">
                  <c:v>285.7</c:v>
                </c:pt>
                <c:pt idx="6072">
                  <c:v>285.89999999999998</c:v>
                </c:pt>
                <c:pt idx="6073">
                  <c:v>281.3</c:v>
                </c:pt>
                <c:pt idx="6074">
                  <c:v>285.89999999999998</c:v>
                </c:pt>
                <c:pt idx="6075">
                  <c:v>290.39999999999998</c:v>
                </c:pt>
                <c:pt idx="6076">
                  <c:v>292.8</c:v>
                </c:pt>
                <c:pt idx="6077">
                  <c:v>294.89999999999998</c:v>
                </c:pt>
                <c:pt idx="6078">
                  <c:v>295.89999999999998</c:v>
                </c:pt>
                <c:pt idx="6079">
                  <c:v>298.2</c:v>
                </c:pt>
                <c:pt idx="6080">
                  <c:v>297.60000000000002</c:v>
                </c:pt>
                <c:pt idx="6081">
                  <c:v>299.2</c:v>
                </c:pt>
                <c:pt idx="6082">
                  <c:v>303.60000000000002</c:v>
                </c:pt>
                <c:pt idx="6083">
                  <c:v>306</c:v>
                </c:pt>
                <c:pt idx="6084">
                  <c:v>310.7</c:v>
                </c:pt>
                <c:pt idx="6085">
                  <c:v>312.10000000000002</c:v>
                </c:pt>
                <c:pt idx="6086">
                  <c:v>312.7</c:v>
                </c:pt>
                <c:pt idx="6088">
                  <c:v>346.9</c:v>
                </c:pt>
                <c:pt idx="6089">
                  <c:v>345.2</c:v>
                </c:pt>
                <c:pt idx="6090">
                  <c:v>343.3</c:v>
                </c:pt>
                <c:pt idx="6091">
                  <c:v>343.7</c:v>
                </c:pt>
                <c:pt idx="6092">
                  <c:v>341.9</c:v>
                </c:pt>
                <c:pt idx="6093">
                  <c:v>336.1</c:v>
                </c:pt>
                <c:pt idx="6094">
                  <c:v>337.6</c:v>
                </c:pt>
                <c:pt idx="6095">
                  <c:v>336.2</c:v>
                </c:pt>
                <c:pt idx="6096">
                  <c:v>336.8</c:v>
                </c:pt>
                <c:pt idx="6097">
                  <c:v>335.2</c:v>
                </c:pt>
                <c:pt idx="6098">
                  <c:v>335.6</c:v>
                </c:pt>
                <c:pt idx="6099">
                  <c:v>334.3</c:v>
                </c:pt>
                <c:pt idx="6100">
                  <c:v>337.3</c:v>
                </c:pt>
                <c:pt idx="6101">
                  <c:v>335.8</c:v>
                </c:pt>
                <c:pt idx="6102">
                  <c:v>331.2</c:v>
                </c:pt>
                <c:pt idx="6103">
                  <c:v>329.2</c:v>
                </c:pt>
                <c:pt idx="6104">
                  <c:v>329.3</c:v>
                </c:pt>
                <c:pt idx="6105">
                  <c:v>326.39999999999998</c:v>
                </c:pt>
                <c:pt idx="6106">
                  <c:v>323</c:v>
                </c:pt>
                <c:pt idx="6107">
                  <c:v>324.5</c:v>
                </c:pt>
                <c:pt idx="6108">
                  <c:v>323.60000000000002</c:v>
                </c:pt>
                <c:pt idx="6109">
                  <c:v>325.5</c:v>
                </c:pt>
                <c:pt idx="6110">
                  <c:v>319.89999999999998</c:v>
                </c:pt>
                <c:pt idx="6111">
                  <c:v>315.39999999999998</c:v>
                </c:pt>
                <c:pt idx="6112">
                  <c:v>314.8</c:v>
                </c:pt>
                <c:pt idx="6113">
                  <c:v>316.39999999999998</c:v>
                </c:pt>
                <c:pt idx="6114">
                  <c:v>322.2</c:v>
                </c:pt>
                <c:pt idx="6115">
                  <c:v>320</c:v>
                </c:pt>
                <c:pt idx="6116">
                  <c:v>326.2</c:v>
                </c:pt>
                <c:pt idx="6117">
                  <c:v>331.1</c:v>
                </c:pt>
                <c:pt idx="6118">
                  <c:v>332.8</c:v>
                </c:pt>
                <c:pt idx="6119">
                  <c:v>335.4</c:v>
                </c:pt>
                <c:pt idx="6120">
                  <c:v>333.6</c:v>
                </c:pt>
                <c:pt idx="6121">
                  <c:v>338.9</c:v>
                </c:pt>
                <c:pt idx="6122">
                  <c:v>337.3</c:v>
                </c:pt>
                <c:pt idx="6123">
                  <c:v>340.2</c:v>
                </c:pt>
                <c:pt idx="6124">
                  <c:v>346</c:v>
                </c:pt>
                <c:pt idx="6125">
                  <c:v>349</c:v>
                </c:pt>
                <c:pt idx="6126">
                  <c:v>346.9</c:v>
                </c:pt>
                <c:pt idx="6128">
                  <c:v>368.1</c:v>
                </c:pt>
                <c:pt idx="6129">
                  <c:v>370.2</c:v>
                </c:pt>
                <c:pt idx="6130">
                  <c:v>366.7</c:v>
                </c:pt>
                <c:pt idx="6131">
                  <c:v>369.3</c:v>
                </c:pt>
                <c:pt idx="6132">
                  <c:v>369.5</c:v>
                </c:pt>
                <c:pt idx="6133">
                  <c:v>367.7</c:v>
                </c:pt>
                <c:pt idx="6134">
                  <c:v>366.5</c:v>
                </c:pt>
                <c:pt idx="6135">
                  <c:v>357.5</c:v>
                </c:pt>
                <c:pt idx="6136">
                  <c:v>359.8</c:v>
                </c:pt>
                <c:pt idx="6137">
                  <c:v>362.1</c:v>
                </c:pt>
                <c:pt idx="6138">
                  <c:v>365.2</c:v>
                </c:pt>
                <c:pt idx="6139">
                  <c:v>366.5</c:v>
                </c:pt>
                <c:pt idx="6140">
                  <c:v>362.6</c:v>
                </c:pt>
                <c:pt idx="6141">
                  <c:v>355.6</c:v>
                </c:pt>
                <c:pt idx="6142">
                  <c:v>354.3</c:v>
                </c:pt>
                <c:pt idx="6143">
                  <c:v>348.7</c:v>
                </c:pt>
                <c:pt idx="6144">
                  <c:v>343.3</c:v>
                </c:pt>
                <c:pt idx="6145">
                  <c:v>341.9</c:v>
                </c:pt>
                <c:pt idx="6146">
                  <c:v>341</c:v>
                </c:pt>
                <c:pt idx="6147">
                  <c:v>338.8</c:v>
                </c:pt>
                <c:pt idx="6148">
                  <c:v>335.7</c:v>
                </c:pt>
                <c:pt idx="6149">
                  <c:v>335.1</c:v>
                </c:pt>
                <c:pt idx="6150">
                  <c:v>337.3</c:v>
                </c:pt>
                <c:pt idx="6151">
                  <c:v>334.3</c:v>
                </c:pt>
                <c:pt idx="6152">
                  <c:v>335.6</c:v>
                </c:pt>
                <c:pt idx="6153">
                  <c:v>335.2</c:v>
                </c:pt>
                <c:pt idx="6154">
                  <c:v>336.8</c:v>
                </c:pt>
                <c:pt idx="6155">
                  <c:v>336.2</c:v>
                </c:pt>
                <c:pt idx="6156">
                  <c:v>337.6</c:v>
                </c:pt>
                <c:pt idx="6157">
                  <c:v>336.1</c:v>
                </c:pt>
                <c:pt idx="6158">
                  <c:v>341.5</c:v>
                </c:pt>
                <c:pt idx="6159">
                  <c:v>342.5</c:v>
                </c:pt>
                <c:pt idx="6160">
                  <c:v>343.3</c:v>
                </c:pt>
                <c:pt idx="6161">
                  <c:v>345.2</c:v>
                </c:pt>
                <c:pt idx="6162">
                  <c:v>349</c:v>
                </c:pt>
                <c:pt idx="6163">
                  <c:v>344.7</c:v>
                </c:pt>
                <c:pt idx="6164">
                  <c:v>350.5</c:v>
                </c:pt>
                <c:pt idx="6165">
                  <c:v>351.4</c:v>
                </c:pt>
                <c:pt idx="6166">
                  <c:v>349.5</c:v>
                </c:pt>
                <c:pt idx="6167">
                  <c:v>351.1</c:v>
                </c:pt>
                <c:pt idx="6168">
                  <c:v>357.4</c:v>
                </c:pt>
                <c:pt idx="6169">
                  <c:v>363.9</c:v>
                </c:pt>
                <c:pt idx="6170">
                  <c:v>366.6</c:v>
                </c:pt>
                <c:pt idx="6171">
                  <c:v>370.4</c:v>
                </c:pt>
                <c:pt idx="6172">
                  <c:v>370.9</c:v>
                </c:pt>
                <c:pt idx="6173">
                  <c:v>368.1</c:v>
                </c:pt>
                <c:pt idx="6175">
                  <c:v>377.3</c:v>
                </c:pt>
                <c:pt idx="6176">
                  <c:v>376.4</c:v>
                </c:pt>
                <c:pt idx="6177">
                  <c:v>372.3</c:v>
                </c:pt>
                <c:pt idx="6178">
                  <c:v>372.7</c:v>
                </c:pt>
                <c:pt idx="6179">
                  <c:v>371.4</c:v>
                </c:pt>
                <c:pt idx="6180">
                  <c:v>368.1</c:v>
                </c:pt>
                <c:pt idx="6181">
                  <c:v>367.8</c:v>
                </c:pt>
                <c:pt idx="6182">
                  <c:v>365.2</c:v>
                </c:pt>
                <c:pt idx="6183">
                  <c:v>360.8</c:v>
                </c:pt>
                <c:pt idx="6184">
                  <c:v>360</c:v>
                </c:pt>
                <c:pt idx="6185">
                  <c:v>356.7</c:v>
                </c:pt>
                <c:pt idx="6186">
                  <c:v>351.1</c:v>
                </c:pt>
                <c:pt idx="6187">
                  <c:v>351</c:v>
                </c:pt>
                <c:pt idx="6188">
                  <c:v>349.3</c:v>
                </c:pt>
                <c:pt idx="6189">
                  <c:v>338.3</c:v>
                </c:pt>
                <c:pt idx="6190">
                  <c:v>339.5</c:v>
                </c:pt>
                <c:pt idx="6191">
                  <c:v>342</c:v>
                </c:pt>
                <c:pt idx="6192">
                  <c:v>343.6</c:v>
                </c:pt>
                <c:pt idx="6193">
                  <c:v>342</c:v>
                </c:pt>
                <c:pt idx="6194">
                  <c:v>339.1</c:v>
                </c:pt>
                <c:pt idx="6195">
                  <c:v>337.4</c:v>
                </c:pt>
                <c:pt idx="6196">
                  <c:v>337.7</c:v>
                </c:pt>
                <c:pt idx="6197">
                  <c:v>333.4</c:v>
                </c:pt>
                <c:pt idx="6198">
                  <c:v>331.1</c:v>
                </c:pt>
                <c:pt idx="6199">
                  <c:v>333.6</c:v>
                </c:pt>
                <c:pt idx="6200">
                  <c:v>332.6</c:v>
                </c:pt>
                <c:pt idx="6201">
                  <c:v>334.2</c:v>
                </c:pt>
                <c:pt idx="6202">
                  <c:v>336.7</c:v>
                </c:pt>
                <c:pt idx="6203">
                  <c:v>338.8</c:v>
                </c:pt>
                <c:pt idx="6204">
                  <c:v>341</c:v>
                </c:pt>
                <c:pt idx="6205">
                  <c:v>341.9</c:v>
                </c:pt>
                <c:pt idx="6206">
                  <c:v>343.3</c:v>
                </c:pt>
                <c:pt idx="6207">
                  <c:v>345.7</c:v>
                </c:pt>
                <c:pt idx="6208">
                  <c:v>346.8</c:v>
                </c:pt>
                <c:pt idx="6209">
                  <c:v>350.3</c:v>
                </c:pt>
                <c:pt idx="6210">
                  <c:v>357.7</c:v>
                </c:pt>
                <c:pt idx="6211">
                  <c:v>363.6</c:v>
                </c:pt>
                <c:pt idx="6212">
                  <c:v>363.8</c:v>
                </c:pt>
                <c:pt idx="6213">
                  <c:v>366</c:v>
                </c:pt>
                <c:pt idx="6214">
                  <c:v>368.5</c:v>
                </c:pt>
                <c:pt idx="6215">
                  <c:v>372.5</c:v>
                </c:pt>
                <c:pt idx="6216">
                  <c:v>373</c:v>
                </c:pt>
                <c:pt idx="6217">
                  <c:v>374.8</c:v>
                </c:pt>
                <c:pt idx="6218">
                  <c:v>377.9</c:v>
                </c:pt>
                <c:pt idx="6219">
                  <c:v>377.3</c:v>
                </c:pt>
                <c:pt idx="6221">
                  <c:v>408.7</c:v>
                </c:pt>
                <c:pt idx="6222">
                  <c:v>406.2</c:v>
                </c:pt>
                <c:pt idx="6223">
                  <c:v>407</c:v>
                </c:pt>
                <c:pt idx="6224">
                  <c:v>405.8</c:v>
                </c:pt>
                <c:pt idx="6225">
                  <c:v>408.1</c:v>
                </c:pt>
                <c:pt idx="6226">
                  <c:v>408.2</c:v>
                </c:pt>
                <c:pt idx="6227">
                  <c:v>403.8</c:v>
                </c:pt>
                <c:pt idx="6228">
                  <c:v>403.7</c:v>
                </c:pt>
                <c:pt idx="6229">
                  <c:v>401.1</c:v>
                </c:pt>
                <c:pt idx="6230">
                  <c:v>398.1</c:v>
                </c:pt>
                <c:pt idx="6231">
                  <c:v>394.2</c:v>
                </c:pt>
                <c:pt idx="6232">
                  <c:v>392.1</c:v>
                </c:pt>
                <c:pt idx="6233">
                  <c:v>391.4</c:v>
                </c:pt>
                <c:pt idx="6234">
                  <c:v>387.4</c:v>
                </c:pt>
                <c:pt idx="6235">
                  <c:v>385.1</c:v>
                </c:pt>
                <c:pt idx="6236">
                  <c:v>381</c:v>
                </c:pt>
                <c:pt idx="6237">
                  <c:v>377.4</c:v>
                </c:pt>
                <c:pt idx="6238">
                  <c:v>374.6</c:v>
                </c:pt>
                <c:pt idx="6239">
                  <c:v>371.4</c:v>
                </c:pt>
                <c:pt idx="6240">
                  <c:v>368.8</c:v>
                </c:pt>
                <c:pt idx="6241">
                  <c:v>369.3</c:v>
                </c:pt>
                <c:pt idx="6242">
                  <c:v>366.5</c:v>
                </c:pt>
                <c:pt idx="6243">
                  <c:v>368.6</c:v>
                </c:pt>
                <c:pt idx="6244">
                  <c:v>367.8</c:v>
                </c:pt>
                <c:pt idx="6245">
                  <c:v>371.4</c:v>
                </c:pt>
                <c:pt idx="6246">
                  <c:v>372.7</c:v>
                </c:pt>
                <c:pt idx="6247">
                  <c:v>372.3</c:v>
                </c:pt>
                <c:pt idx="6248">
                  <c:v>376.4</c:v>
                </c:pt>
                <c:pt idx="6249">
                  <c:v>377.9</c:v>
                </c:pt>
                <c:pt idx="6250">
                  <c:v>381.1</c:v>
                </c:pt>
                <c:pt idx="6251">
                  <c:v>391.2</c:v>
                </c:pt>
                <c:pt idx="6252">
                  <c:v>397.2</c:v>
                </c:pt>
                <c:pt idx="6253">
                  <c:v>403.2</c:v>
                </c:pt>
                <c:pt idx="6254">
                  <c:v>408.1</c:v>
                </c:pt>
                <c:pt idx="6255">
                  <c:v>408.7</c:v>
                </c:pt>
                <c:pt idx="6257">
                  <c:v>386.2</c:v>
                </c:pt>
                <c:pt idx="6258">
                  <c:v>385.8</c:v>
                </c:pt>
                <c:pt idx="6259">
                  <c:v>384.1</c:v>
                </c:pt>
                <c:pt idx="6260">
                  <c:v>386</c:v>
                </c:pt>
                <c:pt idx="6261">
                  <c:v>383.3</c:v>
                </c:pt>
                <c:pt idx="6262">
                  <c:v>377.6</c:v>
                </c:pt>
                <c:pt idx="6263">
                  <c:v>368.6</c:v>
                </c:pt>
                <c:pt idx="6264">
                  <c:v>365.7</c:v>
                </c:pt>
                <c:pt idx="6265">
                  <c:v>357.9</c:v>
                </c:pt>
                <c:pt idx="6266">
                  <c:v>349.7</c:v>
                </c:pt>
                <c:pt idx="6267">
                  <c:v>342.6</c:v>
                </c:pt>
                <c:pt idx="6268">
                  <c:v>342.6</c:v>
                </c:pt>
                <c:pt idx="6269">
                  <c:v>343.9</c:v>
                </c:pt>
                <c:pt idx="6270">
                  <c:v>348.7</c:v>
                </c:pt>
                <c:pt idx="6271">
                  <c:v>349.7</c:v>
                </c:pt>
                <c:pt idx="6272">
                  <c:v>348.4</c:v>
                </c:pt>
                <c:pt idx="6273">
                  <c:v>350.3</c:v>
                </c:pt>
                <c:pt idx="6274">
                  <c:v>351.1</c:v>
                </c:pt>
                <c:pt idx="6275">
                  <c:v>356.7</c:v>
                </c:pt>
                <c:pt idx="6276">
                  <c:v>360</c:v>
                </c:pt>
                <c:pt idx="6277">
                  <c:v>360.6</c:v>
                </c:pt>
                <c:pt idx="6278">
                  <c:v>365.3</c:v>
                </c:pt>
                <c:pt idx="6279">
                  <c:v>368.2</c:v>
                </c:pt>
                <c:pt idx="6280">
                  <c:v>368</c:v>
                </c:pt>
                <c:pt idx="6281">
                  <c:v>366.5</c:v>
                </c:pt>
                <c:pt idx="6282">
                  <c:v>369.3</c:v>
                </c:pt>
                <c:pt idx="6283">
                  <c:v>368.8</c:v>
                </c:pt>
                <c:pt idx="6284">
                  <c:v>371.4</c:v>
                </c:pt>
                <c:pt idx="6285">
                  <c:v>374.6</c:v>
                </c:pt>
                <c:pt idx="6286">
                  <c:v>377.4</c:v>
                </c:pt>
                <c:pt idx="6287">
                  <c:v>381</c:v>
                </c:pt>
                <c:pt idx="6288">
                  <c:v>385.2</c:v>
                </c:pt>
                <c:pt idx="6289">
                  <c:v>386.2</c:v>
                </c:pt>
                <c:pt idx="6291">
                  <c:v>296.60000000000002</c:v>
                </c:pt>
                <c:pt idx="6292">
                  <c:v>292</c:v>
                </c:pt>
                <c:pt idx="6293">
                  <c:v>289.7</c:v>
                </c:pt>
                <c:pt idx="6294">
                  <c:v>289</c:v>
                </c:pt>
                <c:pt idx="6295">
                  <c:v>285.3</c:v>
                </c:pt>
                <c:pt idx="6296">
                  <c:v>280.60000000000002</c:v>
                </c:pt>
                <c:pt idx="6297">
                  <c:v>280.7</c:v>
                </c:pt>
                <c:pt idx="6298">
                  <c:v>275.89999999999998</c:v>
                </c:pt>
                <c:pt idx="6299">
                  <c:v>273.89999999999998</c:v>
                </c:pt>
                <c:pt idx="6300">
                  <c:v>274.2</c:v>
                </c:pt>
                <c:pt idx="6301">
                  <c:v>271.39999999999998</c:v>
                </c:pt>
                <c:pt idx="6302">
                  <c:v>274.2</c:v>
                </c:pt>
                <c:pt idx="6303">
                  <c:v>274.2</c:v>
                </c:pt>
                <c:pt idx="6304">
                  <c:v>269.3</c:v>
                </c:pt>
                <c:pt idx="6305">
                  <c:v>270</c:v>
                </c:pt>
                <c:pt idx="6306">
                  <c:v>266.89999999999998</c:v>
                </c:pt>
                <c:pt idx="6307">
                  <c:v>266.89999999999998</c:v>
                </c:pt>
                <c:pt idx="6308">
                  <c:v>270.2</c:v>
                </c:pt>
                <c:pt idx="6309">
                  <c:v>268.2</c:v>
                </c:pt>
                <c:pt idx="6310">
                  <c:v>273</c:v>
                </c:pt>
                <c:pt idx="6311">
                  <c:v>282.60000000000002</c:v>
                </c:pt>
                <c:pt idx="6312">
                  <c:v>285.2</c:v>
                </c:pt>
                <c:pt idx="6313">
                  <c:v>285.39999999999998</c:v>
                </c:pt>
                <c:pt idx="6314">
                  <c:v>281.5</c:v>
                </c:pt>
                <c:pt idx="6315">
                  <c:v>283.5</c:v>
                </c:pt>
                <c:pt idx="6316">
                  <c:v>285.89999999999998</c:v>
                </c:pt>
                <c:pt idx="6317">
                  <c:v>283.5</c:v>
                </c:pt>
                <c:pt idx="6318">
                  <c:v>281.39999999999998</c:v>
                </c:pt>
                <c:pt idx="6319">
                  <c:v>285.89999999999998</c:v>
                </c:pt>
                <c:pt idx="6320">
                  <c:v>285.7</c:v>
                </c:pt>
                <c:pt idx="6321">
                  <c:v>287.39999999999998</c:v>
                </c:pt>
                <c:pt idx="6322">
                  <c:v>286.39999999999998</c:v>
                </c:pt>
                <c:pt idx="6323">
                  <c:v>288.10000000000002</c:v>
                </c:pt>
                <c:pt idx="6324">
                  <c:v>286.2</c:v>
                </c:pt>
                <c:pt idx="6325">
                  <c:v>287.60000000000002</c:v>
                </c:pt>
                <c:pt idx="6326">
                  <c:v>295.8</c:v>
                </c:pt>
                <c:pt idx="6327">
                  <c:v>296.60000000000002</c:v>
                </c:pt>
                <c:pt idx="6329">
                  <c:v>297.7</c:v>
                </c:pt>
                <c:pt idx="6330">
                  <c:v>297.10000000000002</c:v>
                </c:pt>
                <c:pt idx="6331">
                  <c:v>294.3</c:v>
                </c:pt>
                <c:pt idx="6332">
                  <c:v>292.7</c:v>
                </c:pt>
                <c:pt idx="6333">
                  <c:v>293</c:v>
                </c:pt>
                <c:pt idx="6334">
                  <c:v>287.7</c:v>
                </c:pt>
                <c:pt idx="6335">
                  <c:v>284</c:v>
                </c:pt>
                <c:pt idx="6336">
                  <c:v>281.7</c:v>
                </c:pt>
                <c:pt idx="6337">
                  <c:v>280.8</c:v>
                </c:pt>
                <c:pt idx="6338">
                  <c:v>281.60000000000002</c:v>
                </c:pt>
                <c:pt idx="6339">
                  <c:v>278.60000000000002</c:v>
                </c:pt>
                <c:pt idx="6340">
                  <c:v>275.3</c:v>
                </c:pt>
                <c:pt idx="6341">
                  <c:v>272.3</c:v>
                </c:pt>
                <c:pt idx="6342">
                  <c:v>271.8</c:v>
                </c:pt>
                <c:pt idx="6343">
                  <c:v>275.2</c:v>
                </c:pt>
                <c:pt idx="6344">
                  <c:v>276.39999999999998</c:v>
                </c:pt>
                <c:pt idx="6345">
                  <c:v>275</c:v>
                </c:pt>
                <c:pt idx="6346">
                  <c:v>276.39999999999998</c:v>
                </c:pt>
                <c:pt idx="6347">
                  <c:v>274.7</c:v>
                </c:pt>
                <c:pt idx="6348">
                  <c:v>276.60000000000002</c:v>
                </c:pt>
                <c:pt idx="6349">
                  <c:v>276.2</c:v>
                </c:pt>
                <c:pt idx="6350">
                  <c:v>278.3</c:v>
                </c:pt>
                <c:pt idx="6351">
                  <c:v>279.5</c:v>
                </c:pt>
                <c:pt idx="6352">
                  <c:v>285.10000000000002</c:v>
                </c:pt>
                <c:pt idx="6353">
                  <c:v>288.8</c:v>
                </c:pt>
                <c:pt idx="6354">
                  <c:v>290.7</c:v>
                </c:pt>
                <c:pt idx="6355">
                  <c:v>293.39999999999998</c:v>
                </c:pt>
                <c:pt idx="6356">
                  <c:v>293.7</c:v>
                </c:pt>
                <c:pt idx="6357">
                  <c:v>291.2</c:v>
                </c:pt>
                <c:pt idx="6358">
                  <c:v>289.89999999999998</c:v>
                </c:pt>
                <c:pt idx="6359">
                  <c:v>290.89999999999998</c:v>
                </c:pt>
                <c:pt idx="6360">
                  <c:v>291.10000000000002</c:v>
                </c:pt>
                <c:pt idx="6361">
                  <c:v>295</c:v>
                </c:pt>
                <c:pt idx="6362">
                  <c:v>291.3</c:v>
                </c:pt>
                <c:pt idx="6363">
                  <c:v>297.7</c:v>
                </c:pt>
                <c:pt idx="6365">
                  <c:v>318.89999999999998</c:v>
                </c:pt>
                <c:pt idx="6366">
                  <c:v>318.39999999999998</c:v>
                </c:pt>
                <c:pt idx="6367">
                  <c:v>308.8</c:v>
                </c:pt>
                <c:pt idx="6368">
                  <c:v>307.3</c:v>
                </c:pt>
                <c:pt idx="6369">
                  <c:v>296.2</c:v>
                </c:pt>
                <c:pt idx="6370">
                  <c:v>295.8</c:v>
                </c:pt>
                <c:pt idx="6371">
                  <c:v>291.3</c:v>
                </c:pt>
                <c:pt idx="6372">
                  <c:v>294.89999999999998</c:v>
                </c:pt>
                <c:pt idx="6373">
                  <c:v>291.60000000000002</c:v>
                </c:pt>
                <c:pt idx="6374">
                  <c:v>289.89999999999998</c:v>
                </c:pt>
                <c:pt idx="6375">
                  <c:v>291.2</c:v>
                </c:pt>
                <c:pt idx="6376">
                  <c:v>293.7</c:v>
                </c:pt>
                <c:pt idx="6377">
                  <c:v>293.7</c:v>
                </c:pt>
                <c:pt idx="6378">
                  <c:v>290.7</c:v>
                </c:pt>
                <c:pt idx="6379">
                  <c:v>289.60000000000002</c:v>
                </c:pt>
                <c:pt idx="6380">
                  <c:v>290.89999999999998</c:v>
                </c:pt>
                <c:pt idx="6381">
                  <c:v>294.39999999999998</c:v>
                </c:pt>
                <c:pt idx="6382">
                  <c:v>296.3</c:v>
                </c:pt>
                <c:pt idx="6383">
                  <c:v>299.89999999999998</c:v>
                </c:pt>
                <c:pt idx="6384">
                  <c:v>306.3</c:v>
                </c:pt>
                <c:pt idx="6385">
                  <c:v>307.39999999999998</c:v>
                </c:pt>
                <c:pt idx="6386">
                  <c:v>305.2</c:v>
                </c:pt>
                <c:pt idx="6387">
                  <c:v>308.3</c:v>
                </c:pt>
                <c:pt idx="6388">
                  <c:v>309.8</c:v>
                </c:pt>
                <c:pt idx="6389">
                  <c:v>310</c:v>
                </c:pt>
                <c:pt idx="6390">
                  <c:v>312.60000000000002</c:v>
                </c:pt>
                <c:pt idx="6391">
                  <c:v>317.2</c:v>
                </c:pt>
                <c:pt idx="6392">
                  <c:v>317.10000000000002</c:v>
                </c:pt>
                <c:pt idx="6393">
                  <c:v>318.5</c:v>
                </c:pt>
                <c:pt idx="6394">
                  <c:v>319.60000000000002</c:v>
                </c:pt>
                <c:pt idx="6395">
                  <c:v>318.89999999999998</c:v>
                </c:pt>
                <c:pt idx="6397">
                  <c:v>325.8</c:v>
                </c:pt>
                <c:pt idx="6398">
                  <c:v>325.5</c:v>
                </c:pt>
                <c:pt idx="6399">
                  <c:v>319.89999999999998</c:v>
                </c:pt>
                <c:pt idx="6400">
                  <c:v>322</c:v>
                </c:pt>
                <c:pt idx="6401">
                  <c:v>316.39999999999998</c:v>
                </c:pt>
                <c:pt idx="6402">
                  <c:v>314.8</c:v>
                </c:pt>
                <c:pt idx="6403">
                  <c:v>309.39999999999998</c:v>
                </c:pt>
                <c:pt idx="6404">
                  <c:v>311.5</c:v>
                </c:pt>
                <c:pt idx="6405">
                  <c:v>306.7</c:v>
                </c:pt>
                <c:pt idx="6406">
                  <c:v>301.39999999999998</c:v>
                </c:pt>
                <c:pt idx="6407">
                  <c:v>302.8</c:v>
                </c:pt>
                <c:pt idx="6408">
                  <c:v>306.60000000000002</c:v>
                </c:pt>
                <c:pt idx="6409">
                  <c:v>307.5</c:v>
                </c:pt>
                <c:pt idx="6410">
                  <c:v>302.7</c:v>
                </c:pt>
                <c:pt idx="6411">
                  <c:v>307.3</c:v>
                </c:pt>
                <c:pt idx="6412">
                  <c:v>307.39999999999998</c:v>
                </c:pt>
                <c:pt idx="6413">
                  <c:v>311.8</c:v>
                </c:pt>
                <c:pt idx="6414">
                  <c:v>315.7</c:v>
                </c:pt>
                <c:pt idx="6415">
                  <c:v>317.8</c:v>
                </c:pt>
                <c:pt idx="6416">
                  <c:v>320.39999999999998</c:v>
                </c:pt>
                <c:pt idx="6417">
                  <c:v>322.39999999999998</c:v>
                </c:pt>
                <c:pt idx="6418">
                  <c:v>323.5</c:v>
                </c:pt>
                <c:pt idx="6419">
                  <c:v>320.2</c:v>
                </c:pt>
                <c:pt idx="6420">
                  <c:v>323.60000000000002</c:v>
                </c:pt>
                <c:pt idx="6421">
                  <c:v>321.2</c:v>
                </c:pt>
                <c:pt idx="6422">
                  <c:v>327.10000000000002</c:v>
                </c:pt>
                <c:pt idx="6423">
                  <c:v>325.8</c:v>
                </c:pt>
                <c:pt idx="6425">
                  <c:v>405.2</c:v>
                </c:pt>
                <c:pt idx="6426">
                  <c:v>403.9</c:v>
                </c:pt>
                <c:pt idx="6427">
                  <c:v>397.7</c:v>
                </c:pt>
                <c:pt idx="6428">
                  <c:v>395.9</c:v>
                </c:pt>
                <c:pt idx="6429">
                  <c:v>389.2</c:v>
                </c:pt>
                <c:pt idx="6430">
                  <c:v>388.6</c:v>
                </c:pt>
                <c:pt idx="6431">
                  <c:v>384.2</c:v>
                </c:pt>
                <c:pt idx="6432">
                  <c:v>381.6</c:v>
                </c:pt>
                <c:pt idx="6433">
                  <c:v>378.7</c:v>
                </c:pt>
                <c:pt idx="6434">
                  <c:v>378.9</c:v>
                </c:pt>
                <c:pt idx="6435">
                  <c:v>375.3</c:v>
                </c:pt>
                <c:pt idx="6436">
                  <c:v>373.6</c:v>
                </c:pt>
                <c:pt idx="6437">
                  <c:v>371.9</c:v>
                </c:pt>
                <c:pt idx="6438">
                  <c:v>370.2</c:v>
                </c:pt>
                <c:pt idx="6439">
                  <c:v>368.1</c:v>
                </c:pt>
                <c:pt idx="6440">
                  <c:v>371</c:v>
                </c:pt>
                <c:pt idx="6441">
                  <c:v>370.4</c:v>
                </c:pt>
                <c:pt idx="6442">
                  <c:v>366.6</c:v>
                </c:pt>
                <c:pt idx="6443">
                  <c:v>362.8</c:v>
                </c:pt>
                <c:pt idx="6444">
                  <c:v>365.2</c:v>
                </c:pt>
                <c:pt idx="6445">
                  <c:v>373</c:v>
                </c:pt>
                <c:pt idx="6446">
                  <c:v>373.5</c:v>
                </c:pt>
                <c:pt idx="6447">
                  <c:v>376.2</c:v>
                </c:pt>
                <c:pt idx="6448">
                  <c:v>379.8</c:v>
                </c:pt>
                <c:pt idx="6449">
                  <c:v>382.7</c:v>
                </c:pt>
                <c:pt idx="6450">
                  <c:v>384.6</c:v>
                </c:pt>
                <c:pt idx="6451">
                  <c:v>383.1</c:v>
                </c:pt>
                <c:pt idx="6452">
                  <c:v>383.6</c:v>
                </c:pt>
                <c:pt idx="6453">
                  <c:v>387</c:v>
                </c:pt>
                <c:pt idx="6454">
                  <c:v>388.7</c:v>
                </c:pt>
                <c:pt idx="6455">
                  <c:v>393.2</c:v>
                </c:pt>
                <c:pt idx="6456">
                  <c:v>394.9</c:v>
                </c:pt>
                <c:pt idx="6457">
                  <c:v>400.4</c:v>
                </c:pt>
                <c:pt idx="6458">
                  <c:v>401.7</c:v>
                </c:pt>
                <c:pt idx="6459">
                  <c:v>401.5</c:v>
                </c:pt>
                <c:pt idx="6460">
                  <c:v>405.2</c:v>
                </c:pt>
                <c:pt idx="6462">
                  <c:v>432.6</c:v>
                </c:pt>
                <c:pt idx="6463">
                  <c:v>429.3</c:v>
                </c:pt>
                <c:pt idx="6464">
                  <c:v>426.8</c:v>
                </c:pt>
                <c:pt idx="6465">
                  <c:v>424.2</c:v>
                </c:pt>
                <c:pt idx="6466">
                  <c:v>425.5</c:v>
                </c:pt>
                <c:pt idx="6467">
                  <c:v>422.8</c:v>
                </c:pt>
                <c:pt idx="6468">
                  <c:v>419.1</c:v>
                </c:pt>
                <c:pt idx="6469">
                  <c:v>417</c:v>
                </c:pt>
                <c:pt idx="6470">
                  <c:v>413.9</c:v>
                </c:pt>
                <c:pt idx="6471">
                  <c:v>408.6</c:v>
                </c:pt>
                <c:pt idx="6472">
                  <c:v>408.1</c:v>
                </c:pt>
                <c:pt idx="6473">
                  <c:v>403.2</c:v>
                </c:pt>
                <c:pt idx="6474">
                  <c:v>397.2</c:v>
                </c:pt>
                <c:pt idx="6475">
                  <c:v>394.5</c:v>
                </c:pt>
                <c:pt idx="6476">
                  <c:v>395</c:v>
                </c:pt>
                <c:pt idx="6477">
                  <c:v>397.2</c:v>
                </c:pt>
                <c:pt idx="6478">
                  <c:v>397.2</c:v>
                </c:pt>
                <c:pt idx="6479">
                  <c:v>401.2</c:v>
                </c:pt>
                <c:pt idx="6480">
                  <c:v>401.3</c:v>
                </c:pt>
                <c:pt idx="6481">
                  <c:v>399.7</c:v>
                </c:pt>
                <c:pt idx="6482">
                  <c:v>402.7</c:v>
                </c:pt>
                <c:pt idx="6483">
                  <c:v>400.4</c:v>
                </c:pt>
                <c:pt idx="6484">
                  <c:v>401.2</c:v>
                </c:pt>
                <c:pt idx="6485">
                  <c:v>399.1</c:v>
                </c:pt>
                <c:pt idx="6486">
                  <c:v>402.2</c:v>
                </c:pt>
                <c:pt idx="6487">
                  <c:v>402.6</c:v>
                </c:pt>
                <c:pt idx="6488">
                  <c:v>404.4</c:v>
                </c:pt>
                <c:pt idx="6489">
                  <c:v>407.3</c:v>
                </c:pt>
                <c:pt idx="6490">
                  <c:v>406.9</c:v>
                </c:pt>
                <c:pt idx="6491">
                  <c:v>404.8</c:v>
                </c:pt>
                <c:pt idx="6492">
                  <c:v>406.1</c:v>
                </c:pt>
                <c:pt idx="6493">
                  <c:v>407.8</c:v>
                </c:pt>
                <c:pt idx="6494">
                  <c:v>409.8</c:v>
                </c:pt>
                <c:pt idx="6495">
                  <c:v>413</c:v>
                </c:pt>
                <c:pt idx="6496">
                  <c:v>414.4</c:v>
                </c:pt>
                <c:pt idx="6497">
                  <c:v>419</c:v>
                </c:pt>
                <c:pt idx="6498">
                  <c:v>425.2</c:v>
                </c:pt>
                <c:pt idx="6499">
                  <c:v>426.5</c:v>
                </c:pt>
                <c:pt idx="6500">
                  <c:v>424.8</c:v>
                </c:pt>
                <c:pt idx="6501">
                  <c:v>429.2</c:v>
                </c:pt>
                <c:pt idx="6502">
                  <c:v>428.7</c:v>
                </c:pt>
                <c:pt idx="6503">
                  <c:v>431.8</c:v>
                </c:pt>
                <c:pt idx="6504">
                  <c:v>430.3</c:v>
                </c:pt>
                <c:pt idx="6505">
                  <c:v>427.4</c:v>
                </c:pt>
                <c:pt idx="6506">
                  <c:v>426.6</c:v>
                </c:pt>
                <c:pt idx="6507">
                  <c:v>431.8</c:v>
                </c:pt>
                <c:pt idx="6508">
                  <c:v>428.8</c:v>
                </c:pt>
                <c:pt idx="6509">
                  <c:v>432.6</c:v>
                </c:pt>
                <c:pt idx="6511">
                  <c:v>427.6</c:v>
                </c:pt>
                <c:pt idx="6512">
                  <c:v>424.8</c:v>
                </c:pt>
                <c:pt idx="6513">
                  <c:v>409.9</c:v>
                </c:pt>
                <c:pt idx="6514">
                  <c:v>396.7</c:v>
                </c:pt>
                <c:pt idx="6515">
                  <c:v>389.1</c:v>
                </c:pt>
                <c:pt idx="6516">
                  <c:v>383.3</c:v>
                </c:pt>
                <c:pt idx="6517">
                  <c:v>386</c:v>
                </c:pt>
                <c:pt idx="6518">
                  <c:v>384.1</c:v>
                </c:pt>
                <c:pt idx="6519">
                  <c:v>386.5</c:v>
                </c:pt>
                <c:pt idx="6520">
                  <c:v>391.4</c:v>
                </c:pt>
                <c:pt idx="6521">
                  <c:v>392.1</c:v>
                </c:pt>
                <c:pt idx="6522">
                  <c:v>394.2</c:v>
                </c:pt>
                <c:pt idx="6523">
                  <c:v>398.1</c:v>
                </c:pt>
                <c:pt idx="6524">
                  <c:v>401.1</c:v>
                </c:pt>
                <c:pt idx="6525">
                  <c:v>403.7</c:v>
                </c:pt>
                <c:pt idx="6526">
                  <c:v>403.8</c:v>
                </c:pt>
                <c:pt idx="6527">
                  <c:v>408.2</c:v>
                </c:pt>
                <c:pt idx="6528">
                  <c:v>408.1</c:v>
                </c:pt>
                <c:pt idx="6529">
                  <c:v>405.8</c:v>
                </c:pt>
                <c:pt idx="6530">
                  <c:v>407</c:v>
                </c:pt>
                <c:pt idx="6531">
                  <c:v>406.2</c:v>
                </c:pt>
                <c:pt idx="6532">
                  <c:v>408.8</c:v>
                </c:pt>
                <c:pt idx="6533">
                  <c:v>408.3</c:v>
                </c:pt>
                <c:pt idx="6534">
                  <c:v>413.9</c:v>
                </c:pt>
                <c:pt idx="6535">
                  <c:v>417.2</c:v>
                </c:pt>
                <c:pt idx="6536">
                  <c:v>417.9</c:v>
                </c:pt>
                <c:pt idx="6537">
                  <c:v>423.4</c:v>
                </c:pt>
                <c:pt idx="6538">
                  <c:v>425.5</c:v>
                </c:pt>
                <c:pt idx="6539">
                  <c:v>423.9</c:v>
                </c:pt>
                <c:pt idx="6540">
                  <c:v>426.3</c:v>
                </c:pt>
                <c:pt idx="6541">
                  <c:v>426</c:v>
                </c:pt>
                <c:pt idx="6542">
                  <c:v>429.8</c:v>
                </c:pt>
                <c:pt idx="6543">
                  <c:v>434.5</c:v>
                </c:pt>
                <c:pt idx="6544">
                  <c:v>434.2</c:v>
                </c:pt>
                <c:pt idx="6545">
                  <c:v>437.7</c:v>
                </c:pt>
                <c:pt idx="6546">
                  <c:v>436.4</c:v>
                </c:pt>
                <c:pt idx="6547">
                  <c:v>432.5</c:v>
                </c:pt>
                <c:pt idx="6548">
                  <c:v>427.6</c:v>
                </c:pt>
                <c:pt idx="6550">
                  <c:v>480.4</c:v>
                </c:pt>
                <c:pt idx="6551">
                  <c:v>474.4</c:v>
                </c:pt>
                <c:pt idx="6552">
                  <c:v>470.9</c:v>
                </c:pt>
                <c:pt idx="6553">
                  <c:v>473.2</c:v>
                </c:pt>
                <c:pt idx="6554">
                  <c:v>478.4</c:v>
                </c:pt>
                <c:pt idx="6555">
                  <c:v>481.2</c:v>
                </c:pt>
                <c:pt idx="6556">
                  <c:v>480.4</c:v>
                </c:pt>
                <c:pt idx="6558">
                  <c:v>243.3</c:v>
                </c:pt>
                <c:pt idx="6559">
                  <c:v>240.2</c:v>
                </c:pt>
                <c:pt idx="6560">
                  <c:v>237.2</c:v>
                </c:pt>
                <c:pt idx="6561">
                  <c:v>233.2</c:v>
                </c:pt>
                <c:pt idx="6562">
                  <c:v>234.2</c:v>
                </c:pt>
                <c:pt idx="6563">
                  <c:v>232.9</c:v>
                </c:pt>
                <c:pt idx="6564">
                  <c:v>229.5</c:v>
                </c:pt>
                <c:pt idx="6565">
                  <c:v>227.9</c:v>
                </c:pt>
                <c:pt idx="6566">
                  <c:v>228.2</c:v>
                </c:pt>
                <c:pt idx="6567">
                  <c:v>226.2</c:v>
                </c:pt>
                <c:pt idx="6568">
                  <c:v>220.8</c:v>
                </c:pt>
                <c:pt idx="6569">
                  <c:v>219.2</c:v>
                </c:pt>
                <c:pt idx="6570">
                  <c:v>219.8</c:v>
                </c:pt>
                <c:pt idx="6571">
                  <c:v>217.9</c:v>
                </c:pt>
                <c:pt idx="6572">
                  <c:v>215.2</c:v>
                </c:pt>
                <c:pt idx="6573">
                  <c:v>213.4</c:v>
                </c:pt>
                <c:pt idx="6574">
                  <c:v>211</c:v>
                </c:pt>
                <c:pt idx="6575">
                  <c:v>213.6</c:v>
                </c:pt>
                <c:pt idx="6576">
                  <c:v>215.8</c:v>
                </c:pt>
                <c:pt idx="6577">
                  <c:v>217.9</c:v>
                </c:pt>
                <c:pt idx="6578">
                  <c:v>216.4</c:v>
                </c:pt>
                <c:pt idx="6579">
                  <c:v>218.3</c:v>
                </c:pt>
                <c:pt idx="6580">
                  <c:v>219.7</c:v>
                </c:pt>
                <c:pt idx="6581">
                  <c:v>217.9</c:v>
                </c:pt>
                <c:pt idx="6582">
                  <c:v>222.3</c:v>
                </c:pt>
                <c:pt idx="6583">
                  <c:v>222</c:v>
                </c:pt>
                <c:pt idx="6584">
                  <c:v>228.9</c:v>
                </c:pt>
                <c:pt idx="6585">
                  <c:v>230.1</c:v>
                </c:pt>
                <c:pt idx="6586">
                  <c:v>229.7</c:v>
                </c:pt>
                <c:pt idx="6587">
                  <c:v>232.8</c:v>
                </c:pt>
                <c:pt idx="6588">
                  <c:v>232.2</c:v>
                </c:pt>
                <c:pt idx="6589">
                  <c:v>236.5</c:v>
                </c:pt>
                <c:pt idx="6590">
                  <c:v>238.5</c:v>
                </c:pt>
                <c:pt idx="6591">
                  <c:v>241.6</c:v>
                </c:pt>
                <c:pt idx="6592">
                  <c:v>241.2</c:v>
                </c:pt>
                <c:pt idx="6593">
                  <c:v>243.3</c:v>
                </c:pt>
                <c:pt idx="6595">
                  <c:v>167.7</c:v>
                </c:pt>
                <c:pt idx="6596">
                  <c:v>166.5</c:v>
                </c:pt>
                <c:pt idx="6597">
                  <c:v>166</c:v>
                </c:pt>
                <c:pt idx="6598">
                  <c:v>164.9</c:v>
                </c:pt>
                <c:pt idx="6599">
                  <c:v>166.6</c:v>
                </c:pt>
                <c:pt idx="6600">
                  <c:v>165.6</c:v>
                </c:pt>
                <c:pt idx="6601">
                  <c:v>163.5</c:v>
                </c:pt>
                <c:pt idx="6602">
                  <c:v>166</c:v>
                </c:pt>
                <c:pt idx="6603">
                  <c:v>166.3</c:v>
                </c:pt>
                <c:pt idx="6604">
                  <c:v>167.7</c:v>
                </c:pt>
                <c:pt idx="6606">
                  <c:v>167.8</c:v>
                </c:pt>
                <c:pt idx="6607">
                  <c:v>167.1</c:v>
                </c:pt>
                <c:pt idx="6608">
                  <c:v>166</c:v>
                </c:pt>
                <c:pt idx="6609">
                  <c:v>166.7</c:v>
                </c:pt>
                <c:pt idx="6610">
                  <c:v>167.8</c:v>
                </c:pt>
                <c:pt idx="6612">
                  <c:v>174.1</c:v>
                </c:pt>
                <c:pt idx="6613">
                  <c:v>173.4</c:v>
                </c:pt>
                <c:pt idx="6614">
                  <c:v>171.5</c:v>
                </c:pt>
                <c:pt idx="6615">
                  <c:v>173.2</c:v>
                </c:pt>
                <c:pt idx="6616">
                  <c:v>174.1</c:v>
                </c:pt>
                <c:pt idx="6618">
                  <c:v>173.4</c:v>
                </c:pt>
                <c:pt idx="6619">
                  <c:v>174</c:v>
                </c:pt>
                <c:pt idx="6620">
                  <c:v>176.9</c:v>
                </c:pt>
                <c:pt idx="6621">
                  <c:v>173.4</c:v>
                </c:pt>
                <c:pt idx="6623">
                  <c:v>177.9</c:v>
                </c:pt>
                <c:pt idx="6624">
                  <c:v>176.6</c:v>
                </c:pt>
                <c:pt idx="6625">
                  <c:v>177.5</c:v>
                </c:pt>
                <c:pt idx="6626">
                  <c:v>177.9</c:v>
                </c:pt>
                <c:pt idx="6628">
                  <c:v>185.6</c:v>
                </c:pt>
                <c:pt idx="6629">
                  <c:v>182</c:v>
                </c:pt>
                <c:pt idx="6630">
                  <c:v>181.4</c:v>
                </c:pt>
                <c:pt idx="6631">
                  <c:v>179.3</c:v>
                </c:pt>
                <c:pt idx="6632">
                  <c:v>179.6</c:v>
                </c:pt>
                <c:pt idx="6633">
                  <c:v>182.4</c:v>
                </c:pt>
                <c:pt idx="6634">
                  <c:v>184.4</c:v>
                </c:pt>
                <c:pt idx="6635">
                  <c:v>182.5</c:v>
                </c:pt>
                <c:pt idx="6636">
                  <c:v>184.2</c:v>
                </c:pt>
                <c:pt idx="6637">
                  <c:v>183.7</c:v>
                </c:pt>
                <c:pt idx="6638">
                  <c:v>185.3</c:v>
                </c:pt>
                <c:pt idx="6639">
                  <c:v>185.6</c:v>
                </c:pt>
                <c:pt idx="6641">
                  <c:v>188</c:v>
                </c:pt>
                <c:pt idx="6642">
                  <c:v>185.5</c:v>
                </c:pt>
                <c:pt idx="6643">
                  <c:v>185.1</c:v>
                </c:pt>
                <c:pt idx="6644">
                  <c:v>183.3</c:v>
                </c:pt>
                <c:pt idx="6645">
                  <c:v>185.9</c:v>
                </c:pt>
                <c:pt idx="6646">
                  <c:v>188.1</c:v>
                </c:pt>
                <c:pt idx="6647">
                  <c:v>188</c:v>
                </c:pt>
                <c:pt idx="6649">
                  <c:v>188.1</c:v>
                </c:pt>
                <c:pt idx="6650">
                  <c:v>185.3</c:v>
                </c:pt>
                <c:pt idx="6651">
                  <c:v>187.1</c:v>
                </c:pt>
                <c:pt idx="6652">
                  <c:v>186.9</c:v>
                </c:pt>
                <c:pt idx="6653">
                  <c:v>183.3</c:v>
                </c:pt>
                <c:pt idx="6654">
                  <c:v>183</c:v>
                </c:pt>
                <c:pt idx="6655">
                  <c:v>181.8</c:v>
                </c:pt>
                <c:pt idx="6656">
                  <c:v>179.8</c:v>
                </c:pt>
                <c:pt idx="6657">
                  <c:v>180.1</c:v>
                </c:pt>
                <c:pt idx="6658">
                  <c:v>183.5</c:v>
                </c:pt>
                <c:pt idx="6659">
                  <c:v>183.5</c:v>
                </c:pt>
                <c:pt idx="6660">
                  <c:v>183.7</c:v>
                </c:pt>
                <c:pt idx="6661">
                  <c:v>185.5</c:v>
                </c:pt>
                <c:pt idx="6662">
                  <c:v>186.6</c:v>
                </c:pt>
                <c:pt idx="6663">
                  <c:v>185.8</c:v>
                </c:pt>
                <c:pt idx="6664">
                  <c:v>188.5</c:v>
                </c:pt>
                <c:pt idx="6665">
                  <c:v>187.3</c:v>
                </c:pt>
                <c:pt idx="6666">
                  <c:v>188.1</c:v>
                </c:pt>
                <c:pt idx="6668">
                  <c:v>190.3</c:v>
                </c:pt>
                <c:pt idx="6669">
                  <c:v>188.7</c:v>
                </c:pt>
                <c:pt idx="6670">
                  <c:v>186.8</c:v>
                </c:pt>
                <c:pt idx="6671">
                  <c:v>189.4</c:v>
                </c:pt>
                <c:pt idx="6672">
                  <c:v>190.3</c:v>
                </c:pt>
                <c:pt idx="6674">
                  <c:v>202.9</c:v>
                </c:pt>
                <c:pt idx="6675">
                  <c:v>202.1</c:v>
                </c:pt>
                <c:pt idx="6676">
                  <c:v>199.1</c:v>
                </c:pt>
                <c:pt idx="6677">
                  <c:v>198.1</c:v>
                </c:pt>
                <c:pt idx="6678">
                  <c:v>195.8</c:v>
                </c:pt>
                <c:pt idx="6679">
                  <c:v>191.8</c:v>
                </c:pt>
                <c:pt idx="6680">
                  <c:v>193.4</c:v>
                </c:pt>
                <c:pt idx="6681">
                  <c:v>196.1</c:v>
                </c:pt>
                <c:pt idx="6682">
                  <c:v>193.6</c:v>
                </c:pt>
                <c:pt idx="6683">
                  <c:v>191.6</c:v>
                </c:pt>
                <c:pt idx="6684">
                  <c:v>192.7</c:v>
                </c:pt>
                <c:pt idx="6685">
                  <c:v>188.9</c:v>
                </c:pt>
                <c:pt idx="6686">
                  <c:v>187</c:v>
                </c:pt>
                <c:pt idx="6687">
                  <c:v>189.3</c:v>
                </c:pt>
                <c:pt idx="6688">
                  <c:v>190.9</c:v>
                </c:pt>
                <c:pt idx="6689">
                  <c:v>191.2</c:v>
                </c:pt>
                <c:pt idx="6690">
                  <c:v>193.7</c:v>
                </c:pt>
                <c:pt idx="6691">
                  <c:v>191.4</c:v>
                </c:pt>
                <c:pt idx="6692">
                  <c:v>191.6</c:v>
                </c:pt>
                <c:pt idx="6693">
                  <c:v>193.3</c:v>
                </c:pt>
                <c:pt idx="6694">
                  <c:v>191.8</c:v>
                </c:pt>
                <c:pt idx="6695">
                  <c:v>192.1</c:v>
                </c:pt>
                <c:pt idx="6696">
                  <c:v>194.8</c:v>
                </c:pt>
                <c:pt idx="6697">
                  <c:v>195.3</c:v>
                </c:pt>
                <c:pt idx="6698">
                  <c:v>197.2</c:v>
                </c:pt>
                <c:pt idx="6699">
                  <c:v>197</c:v>
                </c:pt>
                <c:pt idx="6700">
                  <c:v>199</c:v>
                </c:pt>
                <c:pt idx="6701">
                  <c:v>202.9</c:v>
                </c:pt>
                <c:pt idx="6703">
                  <c:v>204.3</c:v>
                </c:pt>
                <c:pt idx="6704">
                  <c:v>202.1</c:v>
                </c:pt>
                <c:pt idx="6705">
                  <c:v>202.4</c:v>
                </c:pt>
                <c:pt idx="6706">
                  <c:v>204.3</c:v>
                </c:pt>
                <c:pt idx="6708">
                  <c:v>208.8</c:v>
                </c:pt>
                <c:pt idx="6709">
                  <c:v>209.1</c:v>
                </c:pt>
                <c:pt idx="6710">
                  <c:v>209.9</c:v>
                </c:pt>
                <c:pt idx="6711">
                  <c:v>210.9</c:v>
                </c:pt>
                <c:pt idx="6712">
                  <c:v>209.8</c:v>
                </c:pt>
                <c:pt idx="6713">
                  <c:v>210.5</c:v>
                </c:pt>
                <c:pt idx="6714">
                  <c:v>209.1</c:v>
                </c:pt>
                <c:pt idx="6715">
                  <c:v>209.6</c:v>
                </c:pt>
                <c:pt idx="6716">
                  <c:v>206.6</c:v>
                </c:pt>
                <c:pt idx="6717">
                  <c:v>203.6</c:v>
                </c:pt>
                <c:pt idx="6718">
                  <c:v>205.1</c:v>
                </c:pt>
                <c:pt idx="6719">
                  <c:v>203</c:v>
                </c:pt>
                <c:pt idx="6720">
                  <c:v>204.9</c:v>
                </c:pt>
                <c:pt idx="6721">
                  <c:v>202.9</c:v>
                </c:pt>
                <c:pt idx="6722">
                  <c:v>203.5</c:v>
                </c:pt>
                <c:pt idx="6723">
                  <c:v>205.9</c:v>
                </c:pt>
                <c:pt idx="6724">
                  <c:v>208</c:v>
                </c:pt>
                <c:pt idx="6725">
                  <c:v>210.8</c:v>
                </c:pt>
                <c:pt idx="6726">
                  <c:v>214.9</c:v>
                </c:pt>
                <c:pt idx="6727">
                  <c:v>218.5</c:v>
                </c:pt>
                <c:pt idx="6728">
                  <c:v>221.2</c:v>
                </c:pt>
                <c:pt idx="6729">
                  <c:v>222.4</c:v>
                </c:pt>
                <c:pt idx="6730">
                  <c:v>221.2</c:v>
                </c:pt>
                <c:pt idx="6731">
                  <c:v>222.7</c:v>
                </c:pt>
                <c:pt idx="6732">
                  <c:v>222.3</c:v>
                </c:pt>
                <c:pt idx="6733">
                  <c:v>217.9</c:v>
                </c:pt>
                <c:pt idx="6734">
                  <c:v>219.7</c:v>
                </c:pt>
                <c:pt idx="6735">
                  <c:v>218.3</c:v>
                </c:pt>
                <c:pt idx="6736">
                  <c:v>216.4</c:v>
                </c:pt>
                <c:pt idx="6737">
                  <c:v>218.2</c:v>
                </c:pt>
                <c:pt idx="6738">
                  <c:v>217.4</c:v>
                </c:pt>
                <c:pt idx="6739">
                  <c:v>215.8</c:v>
                </c:pt>
                <c:pt idx="6740">
                  <c:v>213.6</c:v>
                </c:pt>
                <c:pt idx="6741">
                  <c:v>211</c:v>
                </c:pt>
                <c:pt idx="6742">
                  <c:v>207.7</c:v>
                </c:pt>
                <c:pt idx="6743">
                  <c:v>203.8</c:v>
                </c:pt>
                <c:pt idx="6744">
                  <c:v>204.6</c:v>
                </c:pt>
                <c:pt idx="6745">
                  <c:v>203.4</c:v>
                </c:pt>
                <c:pt idx="6746">
                  <c:v>197.1</c:v>
                </c:pt>
                <c:pt idx="6747">
                  <c:v>196.5</c:v>
                </c:pt>
                <c:pt idx="6748">
                  <c:v>197.5</c:v>
                </c:pt>
                <c:pt idx="6749">
                  <c:v>197.7</c:v>
                </c:pt>
                <c:pt idx="6750">
                  <c:v>200.9</c:v>
                </c:pt>
                <c:pt idx="6751">
                  <c:v>202.3</c:v>
                </c:pt>
                <c:pt idx="6752">
                  <c:v>205.1</c:v>
                </c:pt>
                <c:pt idx="6753">
                  <c:v>207.2</c:v>
                </c:pt>
                <c:pt idx="6754">
                  <c:v>208</c:v>
                </c:pt>
                <c:pt idx="6755">
                  <c:v>211.6</c:v>
                </c:pt>
                <c:pt idx="6756">
                  <c:v>214.1</c:v>
                </c:pt>
                <c:pt idx="6757">
                  <c:v>213.9</c:v>
                </c:pt>
                <c:pt idx="6758">
                  <c:v>208.8</c:v>
                </c:pt>
                <c:pt idx="6760">
                  <c:v>248.3</c:v>
                </c:pt>
                <c:pt idx="6761">
                  <c:v>245.3</c:v>
                </c:pt>
                <c:pt idx="6762">
                  <c:v>244.9</c:v>
                </c:pt>
                <c:pt idx="6763">
                  <c:v>241</c:v>
                </c:pt>
                <c:pt idx="6764">
                  <c:v>234.8</c:v>
                </c:pt>
                <c:pt idx="6765">
                  <c:v>231.2</c:v>
                </c:pt>
                <c:pt idx="6766">
                  <c:v>228.2</c:v>
                </c:pt>
                <c:pt idx="6767">
                  <c:v>221.8</c:v>
                </c:pt>
                <c:pt idx="6768">
                  <c:v>223.6</c:v>
                </c:pt>
                <c:pt idx="6769">
                  <c:v>222.3</c:v>
                </c:pt>
                <c:pt idx="6770">
                  <c:v>223.6</c:v>
                </c:pt>
                <c:pt idx="6771">
                  <c:v>227.3</c:v>
                </c:pt>
                <c:pt idx="6772">
                  <c:v>228.7</c:v>
                </c:pt>
                <c:pt idx="6773">
                  <c:v>231.4</c:v>
                </c:pt>
                <c:pt idx="6774">
                  <c:v>238.8</c:v>
                </c:pt>
                <c:pt idx="6775">
                  <c:v>239.1</c:v>
                </c:pt>
                <c:pt idx="6776">
                  <c:v>240.7</c:v>
                </c:pt>
                <c:pt idx="6777">
                  <c:v>239.8</c:v>
                </c:pt>
                <c:pt idx="6778">
                  <c:v>242.2</c:v>
                </c:pt>
                <c:pt idx="6779">
                  <c:v>243.5</c:v>
                </c:pt>
                <c:pt idx="6780">
                  <c:v>246.2</c:v>
                </c:pt>
                <c:pt idx="6781">
                  <c:v>248.3</c:v>
                </c:pt>
                <c:pt idx="6783">
                  <c:v>273.7</c:v>
                </c:pt>
                <c:pt idx="6784">
                  <c:v>271.3</c:v>
                </c:pt>
                <c:pt idx="6785">
                  <c:v>272.60000000000002</c:v>
                </c:pt>
                <c:pt idx="6786">
                  <c:v>271.89999999999998</c:v>
                </c:pt>
                <c:pt idx="6787">
                  <c:v>269.39999999999998</c:v>
                </c:pt>
                <c:pt idx="6788">
                  <c:v>266.10000000000002</c:v>
                </c:pt>
                <c:pt idx="6789">
                  <c:v>263.89999999999998</c:v>
                </c:pt>
                <c:pt idx="6790">
                  <c:v>261.39999999999998</c:v>
                </c:pt>
                <c:pt idx="6791">
                  <c:v>260.2</c:v>
                </c:pt>
                <c:pt idx="6792">
                  <c:v>256</c:v>
                </c:pt>
                <c:pt idx="6793">
                  <c:v>253.6</c:v>
                </c:pt>
                <c:pt idx="6794">
                  <c:v>251</c:v>
                </c:pt>
                <c:pt idx="6795">
                  <c:v>250.3</c:v>
                </c:pt>
                <c:pt idx="6796">
                  <c:v>247.3</c:v>
                </c:pt>
                <c:pt idx="6797">
                  <c:v>248.3</c:v>
                </c:pt>
                <c:pt idx="6798">
                  <c:v>246.6</c:v>
                </c:pt>
                <c:pt idx="6799">
                  <c:v>242.9</c:v>
                </c:pt>
                <c:pt idx="6800">
                  <c:v>247.1</c:v>
                </c:pt>
                <c:pt idx="6801">
                  <c:v>251.6</c:v>
                </c:pt>
                <c:pt idx="6802">
                  <c:v>254.4</c:v>
                </c:pt>
                <c:pt idx="6803">
                  <c:v>255.2</c:v>
                </c:pt>
                <c:pt idx="6804">
                  <c:v>258.8</c:v>
                </c:pt>
                <c:pt idx="6805">
                  <c:v>261.3</c:v>
                </c:pt>
                <c:pt idx="6806">
                  <c:v>263.60000000000002</c:v>
                </c:pt>
                <c:pt idx="6807">
                  <c:v>263.89999999999998</c:v>
                </c:pt>
                <c:pt idx="6808">
                  <c:v>268.2</c:v>
                </c:pt>
                <c:pt idx="6809">
                  <c:v>270.2</c:v>
                </c:pt>
                <c:pt idx="6810">
                  <c:v>266.8</c:v>
                </c:pt>
                <c:pt idx="6811">
                  <c:v>269.2</c:v>
                </c:pt>
                <c:pt idx="6812">
                  <c:v>269.3</c:v>
                </c:pt>
                <c:pt idx="6813">
                  <c:v>274.2</c:v>
                </c:pt>
                <c:pt idx="6814">
                  <c:v>273.7</c:v>
                </c:pt>
                <c:pt idx="6816">
                  <c:v>185.3</c:v>
                </c:pt>
                <c:pt idx="6817">
                  <c:v>184.2</c:v>
                </c:pt>
                <c:pt idx="6818">
                  <c:v>186.5</c:v>
                </c:pt>
                <c:pt idx="6819">
                  <c:v>185.3</c:v>
                </c:pt>
                <c:pt idx="6821">
                  <c:v>202.8</c:v>
                </c:pt>
                <c:pt idx="6822">
                  <c:v>201.8</c:v>
                </c:pt>
                <c:pt idx="6823">
                  <c:v>200.7</c:v>
                </c:pt>
                <c:pt idx="6824">
                  <c:v>199.2</c:v>
                </c:pt>
                <c:pt idx="6825">
                  <c:v>197.7</c:v>
                </c:pt>
                <c:pt idx="6826">
                  <c:v>199.4</c:v>
                </c:pt>
                <c:pt idx="6827">
                  <c:v>202.8</c:v>
                </c:pt>
                <c:pt idx="6829">
                  <c:v>206.7</c:v>
                </c:pt>
                <c:pt idx="6830">
                  <c:v>203.2</c:v>
                </c:pt>
                <c:pt idx="6831">
                  <c:v>202.6</c:v>
                </c:pt>
                <c:pt idx="6832">
                  <c:v>204.8</c:v>
                </c:pt>
                <c:pt idx="6833">
                  <c:v>205.4</c:v>
                </c:pt>
                <c:pt idx="6834">
                  <c:v>205.4</c:v>
                </c:pt>
                <c:pt idx="6835">
                  <c:v>207.9</c:v>
                </c:pt>
                <c:pt idx="6836">
                  <c:v>206.7</c:v>
                </c:pt>
                <c:pt idx="6838">
                  <c:v>182.4</c:v>
                </c:pt>
                <c:pt idx="6839">
                  <c:v>180</c:v>
                </c:pt>
                <c:pt idx="6840">
                  <c:v>177.6</c:v>
                </c:pt>
                <c:pt idx="6841">
                  <c:v>177.4</c:v>
                </c:pt>
                <c:pt idx="6842">
                  <c:v>176.2</c:v>
                </c:pt>
                <c:pt idx="6843">
                  <c:v>177.3</c:v>
                </c:pt>
                <c:pt idx="6844">
                  <c:v>177</c:v>
                </c:pt>
                <c:pt idx="6845">
                  <c:v>173.9</c:v>
                </c:pt>
                <c:pt idx="6846">
                  <c:v>173.3</c:v>
                </c:pt>
                <c:pt idx="6847">
                  <c:v>176.5</c:v>
                </c:pt>
                <c:pt idx="6848">
                  <c:v>177.3</c:v>
                </c:pt>
                <c:pt idx="6849">
                  <c:v>181.4</c:v>
                </c:pt>
                <c:pt idx="6850">
                  <c:v>180.2</c:v>
                </c:pt>
                <c:pt idx="6851">
                  <c:v>182.4</c:v>
                </c:pt>
                <c:pt idx="6852">
                  <c:v>181.2</c:v>
                </c:pt>
                <c:pt idx="6853">
                  <c:v>182.5</c:v>
                </c:pt>
                <c:pt idx="6854">
                  <c:v>183.6</c:v>
                </c:pt>
                <c:pt idx="6855">
                  <c:v>188.9</c:v>
                </c:pt>
                <c:pt idx="6856">
                  <c:v>189.7</c:v>
                </c:pt>
                <c:pt idx="6857">
                  <c:v>187.4</c:v>
                </c:pt>
                <c:pt idx="6858">
                  <c:v>187.4</c:v>
                </c:pt>
                <c:pt idx="6859">
                  <c:v>184.8</c:v>
                </c:pt>
                <c:pt idx="6860">
                  <c:v>191.7</c:v>
                </c:pt>
                <c:pt idx="6861">
                  <c:v>195.9</c:v>
                </c:pt>
                <c:pt idx="6862">
                  <c:v>197.2</c:v>
                </c:pt>
                <c:pt idx="6863">
                  <c:v>194.5</c:v>
                </c:pt>
                <c:pt idx="6864">
                  <c:v>196.6</c:v>
                </c:pt>
                <c:pt idx="6865">
                  <c:v>195</c:v>
                </c:pt>
                <c:pt idx="6866">
                  <c:v>196.2</c:v>
                </c:pt>
                <c:pt idx="6867">
                  <c:v>193.8</c:v>
                </c:pt>
                <c:pt idx="6868">
                  <c:v>200.4</c:v>
                </c:pt>
                <c:pt idx="6869">
                  <c:v>202.2</c:v>
                </c:pt>
                <c:pt idx="6870">
                  <c:v>200.9</c:v>
                </c:pt>
                <c:pt idx="6871">
                  <c:v>201.9</c:v>
                </c:pt>
                <c:pt idx="6872">
                  <c:v>200.9</c:v>
                </c:pt>
                <c:pt idx="6873">
                  <c:v>205.2</c:v>
                </c:pt>
                <c:pt idx="6874">
                  <c:v>204.4</c:v>
                </c:pt>
                <c:pt idx="6875">
                  <c:v>206.3</c:v>
                </c:pt>
                <c:pt idx="6876">
                  <c:v>206.3</c:v>
                </c:pt>
                <c:pt idx="6877">
                  <c:v>209.9</c:v>
                </c:pt>
                <c:pt idx="6878">
                  <c:v>207.6</c:v>
                </c:pt>
                <c:pt idx="6879">
                  <c:v>205</c:v>
                </c:pt>
                <c:pt idx="6880">
                  <c:v>202.6</c:v>
                </c:pt>
                <c:pt idx="6881">
                  <c:v>199.7</c:v>
                </c:pt>
                <c:pt idx="6882">
                  <c:v>194.7</c:v>
                </c:pt>
                <c:pt idx="6883">
                  <c:v>192.4</c:v>
                </c:pt>
                <c:pt idx="6884">
                  <c:v>193.2</c:v>
                </c:pt>
                <c:pt idx="6885">
                  <c:v>191.3</c:v>
                </c:pt>
                <c:pt idx="6886">
                  <c:v>194.1</c:v>
                </c:pt>
                <c:pt idx="6887">
                  <c:v>193</c:v>
                </c:pt>
                <c:pt idx="6888">
                  <c:v>194.1</c:v>
                </c:pt>
                <c:pt idx="6889">
                  <c:v>191.2</c:v>
                </c:pt>
                <c:pt idx="6890">
                  <c:v>190.9</c:v>
                </c:pt>
                <c:pt idx="6891">
                  <c:v>188.5</c:v>
                </c:pt>
                <c:pt idx="6892">
                  <c:v>189.2</c:v>
                </c:pt>
                <c:pt idx="6893">
                  <c:v>188.1</c:v>
                </c:pt>
                <c:pt idx="6894">
                  <c:v>186.9</c:v>
                </c:pt>
                <c:pt idx="6895">
                  <c:v>188</c:v>
                </c:pt>
                <c:pt idx="6896">
                  <c:v>182.5</c:v>
                </c:pt>
                <c:pt idx="6897">
                  <c:v>183.3</c:v>
                </c:pt>
                <c:pt idx="6898">
                  <c:v>185.2</c:v>
                </c:pt>
                <c:pt idx="6899">
                  <c:v>183.5</c:v>
                </c:pt>
                <c:pt idx="6900">
                  <c:v>185.4</c:v>
                </c:pt>
                <c:pt idx="6901">
                  <c:v>182.4</c:v>
                </c:pt>
                <c:pt idx="6903">
                  <c:v>262.39999999999998</c:v>
                </c:pt>
                <c:pt idx="6904">
                  <c:v>261.10000000000002</c:v>
                </c:pt>
                <c:pt idx="6905">
                  <c:v>259.2</c:v>
                </c:pt>
                <c:pt idx="6906">
                  <c:v>253.7</c:v>
                </c:pt>
                <c:pt idx="6907">
                  <c:v>252.2</c:v>
                </c:pt>
                <c:pt idx="6908">
                  <c:v>253</c:v>
                </c:pt>
                <c:pt idx="6909">
                  <c:v>249.6</c:v>
                </c:pt>
                <c:pt idx="6910">
                  <c:v>243.5</c:v>
                </c:pt>
                <c:pt idx="6911">
                  <c:v>245.4</c:v>
                </c:pt>
                <c:pt idx="6912">
                  <c:v>243.5</c:v>
                </c:pt>
                <c:pt idx="6913">
                  <c:v>238.4</c:v>
                </c:pt>
                <c:pt idx="6914">
                  <c:v>237.4</c:v>
                </c:pt>
                <c:pt idx="6915">
                  <c:v>235.2</c:v>
                </c:pt>
                <c:pt idx="6916">
                  <c:v>235.1</c:v>
                </c:pt>
                <c:pt idx="6917">
                  <c:v>241.1</c:v>
                </c:pt>
                <c:pt idx="6918">
                  <c:v>244.9</c:v>
                </c:pt>
                <c:pt idx="6919">
                  <c:v>245.3</c:v>
                </c:pt>
                <c:pt idx="6920">
                  <c:v>246.8</c:v>
                </c:pt>
                <c:pt idx="6921">
                  <c:v>250.3</c:v>
                </c:pt>
                <c:pt idx="6922">
                  <c:v>251</c:v>
                </c:pt>
                <c:pt idx="6923">
                  <c:v>253.6</c:v>
                </c:pt>
                <c:pt idx="6924">
                  <c:v>256</c:v>
                </c:pt>
                <c:pt idx="6925">
                  <c:v>260.60000000000002</c:v>
                </c:pt>
                <c:pt idx="6926">
                  <c:v>260.39999999999998</c:v>
                </c:pt>
                <c:pt idx="6927">
                  <c:v>262.60000000000002</c:v>
                </c:pt>
                <c:pt idx="6928">
                  <c:v>262.39999999999998</c:v>
                </c:pt>
                <c:pt idx="6930">
                  <c:v>245.4</c:v>
                </c:pt>
                <c:pt idx="6931">
                  <c:v>246.3</c:v>
                </c:pt>
                <c:pt idx="6932">
                  <c:v>242.9</c:v>
                </c:pt>
                <c:pt idx="6933">
                  <c:v>239.8</c:v>
                </c:pt>
                <c:pt idx="6934">
                  <c:v>240.7</c:v>
                </c:pt>
                <c:pt idx="6935">
                  <c:v>239.1</c:v>
                </c:pt>
                <c:pt idx="6936">
                  <c:v>238.8</c:v>
                </c:pt>
                <c:pt idx="6937">
                  <c:v>231.3</c:v>
                </c:pt>
                <c:pt idx="6938">
                  <c:v>230.6</c:v>
                </c:pt>
                <c:pt idx="6939">
                  <c:v>229.3</c:v>
                </c:pt>
                <c:pt idx="6940">
                  <c:v>232.1</c:v>
                </c:pt>
                <c:pt idx="6941">
                  <c:v>231.4</c:v>
                </c:pt>
                <c:pt idx="6942">
                  <c:v>230.3</c:v>
                </c:pt>
                <c:pt idx="6943">
                  <c:v>229.2</c:v>
                </c:pt>
                <c:pt idx="6944">
                  <c:v>234.1</c:v>
                </c:pt>
                <c:pt idx="6945">
                  <c:v>244.1</c:v>
                </c:pt>
                <c:pt idx="6946">
                  <c:v>248</c:v>
                </c:pt>
                <c:pt idx="6947">
                  <c:v>245.4</c:v>
                </c:pt>
                <c:pt idx="6949">
                  <c:v>231.6</c:v>
                </c:pt>
                <c:pt idx="6950">
                  <c:v>229.3</c:v>
                </c:pt>
                <c:pt idx="6951">
                  <c:v>230.7</c:v>
                </c:pt>
                <c:pt idx="6952">
                  <c:v>231.1</c:v>
                </c:pt>
                <c:pt idx="6953">
                  <c:v>228.7</c:v>
                </c:pt>
                <c:pt idx="6954">
                  <c:v>226.9</c:v>
                </c:pt>
                <c:pt idx="6955">
                  <c:v>222.4</c:v>
                </c:pt>
                <c:pt idx="6956">
                  <c:v>225.1</c:v>
                </c:pt>
                <c:pt idx="6957">
                  <c:v>221.8</c:v>
                </c:pt>
                <c:pt idx="6958">
                  <c:v>227.1</c:v>
                </c:pt>
                <c:pt idx="6959">
                  <c:v>230.3</c:v>
                </c:pt>
                <c:pt idx="6960">
                  <c:v>231.6</c:v>
                </c:pt>
                <c:pt idx="6961">
                  <c:v>231.6</c:v>
                </c:pt>
                <c:pt idx="6963">
                  <c:v>213</c:v>
                </c:pt>
                <c:pt idx="6964">
                  <c:v>211.3</c:v>
                </c:pt>
                <c:pt idx="6965">
                  <c:v>212.7</c:v>
                </c:pt>
                <c:pt idx="6966">
                  <c:v>213</c:v>
                </c:pt>
                <c:pt idx="6968">
                  <c:v>215.2</c:v>
                </c:pt>
                <c:pt idx="6969">
                  <c:v>214</c:v>
                </c:pt>
                <c:pt idx="6970">
                  <c:v>213.3</c:v>
                </c:pt>
                <c:pt idx="6971">
                  <c:v>211.5</c:v>
                </c:pt>
                <c:pt idx="6972">
                  <c:v>214.8</c:v>
                </c:pt>
                <c:pt idx="6973">
                  <c:v>214.5</c:v>
                </c:pt>
                <c:pt idx="6974">
                  <c:v>217.5</c:v>
                </c:pt>
                <c:pt idx="6975">
                  <c:v>217.6</c:v>
                </c:pt>
                <c:pt idx="6976">
                  <c:v>226.5</c:v>
                </c:pt>
                <c:pt idx="6977">
                  <c:v>227.6</c:v>
                </c:pt>
                <c:pt idx="6978">
                  <c:v>224.9</c:v>
                </c:pt>
                <c:pt idx="6979">
                  <c:v>223.3</c:v>
                </c:pt>
                <c:pt idx="6980">
                  <c:v>225.9</c:v>
                </c:pt>
                <c:pt idx="6981">
                  <c:v>224.7</c:v>
                </c:pt>
                <c:pt idx="6982">
                  <c:v>226.2</c:v>
                </c:pt>
                <c:pt idx="6983">
                  <c:v>228.5</c:v>
                </c:pt>
                <c:pt idx="6984">
                  <c:v>229.3</c:v>
                </c:pt>
                <c:pt idx="6985">
                  <c:v>225.5</c:v>
                </c:pt>
                <c:pt idx="6986">
                  <c:v>220.9</c:v>
                </c:pt>
                <c:pt idx="6987">
                  <c:v>219.8</c:v>
                </c:pt>
                <c:pt idx="6988">
                  <c:v>219.8</c:v>
                </c:pt>
                <c:pt idx="6989">
                  <c:v>218.5</c:v>
                </c:pt>
                <c:pt idx="6990">
                  <c:v>214.5</c:v>
                </c:pt>
                <c:pt idx="6991">
                  <c:v>213.6</c:v>
                </c:pt>
                <c:pt idx="6992">
                  <c:v>212.9</c:v>
                </c:pt>
                <c:pt idx="6993">
                  <c:v>211.3</c:v>
                </c:pt>
                <c:pt idx="6994">
                  <c:v>213</c:v>
                </c:pt>
                <c:pt idx="6995">
                  <c:v>212.8</c:v>
                </c:pt>
                <c:pt idx="6996">
                  <c:v>215.4</c:v>
                </c:pt>
                <c:pt idx="6997">
                  <c:v>215.6</c:v>
                </c:pt>
                <c:pt idx="6998">
                  <c:v>218.6</c:v>
                </c:pt>
                <c:pt idx="6999">
                  <c:v>216.1</c:v>
                </c:pt>
                <c:pt idx="7000">
                  <c:v>216.8</c:v>
                </c:pt>
                <c:pt idx="7001">
                  <c:v>215.2</c:v>
                </c:pt>
                <c:pt idx="7003">
                  <c:v>234.8</c:v>
                </c:pt>
                <c:pt idx="7004">
                  <c:v>234.9</c:v>
                </c:pt>
                <c:pt idx="7005">
                  <c:v>229</c:v>
                </c:pt>
                <c:pt idx="7006">
                  <c:v>228.7</c:v>
                </c:pt>
                <c:pt idx="7007">
                  <c:v>226.2</c:v>
                </c:pt>
                <c:pt idx="7008">
                  <c:v>224.8</c:v>
                </c:pt>
                <c:pt idx="7009">
                  <c:v>225.1</c:v>
                </c:pt>
                <c:pt idx="7010">
                  <c:v>231.6</c:v>
                </c:pt>
                <c:pt idx="7011">
                  <c:v>235.1</c:v>
                </c:pt>
                <c:pt idx="7012">
                  <c:v>234.8</c:v>
                </c:pt>
                <c:pt idx="7014">
                  <c:v>212.3</c:v>
                </c:pt>
                <c:pt idx="7015">
                  <c:v>213.9</c:v>
                </c:pt>
                <c:pt idx="7016">
                  <c:v>213.9</c:v>
                </c:pt>
                <c:pt idx="7017">
                  <c:v>216.3</c:v>
                </c:pt>
                <c:pt idx="7018">
                  <c:v>215.2</c:v>
                </c:pt>
                <c:pt idx="7019">
                  <c:v>217.1</c:v>
                </c:pt>
                <c:pt idx="7020">
                  <c:v>216.6</c:v>
                </c:pt>
                <c:pt idx="7021">
                  <c:v>218.1</c:v>
                </c:pt>
                <c:pt idx="7022">
                  <c:v>221.5</c:v>
                </c:pt>
                <c:pt idx="7023">
                  <c:v>220.9</c:v>
                </c:pt>
                <c:pt idx="7024">
                  <c:v>218.3</c:v>
                </c:pt>
                <c:pt idx="7025">
                  <c:v>220.3</c:v>
                </c:pt>
                <c:pt idx="7026">
                  <c:v>220.2</c:v>
                </c:pt>
                <c:pt idx="7027">
                  <c:v>221.8</c:v>
                </c:pt>
                <c:pt idx="7028">
                  <c:v>221.5</c:v>
                </c:pt>
                <c:pt idx="7029">
                  <c:v>219.8</c:v>
                </c:pt>
                <c:pt idx="7030">
                  <c:v>221.8</c:v>
                </c:pt>
                <c:pt idx="7031">
                  <c:v>225.1</c:v>
                </c:pt>
                <c:pt idx="7032">
                  <c:v>222.5</c:v>
                </c:pt>
                <c:pt idx="7033">
                  <c:v>223.8</c:v>
                </c:pt>
                <c:pt idx="7034">
                  <c:v>222.5</c:v>
                </c:pt>
                <c:pt idx="7035">
                  <c:v>217.3</c:v>
                </c:pt>
                <c:pt idx="7036">
                  <c:v>213.9</c:v>
                </c:pt>
                <c:pt idx="7037">
                  <c:v>213.9</c:v>
                </c:pt>
                <c:pt idx="7038">
                  <c:v>216.1</c:v>
                </c:pt>
                <c:pt idx="7039">
                  <c:v>216.1</c:v>
                </c:pt>
                <c:pt idx="7040">
                  <c:v>217.7</c:v>
                </c:pt>
                <c:pt idx="7041">
                  <c:v>216.2</c:v>
                </c:pt>
                <c:pt idx="7042">
                  <c:v>216.9</c:v>
                </c:pt>
                <c:pt idx="7043">
                  <c:v>216</c:v>
                </c:pt>
                <c:pt idx="7044">
                  <c:v>212.3</c:v>
                </c:pt>
                <c:pt idx="7046">
                  <c:v>261.3</c:v>
                </c:pt>
                <c:pt idx="7047">
                  <c:v>259.60000000000002</c:v>
                </c:pt>
                <c:pt idx="7048">
                  <c:v>261.3</c:v>
                </c:pt>
                <c:pt idx="7049">
                  <c:v>258.89999999999998</c:v>
                </c:pt>
                <c:pt idx="7050">
                  <c:v>257.10000000000002</c:v>
                </c:pt>
                <c:pt idx="7051">
                  <c:v>253.7</c:v>
                </c:pt>
                <c:pt idx="7052">
                  <c:v>249.4</c:v>
                </c:pt>
                <c:pt idx="7053">
                  <c:v>245.1</c:v>
                </c:pt>
                <c:pt idx="7054">
                  <c:v>244.3</c:v>
                </c:pt>
                <c:pt idx="7055">
                  <c:v>241.5</c:v>
                </c:pt>
                <c:pt idx="7056">
                  <c:v>244.6</c:v>
                </c:pt>
                <c:pt idx="7057">
                  <c:v>240.8</c:v>
                </c:pt>
                <c:pt idx="7058">
                  <c:v>238.2</c:v>
                </c:pt>
                <c:pt idx="7059">
                  <c:v>236</c:v>
                </c:pt>
                <c:pt idx="7060">
                  <c:v>233.3</c:v>
                </c:pt>
                <c:pt idx="7061">
                  <c:v>234.2</c:v>
                </c:pt>
                <c:pt idx="7062">
                  <c:v>232.9</c:v>
                </c:pt>
                <c:pt idx="7063">
                  <c:v>243.3</c:v>
                </c:pt>
                <c:pt idx="7064">
                  <c:v>241.2</c:v>
                </c:pt>
                <c:pt idx="7065">
                  <c:v>243.2</c:v>
                </c:pt>
                <c:pt idx="7066">
                  <c:v>245.2</c:v>
                </c:pt>
                <c:pt idx="7067">
                  <c:v>245.5</c:v>
                </c:pt>
                <c:pt idx="7068">
                  <c:v>246.8</c:v>
                </c:pt>
                <c:pt idx="7069">
                  <c:v>245.8</c:v>
                </c:pt>
                <c:pt idx="7070">
                  <c:v>247.4</c:v>
                </c:pt>
                <c:pt idx="7071">
                  <c:v>248.6</c:v>
                </c:pt>
                <c:pt idx="7072">
                  <c:v>250.8</c:v>
                </c:pt>
                <c:pt idx="7073">
                  <c:v>255.4</c:v>
                </c:pt>
                <c:pt idx="7074">
                  <c:v>257.2</c:v>
                </c:pt>
                <c:pt idx="7075">
                  <c:v>261.3</c:v>
                </c:pt>
                <c:pt idx="7077">
                  <c:v>246.6</c:v>
                </c:pt>
                <c:pt idx="7078">
                  <c:v>246.7</c:v>
                </c:pt>
                <c:pt idx="7079">
                  <c:v>243.6</c:v>
                </c:pt>
                <c:pt idx="7080">
                  <c:v>235</c:v>
                </c:pt>
                <c:pt idx="7081">
                  <c:v>235.1</c:v>
                </c:pt>
                <c:pt idx="7082">
                  <c:v>229.5</c:v>
                </c:pt>
                <c:pt idx="7083">
                  <c:v>227.4</c:v>
                </c:pt>
                <c:pt idx="7084">
                  <c:v>223.3</c:v>
                </c:pt>
                <c:pt idx="7085">
                  <c:v>224.9</c:v>
                </c:pt>
                <c:pt idx="7086">
                  <c:v>227.6</c:v>
                </c:pt>
                <c:pt idx="7087">
                  <c:v>226.4</c:v>
                </c:pt>
                <c:pt idx="7088">
                  <c:v>228.2</c:v>
                </c:pt>
                <c:pt idx="7089">
                  <c:v>227.9</c:v>
                </c:pt>
                <c:pt idx="7090">
                  <c:v>232.6</c:v>
                </c:pt>
                <c:pt idx="7091">
                  <c:v>233.3</c:v>
                </c:pt>
                <c:pt idx="7092">
                  <c:v>236.1</c:v>
                </c:pt>
                <c:pt idx="7093">
                  <c:v>238.2</c:v>
                </c:pt>
                <c:pt idx="7094">
                  <c:v>240.8</c:v>
                </c:pt>
                <c:pt idx="7095">
                  <c:v>244.6</c:v>
                </c:pt>
                <c:pt idx="7096">
                  <c:v>241.5</c:v>
                </c:pt>
                <c:pt idx="7097">
                  <c:v>244.1</c:v>
                </c:pt>
                <c:pt idx="7098">
                  <c:v>245</c:v>
                </c:pt>
                <c:pt idx="7099">
                  <c:v>247.8</c:v>
                </c:pt>
                <c:pt idx="7100">
                  <c:v>246.7</c:v>
                </c:pt>
                <c:pt idx="7101">
                  <c:v>248.9</c:v>
                </c:pt>
                <c:pt idx="7102">
                  <c:v>246.6</c:v>
                </c:pt>
                <c:pt idx="7104">
                  <c:v>278.60000000000002</c:v>
                </c:pt>
                <c:pt idx="7105">
                  <c:v>273</c:v>
                </c:pt>
                <c:pt idx="7106">
                  <c:v>268.7</c:v>
                </c:pt>
                <c:pt idx="7107">
                  <c:v>255.2</c:v>
                </c:pt>
                <c:pt idx="7108">
                  <c:v>254.4</c:v>
                </c:pt>
                <c:pt idx="7109">
                  <c:v>251.6</c:v>
                </c:pt>
                <c:pt idx="7110">
                  <c:v>247.1</c:v>
                </c:pt>
                <c:pt idx="7111">
                  <c:v>246</c:v>
                </c:pt>
                <c:pt idx="7112">
                  <c:v>245.4</c:v>
                </c:pt>
                <c:pt idx="7113">
                  <c:v>248</c:v>
                </c:pt>
                <c:pt idx="7114">
                  <c:v>246.6</c:v>
                </c:pt>
                <c:pt idx="7115">
                  <c:v>248.9</c:v>
                </c:pt>
                <c:pt idx="7116">
                  <c:v>246.7</c:v>
                </c:pt>
                <c:pt idx="7117">
                  <c:v>246.9</c:v>
                </c:pt>
                <c:pt idx="7118">
                  <c:v>253.1</c:v>
                </c:pt>
                <c:pt idx="7119">
                  <c:v>255.4</c:v>
                </c:pt>
                <c:pt idx="7120">
                  <c:v>258</c:v>
                </c:pt>
                <c:pt idx="7121">
                  <c:v>263.60000000000002</c:v>
                </c:pt>
                <c:pt idx="7122">
                  <c:v>271.2</c:v>
                </c:pt>
                <c:pt idx="7123">
                  <c:v>272</c:v>
                </c:pt>
                <c:pt idx="7124">
                  <c:v>274.5</c:v>
                </c:pt>
                <c:pt idx="7125">
                  <c:v>274.60000000000002</c:v>
                </c:pt>
                <c:pt idx="7126">
                  <c:v>278.3</c:v>
                </c:pt>
                <c:pt idx="7127">
                  <c:v>278.60000000000002</c:v>
                </c:pt>
                <c:pt idx="7129">
                  <c:v>219.8</c:v>
                </c:pt>
                <c:pt idx="7130">
                  <c:v>219.2</c:v>
                </c:pt>
                <c:pt idx="7131">
                  <c:v>217.6</c:v>
                </c:pt>
                <c:pt idx="7132">
                  <c:v>217.5</c:v>
                </c:pt>
                <c:pt idx="7133">
                  <c:v>214.5</c:v>
                </c:pt>
                <c:pt idx="7134">
                  <c:v>214.8</c:v>
                </c:pt>
                <c:pt idx="7135">
                  <c:v>211.6</c:v>
                </c:pt>
                <c:pt idx="7136">
                  <c:v>210.7</c:v>
                </c:pt>
                <c:pt idx="7137">
                  <c:v>209.4</c:v>
                </c:pt>
                <c:pt idx="7138">
                  <c:v>207.3</c:v>
                </c:pt>
                <c:pt idx="7139">
                  <c:v>207.3</c:v>
                </c:pt>
                <c:pt idx="7140">
                  <c:v>209.3</c:v>
                </c:pt>
                <c:pt idx="7141">
                  <c:v>211.1</c:v>
                </c:pt>
                <c:pt idx="7142">
                  <c:v>212.6</c:v>
                </c:pt>
                <c:pt idx="7143">
                  <c:v>213.7</c:v>
                </c:pt>
                <c:pt idx="7144">
                  <c:v>211.2</c:v>
                </c:pt>
                <c:pt idx="7145">
                  <c:v>210.6</c:v>
                </c:pt>
                <c:pt idx="7146">
                  <c:v>209.6</c:v>
                </c:pt>
                <c:pt idx="7147">
                  <c:v>207</c:v>
                </c:pt>
                <c:pt idx="7148">
                  <c:v>206.8</c:v>
                </c:pt>
                <c:pt idx="7149">
                  <c:v>204.7</c:v>
                </c:pt>
                <c:pt idx="7150">
                  <c:v>205.3</c:v>
                </c:pt>
                <c:pt idx="7151">
                  <c:v>204.2</c:v>
                </c:pt>
                <c:pt idx="7152">
                  <c:v>204.9</c:v>
                </c:pt>
                <c:pt idx="7153">
                  <c:v>202.6</c:v>
                </c:pt>
                <c:pt idx="7154">
                  <c:v>202.4</c:v>
                </c:pt>
                <c:pt idx="7155">
                  <c:v>199.8</c:v>
                </c:pt>
                <c:pt idx="7156">
                  <c:v>198.5</c:v>
                </c:pt>
                <c:pt idx="7157">
                  <c:v>199.9</c:v>
                </c:pt>
                <c:pt idx="7158">
                  <c:v>201.4</c:v>
                </c:pt>
                <c:pt idx="7159">
                  <c:v>196.1</c:v>
                </c:pt>
                <c:pt idx="7160">
                  <c:v>196.4</c:v>
                </c:pt>
                <c:pt idx="7161">
                  <c:v>194.6</c:v>
                </c:pt>
                <c:pt idx="7162">
                  <c:v>197.9</c:v>
                </c:pt>
                <c:pt idx="7163">
                  <c:v>198.9</c:v>
                </c:pt>
                <c:pt idx="7164">
                  <c:v>199.7</c:v>
                </c:pt>
                <c:pt idx="7165">
                  <c:v>198.7</c:v>
                </c:pt>
                <c:pt idx="7166">
                  <c:v>194</c:v>
                </c:pt>
                <c:pt idx="7167">
                  <c:v>195.7</c:v>
                </c:pt>
                <c:pt idx="7168">
                  <c:v>193.4</c:v>
                </c:pt>
                <c:pt idx="7169">
                  <c:v>195.2</c:v>
                </c:pt>
                <c:pt idx="7170">
                  <c:v>194.7</c:v>
                </c:pt>
                <c:pt idx="7171">
                  <c:v>203.4</c:v>
                </c:pt>
                <c:pt idx="7172">
                  <c:v>204.6</c:v>
                </c:pt>
                <c:pt idx="7173">
                  <c:v>203.8</c:v>
                </c:pt>
                <c:pt idx="7174">
                  <c:v>208.4</c:v>
                </c:pt>
                <c:pt idx="7175">
                  <c:v>213.4</c:v>
                </c:pt>
                <c:pt idx="7176">
                  <c:v>213.8</c:v>
                </c:pt>
                <c:pt idx="7177">
                  <c:v>216.1</c:v>
                </c:pt>
                <c:pt idx="7178">
                  <c:v>219.8</c:v>
                </c:pt>
                <c:pt idx="7180">
                  <c:v>196.8</c:v>
                </c:pt>
                <c:pt idx="7181">
                  <c:v>191.2</c:v>
                </c:pt>
                <c:pt idx="7182">
                  <c:v>191</c:v>
                </c:pt>
                <c:pt idx="7183">
                  <c:v>192.7</c:v>
                </c:pt>
                <c:pt idx="7184">
                  <c:v>194.4</c:v>
                </c:pt>
                <c:pt idx="7185">
                  <c:v>193.5</c:v>
                </c:pt>
                <c:pt idx="7186">
                  <c:v>191.9</c:v>
                </c:pt>
                <c:pt idx="7187">
                  <c:v>189.6</c:v>
                </c:pt>
                <c:pt idx="7188">
                  <c:v>186.9</c:v>
                </c:pt>
                <c:pt idx="7189">
                  <c:v>189</c:v>
                </c:pt>
                <c:pt idx="7190">
                  <c:v>187.8</c:v>
                </c:pt>
                <c:pt idx="7191">
                  <c:v>188.6</c:v>
                </c:pt>
                <c:pt idx="7192">
                  <c:v>191.6</c:v>
                </c:pt>
                <c:pt idx="7193">
                  <c:v>196.3</c:v>
                </c:pt>
                <c:pt idx="7194">
                  <c:v>196.8</c:v>
                </c:pt>
                <c:pt idx="7196">
                  <c:v>190.4</c:v>
                </c:pt>
                <c:pt idx="7197">
                  <c:v>184.4</c:v>
                </c:pt>
                <c:pt idx="7198">
                  <c:v>187.4</c:v>
                </c:pt>
                <c:pt idx="7199">
                  <c:v>187.6</c:v>
                </c:pt>
                <c:pt idx="7200">
                  <c:v>185.8</c:v>
                </c:pt>
                <c:pt idx="7201">
                  <c:v>183.5</c:v>
                </c:pt>
                <c:pt idx="7202">
                  <c:v>178</c:v>
                </c:pt>
                <c:pt idx="7203">
                  <c:v>175.6</c:v>
                </c:pt>
                <c:pt idx="7204">
                  <c:v>174.1</c:v>
                </c:pt>
                <c:pt idx="7205">
                  <c:v>173.3</c:v>
                </c:pt>
                <c:pt idx="7206">
                  <c:v>175.7</c:v>
                </c:pt>
                <c:pt idx="7207">
                  <c:v>174.3</c:v>
                </c:pt>
                <c:pt idx="7208">
                  <c:v>175.3</c:v>
                </c:pt>
                <c:pt idx="7209">
                  <c:v>174</c:v>
                </c:pt>
                <c:pt idx="7210">
                  <c:v>174.1</c:v>
                </c:pt>
                <c:pt idx="7211">
                  <c:v>181.4</c:v>
                </c:pt>
                <c:pt idx="7212">
                  <c:v>180.1</c:v>
                </c:pt>
                <c:pt idx="7213">
                  <c:v>176</c:v>
                </c:pt>
                <c:pt idx="7214">
                  <c:v>176.1</c:v>
                </c:pt>
                <c:pt idx="7215">
                  <c:v>179.1</c:v>
                </c:pt>
                <c:pt idx="7216">
                  <c:v>181.3</c:v>
                </c:pt>
                <c:pt idx="7217">
                  <c:v>189.6</c:v>
                </c:pt>
                <c:pt idx="7218">
                  <c:v>192.1</c:v>
                </c:pt>
                <c:pt idx="7219">
                  <c:v>195</c:v>
                </c:pt>
                <c:pt idx="7220">
                  <c:v>194.8</c:v>
                </c:pt>
                <c:pt idx="7221">
                  <c:v>197.7</c:v>
                </c:pt>
                <c:pt idx="7222">
                  <c:v>199.7</c:v>
                </c:pt>
                <c:pt idx="7223">
                  <c:v>199.1</c:v>
                </c:pt>
                <c:pt idx="7224">
                  <c:v>197.3</c:v>
                </c:pt>
                <c:pt idx="7225">
                  <c:v>193.8</c:v>
                </c:pt>
                <c:pt idx="7226">
                  <c:v>192.9</c:v>
                </c:pt>
                <c:pt idx="7227">
                  <c:v>190.4</c:v>
                </c:pt>
                <c:pt idx="7229">
                  <c:v>240.7</c:v>
                </c:pt>
                <c:pt idx="7230">
                  <c:v>240.3</c:v>
                </c:pt>
                <c:pt idx="7231">
                  <c:v>234.1</c:v>
                </c:pt>
                <c:pt idx="7232">
                  <c:v>232.9</c:v>
                </c:pt>
                <c:pt idx="7233">
                  <c:v>229.2</c:v>
                </c:pt>
                <c:pt idx="7234">
                  <c:v>230.1</c:v>
                </c:pt>
                <c:pt idx="7235">
                  <c:v>233.6</c:v>
                </c:pt>
                <c:pt idx="7236">
                  <c:v>232.6</c:v>
                </c:pt>
                <c:pt idx="7237">
                  <c:v>226.8</c:v>
                </c:pt>
                <c:pt idx="7238">
                  <c:v>223.4</c:v>
                </c:pt>
                <c:pt idx="7239">
                  <c:v>221.2</c:v>
                </c:pt>
                <c:pt idx="7240">
                  <c:v>222.4</c:v>
                </c:pt>
                <c:pt idx="7241">
                  <c:v>221.2</c:v>
                </c:pt>
                <c:pt idx="7242">
                  <c:v>218.5</c:v>
                </c:pt>
                <c:pt idx="7243">
                  <c:v>214.9</c:v>
                </c:pt>
                <c:pt idx="7244">
                  <c:v>210.7</c:v>
                </c:pt>
                <c:pt idx="7245">
                  <c:v>204.3</c:v>
                </c:pt>
                <c:pt idx="7246">
                  <c:v>200</c:v>
                </c:pt>
                <c:pt idx="7247">
                  <c:v>199.8</c:v>
                </c:pt>
                <c:pt idx="7248">
                  <c:v>201.5</c:v>
                </c:pt>
                <c:pt idx="7249">
                  <c:v>197.2</c:v>
                </c:pt>
                <c:pt idx="7250">
                  <c:v>201.9</c:v>
                </c:pt>
                <c:pt idx="7251">
                  <c:v>207.7</c:v>
                </c:pt>
                <c:pt idx="7252">
                  <c:v>211.3</c:v>
                </c:pt>
                <c:pt idx="7253">
                  <c:v>216.5</c:v>
                </c:pt>
                <c:pt idx="7254">
                  <c:v>220.1</c:v>
                </c:pt>
                <c:pt idx="7255">
                  <c:v>225.5</c:v>
                </c:pt>
                <c:pt idx="7256">
                  <c:v>232.6</c:v>
                </c:pt>
                <c:pt idx="7257">
                  <c:v>237.4</c:v>
                </c:pt>
                <c:pt idx="7258">
                  <c:v>238.9</c:v>
                </c:pt>
                <c:pt idx="7259">
                  <c:v>241.3</c:v>
                </c:pt>
                <c:pt idx="7260">
                  <c:v>240.7</c:v>
                </c:pt>
                <c:pt idx="7262">
                  <c:v>267.7</c:v>
                </c:pt>
                <c:pt idx="7263">
                  <c:v>262.60000000000002</c:v>
                </c:pt>
                <c:pt idx="7264">
                  <c:v>263.39999999999998</c:v>
                </c:pt>
                <c:pt idx="7265">
                  <c:v>261.2</c:v>
                </c:pt>
                <c:pt idx="7266">
                  <c:v>261.5</c:v>
                </c:pt>
                <c:pt idx="7267">
                  <c:v>254.3</c:v>
                </c:pt>
                <c:pt idx="7268">
                  <c:v>250.5</c:v>
                </c:pt>
                <c:pt idx="7269">
                  <c:v>250.6</c:v>
                </c:pt>
                <c:pt idx="7270">
                  <c:v>246.7</c:v>
                </c:pt>
                <c:pt idx="7271">
                  <c:v>245.5</c:v>
                </c:pt>
                <c:pt idx="7272">
                  <c:v>245.2</c:v>
                </c:pt>
                <c:pt idx="7273">
                  <c:v>242.8</c:v>
                </c:pt>
                <c:pt idx="7274">
                  <c:v>241.5</c:v>
                </c:pt>
                <c:pt idx="7275">
                  <c:v>241.6</c:v>
                </c:pt>
                <c:pt idx="7276">
                  <c:v>238.5</c:v>
                </c:pt>
                <c:pt idx="7277">
                  <c:v>236.5</c:v>
                </c:pt>
                <c:pt idx="7278">
                  <c:v>232.2</c:v>
                </c:pt>
                <c:pt idx="7279">
                  <c:v>232.7</c:v>
                </c:pt>
                <c:pt idx="7280">
                  <c:v>229.7</c:v>
                </c:pt>
                <c:pt idx="7281">
                  <c:v>229.9</c:v>
                </c:pt>
                <c:pt idx="7282">
                  <c:v>232.6</c:v>
                </c:pt>
                <c:pt idx="7283">
                  <c:v>233.6</c:v>
                </c:pt>
                <c:pt idx="7284">
                  <c:v>230.1</c:v>
                </c:pt>
                <c:pt idx="7285">
                  <c:v>229.2</c:v>
                </c:pt>
                <c:pt idx="7286">
                  <c:v>232.9</c:v>
                </c:pt>
                <c:pt idx="7287">
                  <c:v>234.1</c:v>
                </c:pt>
                <c:pt idx="7288">
                  <c:v>240</c:v>
                </c:pt>
                <c:pt idx="7289">
                  <c:v>242</c:v>
                </c:pt>
                <c:pt idx="7290">
                  <c:v>248.5</c:v>
                </c:pt>
                <c:pt idx="7291">
                  <c:v>252.5</c:v>
                </c:pt>
                <c:pt idx="7292">
                  <c:v>253.6</c:v>
                </c:pt>
                <c:pt idx="7293">
                  <c:v>256.39999999999998</c:v>
                </c:pt>
                <c:pt idx="7294">
                  <c:v>262.3</c:v>
                </c:pt>
                <c:pt idx="7295">
                  <c:v>267.7</c:v>
                </c:pt>
                <c:pt idx="7297">
                  <c:v>287.5</c:v>
                </c:pt>
                <c:pt idx="7298">
                  <c:v>283.3</c:v>
                </c:pt>
                <c:pt idx="7299">
                  <c:v>284.5</c:v>
                </c:pt>
                <c:pt idx="7300">
                  <c:v>276.8</c:v>
                </c:pt>
                <c:pt idx="7301">
                  <c:v>277.60000000000002</c:v>
                </c:pt>
                <c:pt idx="7302">
                  <c:v>272.7</c:v>
                </c:pt>
                <c:pt idx="7303">
                  <c:v>268.60000000000002</c:v>
                </c:pt>
                <c:pt idx="7304">
                  <c:v>267.10000000000002</c:v>
                </c:pt>
                <c:pt idx="7305">
                  <c:v>262.3</c:v>
                </c:pt>
                <c:pt idx="7306">
                  <c:v>256.39999999999998</c:v>
                </c:pt>
                <c:pt idx="7307">
                  <c:v>255.1</c:v>
                </c:pt>
                <c:pt idx="7308">
                  <c:v>253.7</c:v>
                </c:pt>
                <c:pt idx="7309">
                  <c:v>253.6</c:v>
                </c:pt>
                <c:pt idx="7310">
                  <c:v>252.5</c:v>
                </c:pt>
                <c:pt idx="7311">
                  <c:v>248.5</c:v>
                </c:pt>
                <c:pt idx="7312">
                  <c:v>242</c:v>
                </c:pt>
                <c:pt idx="7313">
                  <c:v>239.6</c:v>
                </c:pt>
                <c:pt idx="7314">
                  <c:v>241.5</c:v>
                </c:pt>
                <c:pt idx="7315">
                  <c:v>245.1</c:v>
                </c:pt>
                <c:pt idx="7316">
                  <c:v>253.7</c:v>
                </c:pt>
                <c:pt idx="7317">
                  <c:v>255.2</c:v>
                </c:pt>
                <c:pt idx="7318">
                  <c:v>258.2</c:v>
                </c:pt>
                <c:pt idx="7319">
                  <c:v>263.5</c:v>
                </c:pt>
                <c:pt idx="7320">
                  <c:v>265.39999999999998</c:v>
                </c:pt>
                <c:pt idx="7321">
                  <c:v>271.3</c:v>
                </c:pt>
                <c:pt idx="7322">
                  <c:v>272.39999999999998</c:v>
                </c:pt>
                <c:pt idx="7323">
                  <c:v>275.39999999999998</c:v>
                </c:pt>
                <c:pt idx="7324">
                  <c:v>282.3</c:v>
                </c:pt>
                <c:pt idx="7325">
                  <c:v>288.7</c:v>
                </c:pt>
                <c:pt idx="7326">
                  <c:v>287.5</c:v>
                </c:pt>
                <c:pt idx="7328">
                  <c:v>303.5</c:v>
                </c:pt>
                <c:pt idx="7329">
                  <c:v>301.39999999999998</c:v>
                </c:pt>
                <c:pt idx="7330">
                  <c:v>302.10000000000002</c:v>
                </c:pt>
                <c:pt idx="7331">
                  <c:v>298</c:v>
                </c:pt>
                <c:pt idx="7332">
                  <c:v>298.39999999999998</c:v>
                </c:pt>
                <c:pt idx="7333">
                  <c:v>295.2</c:v>
                </c:pt>
                <c:pt idx="7334">
                  <c:v>296.5</c:v>
                </c:pt>
                <c:pt idx="7335">
                  <c:v>295.3</c:v>
                </c:pt>
                <c:pt idx="7336">
                  <c:v>290.5</c:v>
                </c:pt>
                <c:pt idx="7337">
                  <c:v>279.5</c:v>
                </c:pt>
                <c:pt idx="7338">
                  <c:v>278.3</c:v>
                </c:pt>
                <c:pt idx="7339">
                  <c:v>278.89999999999998</c:v>
                </c:pt>
                <c:pt idx="7340">
                  <c:v>274.5</c:v>
                </c:pt>
                <c:pt idx="7341">
                  <c:v>266.7</c:v>
                </c:pt>
                <c:pt idx="7342">
                  <c:v>264.5</c:v>
                </c:pt>
                <c:pt idx="7343">
                  <c:v>261.5</c:v>
                </c:pt>
                <c:pt idx="7344">
                  <c:v>261.10000000000002</c:v>
                </c:pt>
                <c:pt idx="7345">
                  <c:v>263.39999999999998</c:v>
                </c:pt>
                <c:pt idx="7346">
                  <c:v>262.60000000000002</c:v>
                </c:pt>
                <c:pt idx="7347">
                  <c:v>267.7</c:v>
                </c:pt>
                <c:pt idx="7348">
                  <c:v>267.89999999999998</c:v>
                </c:pt>
                <c:pt idx="7349">
                  <c:v>272.7</c:v>
                </c:pt>
                <c:pt idx="7350">
                  <c:v>277.89999999999998</c:v>
                </c:pt>
                <c:pt idx="7351">
                  <c:v>276.8</c:v>
                </c:pt>
                <c:pt idx="7352">
                  <c:v>284.5</c:v>
                </c:pt>
                <c:pt idx="7353">
                  <c:v>283.3</c:v>
                </c:pt>
                <c:pt idx="7354">
                  <c:v>288.60000000000002</c:v>
                </c:pt>
                <c:pt idx="7355">
                  <c:v>291.7</c:v>
                </c:pt>
                <c:pt idx="7356">
                  <c:v>296.8</c:v>
                </c:pt>
                <c:pt idx="7357">
                  <c:v>296</c:v>
                </c:pt>
                <c:pt idx="7358">
                  <c:v>297.8</c:v>
                </c:pt>
                <c:pt idx="7359">
                  <c:v>299.5</c:v>
                </c:pt>
                <c:pt idx="7360">
                  <c:v>303.5</c:v>
                </c:pt>
                <c:pt idx="7361">
                  <c:v>303.5</c:v>
                </c:pt>
                <c:pt idx="7363">
                  <c:v>295.3</c:v>
                </c:pt>
                <c:pt idx="7364">
                  <c:v>294.39999999999998</c:v>
                </c:pt>
                <c:pt idx="7365">
                  <c:v>290.89999999999998</c:v>
                </c:pt>
                <c:pt idx="7366">
                  <c:v>290.3</c:v>
                </c:pt>
                <c:pt idx="7367">
                  <c:v>285.10000000000002</c:v>
                </c:pt>
                <c:pt idx="7368">
                  <c:v>279.5</c:v>
                </c:pt>
                <c:pt idx="7369">
                  <c:v>278.3</c:v>
                </c:pt>
                <c:pt idx="7370">
                  <c:v>276.3</c:v>
                </c:pt>
                <c:pt idx="7371">
                  <c:v>274.7</c:v>
                </c:pt>
                <c:pt idx="7372">
                  <c:v>276.39999999999998</c:v>
                </c:pt>
                <c:pt idx="7373">
                  <c:v>275</c:v>
                </c:pt>
                <c:pt idx="7374">
                  <c:v>276.5</c:v>
                </c:pt>
                <c:pt idx="7375">
                  <c:v>275.39999999999998</c:v>
                </c:pt>
                <c:pt idx="7376">
                  <c:v>271.8</c:v>
                </c:pt>
                <c:pt idx="7377">
                  <c:v>270.8</c:v>
                </c:pt>
                <c:pt idx="7378">
                  <c:v>263.60000000000002</c:v>
                </c:pt>
                <c:pt idx="7379">
                  <c:v>261</c:v>
                </c:pt>
                <c:pt idx="7380">
                  <c:v>259.60000000000002</c:v>
                </c:pt>
                <c:pt idx="7381">
                  <c:v>261.5</c:v>
                </c:pt>
                <c:pt idx="7382">
                  <c:v>257.8</c:v>
                </c:pt>
                <c:pt idx="7383">
                  <c:v>256.89999999999998</c:v>
                </c:pt>
                <c:pt idx="7384">
                  <c:v>255.4</c:v>
                </c:pt>
                <c:pt idx="7385">
                  <c:v>250.8</c:v>
                </c:pt>
                <c:pt idx="7386">
                  <c:v>248.6</c:v>
                </c:pt>
                <c:pt idx="7387">
                  <c:v>245.3</c:v>
                </c:pt>
                <c:pt idx="7388">
                  <c:v>250.7</c:v>
                </c:pt>
                <c:pt idx="7389">
                  <c:v>250.5</c:v>
                </c:pt>
                <c:pt idx="7390">
                  <c:v>254.3</c:v>
                </c:pt>
                <c:pt idx="7391">
                  <c:v>263.3</c:v>
                </c:pt>
                <c:pt idx="7392">
                  <c:v>266.7</c:v>
                </c:pt>
                <c:pt idx="7393">
                  <c:v>274.5</c:v>
                </c:pt>
                <c:pt idx="7394">
                  <c:v>278.89999999999998</c:v>
                </c:pt>
                <c:pt idx="7395">
                  <c:v>278.3</c:v>
                </c:pt>
                <c:pt idx="7396">
                  <c:v>279.5</c:v>
                </c:pt>
                <c:pt idx="7397">
                  <c:v>290.60000000000002</c:v>
                </c:pt>
                <c:pt idx="7398">
                  <c:v>295.3</c:v>
                </c:pt>
                <c:pt idx="7400">
                  <c:v>45.4</c:v>
                </c:pt>
                <c:pt idx="7401">
                  <c:v>42.1</c:v>
                </c:pt>
                <c:pt idx="7402">
                  <c:v>44</c:v>
                </c:pt>
                <c:pt idx="7403">
                  <c:v>46</c:v>
                </c:pt>
                <c:pt idx="7404">
                  <c:v>45.4</c:v>
                </c:pt>
                <c:pt idx="7406">
                  <c:v>44.9</c:v>
                </c:pt>
                <c:pt idx="7407">
                  <c:v>43.6</c:v>
                </c:pt>
                <c:pt idx="7408">
                  <c:v>41.4</c:v>
                </c:pt>
                <c:pt idx="7409">
                  <c:v>34.799999999999997</c:v>
                </c:pt>
                <c:pt idx="7410">
                  <c:v>34.700000000000003</c:v>
                </c:pt>
                <c:pt idx="7411">
                  <c:v>28.3</c:v>
                </c:pt>
                <c:pt idx="7412">
                  <c:v>28</c:v>
                </c:pt>
                <c:pt idx="7413">
                  <c:v>26.1</c:v>
                </c:pt>
                <c:pt idx="7414">
                  <c:v>26.3</c:v>
                </c:pt>
                <c:pt idx="7415">
                  <c:v>20.399999999999999</c:v>
                </c:pt>
                <c:pt idx="7416">
                  <c:v>18.7</c:v>
                </c:pt>
                <c:pt idx="7417">
                  <c:v>21.5</c:v>
                </c:pt>
                <c:pt idx="7418">
                  <c:v>20.2</c:v>
                </c:pt>
                <c:pt idx="7419">
                  <c:v>26.5</c:v>
                </c:pt>
                <c:pt idx="7420">
                  <c:v>32.6</c:v>
                </c:pt>
                <c:pt idx="7421">
                  <c:v>36.4</c:v>
                </c:pt>
                <c:pt idx="7422">
                  <c:v>37.5</c:v>
                </c:pt>
                <c:pt idx="7423">
                  <c:v>40</c:v>
                </c:pt>
                <c:pt idx="7424">
                  <c:v>43</c:v>
                </c:pt>
                <c:pt idx="7425">
                  <c:v>45.5</c:v>
                </c:pt>
                <c:pt idx="7426">
                  <c:v>47.2</c:v>
                </c:pt>
                <c:pt idx="7427">
                  <c:v>49.3</c:v>
                </c:pt>
                <c:pt idx="7428">
                  <c:v>47.9</c:v>
                </c:pt>
                <c:pt idx="7429">
                  <c:v>50.4</c:v>
                </c:pt>
                <c:pt idx="7430">
                  <c:v>49.7</c:v>
                </c:pt>
                <c:pt idx="7431">
                  <c:v>46.9</c:v>
                </c:pt>
                <c:pt idx="7432">
                  <c:v>46.2</c:v>
                </c:pt>
                <c:pt idx="7433">
                  <c:v>44.9</c:v>
                </c:pt>
                <c:pt idx="7435">
                  <c:v>92.3</c:v>
                </c:pt>
                <c:pt idx="7436">
                  <c:v>89.8</c:v>
                </c:pt>
                <c:pt idx="7437">
                  <c:v>91.9</c:v>
                </c:pt>
                <c:pt idx="7438">
                  <c:v>92.3</c:v>
                </c:pt>
                <c:pt idx="7440">
                  <c:v>41</c:v>
                </c:pt>
                <c:pt idx="7441">
                  <c:v>38.5</c:v>
                </c:pt>
                <c:pt idx="7442">
                  <c:v>40.9</c:v>
                </c:pt>
                <c:pt idx="7443">
                  <c:v>38.5</c:v>
                </c:pt>
                <c:pt idx="7444">
                  <c:v>38.9</c:v>
                </c:pt>
                <c:pt idx="7445">
                  <c:v>37.200000000000003</c:v>
                </c:pt>
                <c:pt idx="7446">
                  <c:v>35.6</c:v>
                </c:pt>
                <c:pt idx="7447">
                  <c:v>36.1</c:v>
                </c:pt>
                <c:pt idx="7448">
                  <c:v>31.5</c:v>
                </c:pt>
                <c:pt idx="7449">
                  <c:v>29.4</c:v>
                </c:pt>
                <c:pt idx="7450">
                  <c:v>22.6</c:v>
                </c:pt>
                <c:pt idx="7451">
                  <c:v>22.4</c:v>
                </c:pt>
                <c:pt idx="7452">
                  <c:v>19.2</c:v>
                </c:pt>
                <c:pt idx="7453">
                  <c:v>18.8</c:v>
                </c:pt>
                <c:pt idx="7454">
                  <c:v>14.5</c:v>
                </c:pt>
                <c:pt idx="7455">
                  <c:v>15.7</c:v>
                </c:pt>
                <c:pt idx="7456">
                  <c:v>14.3</c:v>
                </c:pt>
                <c:pt idx="7457">
                  <c:v>15.5</c:v>
                </c:pt>
                <c:pt idx="7458">
                  <c:v>14.6</c:v>
                </c:pt>
                <c:pt idx="7459">
                  <c:v>15.2</c:v>
                </c:pt>
                <c:pt idx="7460">
                  <c:v>13.3</c:v>
                </c:pt>
                <c:pt idx="7461">
                  <c:v>15.3</c:v>
                </c:pt>
                <c:pt idx="7462">
                  <c:v>15.6</c:v>
                </c:pt>
                <c:pt idx="7463">
                  <c:v>13.9</c:v>
                </c:pt>
                <c:pt idx="7464">
                  <c:v>14.3</c:v>
                </c:pt>
                <c:pt idx="7465">
                  <c:v>15.2</c:v>
                </c:pt>
                <c:pt idx="7466">
                  <c:v>13.3</c:v>
                </c:pt>
                <c:pt idx="7467">
                  <c:v>10.5</c:v>
                </c:pt>
                <c:pt idx="7468">
                  <c:v>10.199999999999999</c:v>
                </c:pt>
                <c:pt idx="7469">
                  <c:v>18.899999999999999</c:v>
                </c:pt>
                <c:pt idx="7470">
                  <c:v>21.5</c:v>
                </c:pt>
                <c:pt idx="7471">
                  <c:v>18.7</c:v>
                </c:pt>
                <c:pt idx="7472">
                  <c:v>20.399999999999999</c:v>
                </c:pt>
                <c:pt idx="7473">
                  <c:v>26.3</c:v>
                </c:pt>
                <c:pt idx="7474">
                  <c:v>26.1</c:v>
                </c:pt>
                <c:pt idx="7475">
                  <c:v>28</c:v>
                </c:pt>
                <c:pt idx="7476">
                  <c:v>27.6</c:v>
                </c:pt>
                <c:pt idx="7477">
                  <c:v>29.7</c:v>
                </c:pt>
                <c:pt idx="7478">
                  <c:v>34.6</c:v>
                </c:pt>
                <c:pt idx="7479">
                  <c:v>34.799999999999997</c:v>
                </c:pt>
                <c:pt idx="7480">
                  <c:v>41.2</c:v>
                </c:pt>
                <c:pt idx="7481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DD-2443-A649-E21157B63B4A}"/>
            </c:ext>
          </c:extLst>
        </c:ser>
        <c:ser>
          <c:idx val="1"/>
          <c:order val="1"/>
          <c:tx>
            <c:v>진단 제외(광역시 자치구 등)</c:v>
          </c:tx>
          <c:spPr>
            <a:ln>
              <a:noFill/>
              <a:prstDash val="solid"/>
            </a:ln>
          </c:spPr>
          <c:marker>
            <c:symbol val="circle"/>
            <c:size val="4"/>
            <c:spPr>
              <a:solidFill>
                <a:srgbClr val="E3E6E9"/>
              </a:solidFill>
              <a:ln w="6350">
                <a:solidFill>
                  <a:srgbClr val="FFFFFF"/>
                </a:solidFill>
                <a:prstDash val="solid"/>
              </a:ln>
            </c:spPr>
          </c:marker>
          <c:xVal>
            <c:numRef>
              <c:f>d_지도!$B$2:$B$228</c:f>
              <c:numCache>
                <c:formatCode>General</c:formatCode>
                <c:ptCount val="227"/>
                <c:pt idx="0">
                  <c:v>248.3</c:v>
                </c:pt>
                <c:pt idx="1">
                  <c:v>216.5</c:v>
                </c:pt>
                <c:pt idx="2">
                  <c:v>223.8</c:v>
                </c:pt>
                <c:pt idx="3">
                  <c:v>371.7</c:v>
                </c:pt>
                <c:pt idx="4">
                  <c:v>211.4</c:v>
                </c:pt>
                <c:pt idx="5">
                  <c:v>375</c:v>
                </c:pt>
                <c:pt idx="6">
                  <c:v>190.1</c:v>
                </c:pt>
                <c:pt idx="7">
                  <c:v>162.4</c:v>
                </c:pt>
                <c:pt idx="8">
                  <c:v>353</c:v>
                </c:pt>
                <c:pt idx="9">
                  <c:v>289.5</c:v>
                </c:pt>
                <c:pt idx="10">
                  <c:v>368.5</c:v>
                </c:pt>
                <c:pt idx="11">
                  <c:v>410.8</c:v>
                </c:pt>
                <c:pt idx="12">
                  <c:v>231.3</c:v>
                </c:pt>
                <c:pt idx="13">
                  <c:v>186.5</c:v>
                </c:pt>
                <c:pt idx="14">
                  <c:v>324</c:v>
                </c:pt>
                <c:pt idx="15">
                  <c:v>335.5</c:v>
                </c:pt>
                <c:pt idx="16">
                  <c:v>200</c:v>
                </c:pt>
                <c:pt idx="17">
                  <c:v>192.3</c:v>
                </c:pt>
                <c:pt idx="18">
                  <c:v>187.7</c:v>
                </c:pt>
                <c:pt idx="19">
                  <c:v>175.1</c:v>
                </c:pt>
                <c:pt idx="20">
                  <c:v>238.8</c:v>
                </c:pt>
                <c:pt idx="21">
                  <c:v>233.2</c:v>
                </c:pt>
                <c:pt idx="22">
                  <c:v>217.3</c:v>
                </c:pt>
                <c:pt idx="23">
                  <c:v>210.5</c:v>
                </c:pt>
                <c:pt idx="24">
                  <c:v>204.8</c:v>
                </c:pt>
                <c:pt idx="25">
                  <c:v>198.2</c:v>
                </c:pt>
                <c:pt idx="26">
                  <c:v>189</c:v>
                </c:pt>
                <c:pt idx="27">
                  <c:v>266.8</c:v>
                </c:pt>
                <c:pt idx="28">
                  <c:v>234.5</c:v>
                </c:pt>
                <c:pt idx="29">
                  <c:v>217.9</c:v>
                </c:pt>
                <c:pt idx="30">
                  <c:v>283.5</c:v>
                </c:pt>
                <c:pt idx="31">
                  <c:v>253.5</c:v>
                </c:pt>
                <c:pt idx="32">
                  <c:v>198</c:v>
                </c:pt>
                <c:pt idx="33">
                  <c:v>221.6</c:v>
                </c:pt>
                <c:pt idx="34">
                  <c:v>329.5</c:v>
                </c:pt>
                <c:pt idx="35">
                  <c:v>170.9</c:v>
                </c:pt>
                <c:pt idx="36">
                  <c:v>353.1</c:v>
                </c:pt>
                <c:pt idx="37">
                  <c:v>203.1</c:v>
                </c:pt>
                <c:pt idx="38">
                  <c:v>252.4</c:v>
                </c:pt>
                <c:pt idx="39">
                  <c:v>392.7</c:v>
                </c:pt>
                <c:pt idx="40">
                  <c:v>201</c:v>
                </c:pt>
                <c:pt idx="41">
                  <c:v>404.9</c:v>
                </c:pt>
                <c:pt idx="42">
                  <c:v>204.8</c:v>
                </c:pt>
                <c:pt idx="43">
                  <c:v>304</c:v>
                </c:pt>
                <c:pt idx="44">
                  <c:v>178.9</c:v>
                </c:pt>
                <c:pt idx="45">
                  <c:v>369.4</c:v>
                </c:pt>
                <c:pt idx="46">
                  <c:v>183</c:v>
                </c:pt>
                <c:pt idx="47">
                  <c:v>413.4</c:v>
                </c:pt>
                <c:pt idx="48">
                  <c:v>185.8</c:v>
                </c:pt>
                <c:pt idx="49">
                  <c:v>230.3</c:v>
                </c:pt>
                <c:pt idx="50">
                  <c:v>247.4</c:v>
                </c:pt>
                <c:pt idx="51">
                  <c:v>290.89999999999998</c:v>
                </c:pt>
                <c:pt idx="52">
                  <c:v>216.1</c:v>
                </c:pt>
                <c:pt idx="53">
                  <c:v>222.8</c:v>
                </c:pt>
                <c:pt idx="54">
                  <c:v>332.3</c:v>
                </c:pt>
                <c:pt idx="55">
                  <c:v>343.8</c:v>
                </c:pt>
                <c:pt idx="56">
                  <c:v>342.5</c:v>
                </c:pt>
                <c:pt idx="57">
                  <c:v>210.2</c:v>
                </c:pt>
                <c:pt idx="58">
                  <c:v>179.9</c:v>
                </c:pt>
                <c:pt idx="59">
                  <c:v>248.4</c:v>
                </c:pt>
                <c:pt idx="60">
                  <c:v>213.2</c:v>
                </c:pt>
                <c:pt idx="61">
                  <c:v>357.2</c:v>
                </c:pt>
                <c:pt idx="62">
                  <c:v>214.5</c:v>
                </c:pt>
                <c:pt idx="63">
                  <c:v>216.7</c:v>
                </c:pt>
                <c:pt idx="64">
                  <c:v>392.4</c:v>
                </c:pt>
                <c:pt idx="65">
                  <c:v>205.1</c:v>
                </c:pt>
                <c:pt idx="66">
                  <c:v>391.7</c:v>
                </c:pt>
                <c:pt idx="67">
                  <c:v>202.8</c:v>
                </c:pt>
                <c:pt idx="68">
                  <c:v>157.19999999999999</c:v>
                </c:pt>
                <c:pt idx="69">
                  <c:v>154.30000000000001</c:v>
                </c:pt>
                <c:pt idx="70">
                  <c:v>271.3</c:v>
                </c:pt>
                <c:pt idx="71">
                  <c:v>310.5</c:v>
                </c:pt>
                <c:pt idx="72">
                  <c:v>367</c:v>
                </c:pt>
                <c:pt idx="73">
                  <c:v>171.4</c:v>
                </c:pt>
                <c:pt idx="74">
                  <c:v>227.6</c:v>
                </c:pt>
                <c:pt idx="75">
                  <c:v>272.5</c:v>
                </c:pt>
                <c:pt idx="76">
                  <c:v>376.7</c:v>
                </c:pt>
                <c:pt idx="77">
                  <c:v>389</c:v>
                </c:pt>
                <c:pt idx="78">
                  <c:v>176.3</c:v>
                </c:pt>
                <c:pt idx="79">
                  <c:v>198.7</c:v>
                </c:pt>
                <c:pt idx="80">
                  <c:v>191.9</c:v>
                </c:pt>
                <c:pt idx="81">
                  <c:v>186.3</c:v>
                </c:pt>
                <c:pt idx="82">
                  <c:v>422.6</c:v>
                </c:pt>
                <c:pt idx="83">
                  <c:v>384.2</c:v>
                </c:pt>
                <c:pt idx="84">
                  <c:v>299.2</c:v>
                </c:pt>
                <c:pt idx="85">
                  <c:v>382</c:v>
                </c:pt>
                <c:pt idx="86">
                  <c:v>288.89999999999998</c:v>
                </c:pt>
                <c:pt idx="87">
                  <c:v>397.6</c:v>
                </c:pt>
                <c:pt idx="88">
                  <c:v>301.10000000000002</c:v>
                </c:pt>
                <c:pt idx="89">
                  <c:v>180.5</c:v>
                </c:pt>
                <c:pt idx="90">
                  <c:v>177.6</c:v>
                </c:pt>
                <c:pt idx="91">
                  <c:v>204.6</c:v>
                </c:pt>
                <c:pt idx="92">
                  <c:v>159.1</c:v>
                </c:pt>
                <c:pt idx="93">
                  <c:v>179.8</c:v>
                </c:pt>
                <c:pt idx="94">
                  <c:v>212.8</c:v>
                </c:pt>
                <c:pt idx="95">
                  <c:v>219</c:v>
                </c:pt>
                <c:pt idx="96">
                  <c:v>219.8</c:v>
                </c:pt>
                <c:pt idx="97">
                  <c:v>224.3</c:v>
                </c:pt>
                <c:pt idx="98">
                  <c:v>213.1</c:v>
                </c:pt>
                <c:pt idx="99">
                  <c:v>211.6</c:v>
                </c:pt>
                <c:pt idx="100">
                  <c:v>317.10000000000002</c:v>
                </c:pt>
                <c:pt idx="101">
                  <c:v>233</c:v>
                </c:pt>
                <c:pt idx="102">
                  <c:v>345.9</c:v>
                </c:pt>
                <c:pt idx="103">
                  <c:v>221</c:v>
                </c:pt>
                <c:pt idx="104">
                  <c:v>355.9</c:v>
                </c:pt>
                <c:pt idx="105">
                  <c:v>395</c:v>
                </c:pt>
                <c:pt idx="106">
                  <c:v>207.9</c:v>
                </c:pt>
                <c:pt idx="107">
                  <c:v>214.9</c:v>
                </c:pt>
                <c:pt idx="108">
                  <c:v>210.6</c:v>
                </c:pt>
                <c:pt idx="109">
                  <c:v>211.9</c:v>
                </c:pt>
                <c:pt idx="110">
                  <c:v>216.3</c:v>
                </c:pt>
                <c:pt idx="111">
                  <c:v>244.8</c:v>
                </c:pt>
                <c:pt idx="112">
                  <c:v>190</c:v>
                </c:pt>
                <c:pt idx="113">
                  <c:v>140.69999999999999</c:v>
                </c:pt>
                <c:pt idx="114">
                  <c:v>209.4</c:v>
                </c:pt>
                <c:pt idx="115">
                  <c:v>363.2</c:v>
                </c:pt>
                <c:pt idx="116">
                  <c:v>174.3</c:v>
                </c:pt>
                <c:pt idx="117">
                  <c:v>198.6</c:v>
                </c:pt>
                <c:pt idx="118">
                  <c:v>235.7</c:v>
                </c:pt>
                <c:pt idx="119">
                  <c:v>206.5</c:v>
                </c:pt>
                <c:pt idx="120">
                  <c:v>202.2</c:v>
                </c:pt>
                <c:pt idx="121">
                  <c:v>299.10000000000002</c:v>
                </c:pt>
                <c:pt idx="122">
                  <c:v>389.7</c:v>
                </c:pt>
                <c:pt idx="123">
                  <c:v>354.9</c:v>
                </c:pt>
                <c:pt idx="124">
                  <c:v>209.3</c:v>
                </c:pt>
                <c:pt idx="125">
                  <c:v>197.8</c:v>
                </c:pt>
                <c:pt idx="126">
                  <c:v>260.3</c:v>
                </c:pt>
                <c:pt idx="127">
                  <c:v>264.5</c:v>
                </c:pt>
                <c:pt idx="128">
                  <c:v>261.3</c:v>
                </c:pt>
                <c:pt idx="129">
                  <c:v>179.1</c:v>
                </c:pt>
                <c:pt idx="130">
                  <c:v>392.5</c:v>
                </c:pt>
                <c:pt idx="131">
                  <c:v>210.7</c:v>
                </c:pt>
                <c:pt idx="132">
                  <c:v>160.4</c:v>
                </c:pt>
                <c:pt idx="133">
                  <c:v>415.9</c:v>
                </c:pt>
                <c:pt idx="134">
                  <c:v>391.3</c:v>
                </c:pt>
                <c:pt idx="135">
                  <c:v>281.39999999999998</c:v>
                </c:pt>
                <c:pt idx="136">
                  <c:v>201.3</c:v>
                </c:pt>
                <c:pt idx="137">
                  <c:v>173.2</c:v>
                </c:pt>
                <c:pt idx="138">
                  <c:v>399.7</c:v>
                </c:pt>
                <c:pt idx="139">
                  <c:v>339.8</c:v>
                </c:pt>
                <c:pt idx="140">
                  <c:v>352.3</c:v>
                </c:pt>
                <c:pt idx="141">
                  <c:v>378.8</c:v>
                </c:pt>
                <c:pt idx="142">
                  <c:v>190</c:v>
                </c:pt>
                <c:pt idx="143">
                  <c:v>334.2</c:v>
                </c:pt>
                <c:pt idx="144">
                  <c:v>213.7</c:v>
                </c:pt>
                <c:pt idx="145">
                  <c:v>267.3</c:v>
                </c:pt>
                <c:pt idx="146">
                  <c:v>7.8</c:v>
                </c:pt>
                <c:pt idx="147">
                  <c:v>184.1</c:v>
                </c:pt>
                <c:pt idx="148">
                  <c:v>226.7</c:v>
                </c:pt>
                <c:pt idx="149">
                  <c:v>208.2</c:v>
                </c:pt>
                <c:pt idx="150">
                  <c:v>219.6</c:v>
                </c:pt>
                <c:pt idx="151">
                  <c:v>216.7</c:v>
                </c:pt>
                <c:pt idx="152">
                  <c:v>232.8</c:v>
                </c:pt>
                <c:pt idx="153">
                  <c:v>547.70000000000005</c:v>
                </c:pt>
                <c:pt idx="154">
                  <c:v>405.4</c:v>
                </c:pt>
                <c:pt idx="155">
                  <c:v>413.8</c:v>
                </c:pt>
                <c:pt idx="156">
                  <c:v>293.8</c:v>
                </c:pt>
                <c:pt idx="157">
                  <c:v>239.6</c:v>
                </c:pt>
                <c:pt idx="158">
                  <c:v>203</c:v>
                </c:pt>
                <c:pt idx="159">
                  <c:v>263.89999999999998</c:v>
                </c:pt>
                <c:pt idx="160">
                  <c:v>319.89999999999998</c:v>
                </c:pt>
                <c:pt idx="161">
                  <c:v>349.4</c:v>
                </c:pt>
                <c:pt idx="162">
                  <c:v>208.3</c:v>
                </c:pt>
                <c:pt idx="163">
                  <c:v>216.4</c:v>
                </c:pt>
                <c:pt idx="164">
                  <c:v>253.2</c:v>
                </c:pt>
                <c:pt idx="165">
                  <c:v>208.9</c:v>
                </c:pt>
                <c:pt idx="166">
                  <c:v>319.60000000000002</c:v>
                </c:pt>
                <c:pt idx="167">
                  <c:v>230.8</c:v>
                </c:pt>
                <c:pt idx="168">
                  <c:v>189.2</c:v>
                </c:pt>
                <c:pt idx="169">
                  <c:v>257.8</c:v>
                </c:pt>
                <c:pt idx="170">
                  <c:v>205.2</c:v>
                </c:pt>
                <c:pt idx="171">
                  <c:v>220.2</c:v>
                </c:pt>
                <c:pt idx="172">
                  <c:v>220.1</c:v>
                </c:pt>
                <c:pt idx="173">
                  <c:v>363.8</c:v>
                </c:pt>
                <c:pt idx="174">
                  <c:v>202.2</c:v>
                </c:pt>
                <c:pt idx="175">
                  <c:v>163.19999999999999</c:v>
                </c:pt>
                <c:pt idx="176">
                  <c:v>310.60000000000002</c:v>
                </c:pt>
                <c:pt idx="177">
                  <c:v>208.4</c:v>
                </c:pt>
                <c:pt idx="178">
                  <c:v>160.19999999999999</c:v>
                </c:pt>
                <c:pt idx="179">
                  <c:v>218</c:v>
                </c:pt>
                <c:pt idx="180">
                  <c:v>263.2</c:v>
                </c:pt>
                <c:pt idx="181">
                  <c:v>145.9</c:v>
                </c:pt>
                <c:pt idx="182">
                  <c:v>247.9</c:v>
                </c:pt>
                <c:pt idx="183">
                  <c:v>309.5</c:v>
                </c:pt>
                <c:pt idx="184">
                  <c:v>249.5</c:v>
                </c:pt>
                <c:pt idx="185">
                  <c:v>342.2</c:v>
                </c:pt>
                <c:pt idx="186">
                  <c:v>344.8</c:v>
                </c:pt>
                <c:pt idx="187">
                  <c:v>345.9</c:v>
                </c:pt>
                <c:pt idx="188">
                  <c:v>354.9</c:v>
                </c:pt>
                <c:pt idx="189">
                  <c:v>355.9</c:v>
                </c:pt>
                <c:pt idx="190">
                  <c:v>361</c:v>
                </c:pt>
                <c:pt idx="191">
                  <c:v>229.4</c:v>
                </c:pt>
                <c:pt idx="192">
                  <c:v>223.7</c:v>
                </c:pt>
                <c:pt idx="193">
                  <c:v>247.7</c:v>
                </c:pt>
                <c:pt idx="194">
                  <c:v>367.4</c:v>
                </c:pt>
                <c:pt idx="195">
                  <c:v>388.5</c:v>
                </c:pt>
                <c:pt idx="196">
                  <c:v>197.8</c:v>
                </c:pt>
                <c:pt idx="197">
                  <c:v>261</c:v>
                </c:pt>
                <c:pt idx="198">
                  <c:v>248.7</c:v>
                </c:pt>
                <c:pt idx="199">
                  <c:v>249.6</c:v>
                </c:pt>
                <c:pt idx="200">
                  <c:v>242.9</c:v>
                </c:pt>
                <c:pt idx="201">
                  <c:v>275.60000000000002</c:v>
                </c:pt>
                <c:pt idx="202">
                  <c:v>288.39999999999998</c:v>
                </c:pt>
                <c:pt idx="203">
                  <c:v>337.7</c:v>
                </c:pt>
                <c:pt idx="204">
                  <c:v>383</c:v>
                </c:pt>
                <c:pt idx="205">
                  <c:v>140.30000000000001</c:v>
                </c:pt>
                <c:pt idx="206">
                  <c:v>332.2</c:v>
                </c:pt>
                <c:pt idx="207">
                  <c:v>193.7</c:v>
                </c:pt>
                <c:pt idx="208">
                  <c:v>341.1</c:v>
                </c:pt>
                <c:pt idx="209">
                  <c:v>209.6</c:v>
                </c:pt>
                <c:pt idx="210">
                  <c:v>231.1</c:v>
                </c:pt>
                <c:pt idx="211">
                  <c:v>428.4</c:v>
                </c:pt>
                <c:pt idx="212">
                  <c:v>408.5</c:v>
                </c:pt>
                <c:pt idx="213">
                  <c:v>227.1</c:v>
                </c:pt>
                <c:pt idx="214">
                  <c:v>282.2</c:v>
                </c:pt>
                <c:pt idx="215">
                  <c:v>335.5</c:v>
                </c:pt>
                <c:pt idx="216">
                  <c:v>273.2</c:v>
                </c:pt>
                <c:pt idx="217">
                  <c:v>169.6</c:v>
                </c:pt>
                <c:pt idx="218">
                  <c:v>311.10000000000002</c:v>
                </c:pt>
                <c:pt idx="219">
                  <c:v>163.19999999999999</c:v>
                </c:pt>
                <c:pt idx="220">
                  <c:v>399.8</c:v>
                </c:pt>
                <c:pt idx="221">
                  <c:v>176.3</c:v>
                </c:pt>
                <c:pt idx="222">
                  <c:v>300</c:v>
                </c:pt>
                <c:pt idx="223">
                  <c:v>199.2</c:v>
                </c:pt>
                <c:pt idx="224">
                  <c:v>211.7</c:v>
                </c:pt>
                <c:pt idx="225">
                  <c:v>269.89999999999998</c:v>
                </c:pt>
                <c:pt idx="226">
                  <c:v>301</c:v>
                </c:pt>
              </c:numCache>
            </c:numRef>
          </c:xVal>
          <c:yVal>
            <c:numRef>
              <c:f>d_지도!$F$2:$F$228</c:f>
              <c:numCache>
                <c:formatCode>General</c:formatCode>
                <c:ptCount val="227"/>
                <c:pt idx="0">
                  <c:v>#N/A</c:v>
                </c:pt>
                <c:pt idx="1">
                  <c:v>474.4</c:v>
                </c:pt>
                <c:pt idx="2">
                  <c:v>482.1</c:v>
                </c:pt>
                <c:pt idx="3">
                  <c:v>#N/A</c:v>
                </c:pt>
                <c:pt idx="4">
                  <c:v>491.6</c:v>
                </c:pt>
                <c:pt idx="5">
                  <c:v>220.5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483.4</c:v>
                </c:pt>
                <c:pt idx="14">
                  <c:v>#N/A</c:v>
                </c:pt>
                <c:pt idx="15">
                  <c:v>570.4</c:v>
                </c:pt>
                <c:pt idx="16">
                  <c:v>493.6</c:v>
                </c:pt>
                <c:pt idx="17">
                  <c:v>495.7</c:v>
                </c:pt>
                <c:pt idx="18">
                  <c:v>495.9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472.7</c:v>
                </c:pt>
                <c:pt idx="25">
                  <c:v>#N/A</c:v>
                </c:pt>
                <c:pt idx="26">
                  <c:v>223.6</c:v>
                </c:pt>
                <c:pt idx="27">
                  <c:v>#N/A</c:v>
                </c:pt>
                <c:pt idx="28">
                  <c:v>#N/A</c:v>
                </c:pt>
                <c:pt idx="29">
                  <c:v>481.5</c:v>
                </c:pt>
                <c:pt idx="30">
                  <c:v>#N/A</c:v>
                </c:pt>
                <c:pt idx="31">
                  <c:v>#N/A</c:v>
                </c:pt>
                <c:pt idx="32">
                  <c:v>475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232.9</c:v>
                </c:pt>
                <c:pt idx="40">
                  <c:v>472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261.3</c:v>
                </c:pt>
                <c:pt idx="48">
                  <c:v>468.7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492.4</c:v>
                </c:pt>
                <c:pt idx="53">
                  <c:v>#N/A</c:v>
                </c:pt>
                <c:pt idx="54">
                  <c:v>#N/A</c:v>
                </c:pt>
                <c:pt idx="55">
                  <c:v>294.7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357.9</c:v>
                </c:pt>
                <c:pt idx="60">
                  <c:v>493.2</c:v>
                </c:pt>
                <c:pt idx="61">
                  <c:v>305.8</c:v>
                </c:pt>
                <c:pt idx="62">
                  <c:v>484.9</c:v>
                </c:pt>
                <c:pt idx="63">
                  <c:v>#N/A</c:v>
                </c:pt>
                <c:pt idx="64">
                  <c:v>227.6</c:v>
                </c:pt>
                <c:pt idx="65">
                  <c:v>475.4</c:v>
                </c:pt>
                <c:pt idx="66">
                  <c:v>#N/A</c:v>
                </c:pt>
                <c:pt idx="67">
                  <c:v>482.4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222.9</c:v>
                </c:pt>
                <c:pt idx="78">
                  <c:v>#N/A</c:v>
                </c:pt>
                <c:pt idx="79">
                  <c:v>#N/A</c:v>
                </c:pt>
                <c:pt idx="80">
                  <c:v>476.3</c:v>
                </c:pt>
                <c:pt idx="81">
                  <c:v>474.6</c:v>
                </c:pt>
                <c:pt idx="82">
                  <c:v>270.89999999999998</c:v>
                </c:pt>
                <c:pt idx="83">
                  <c:v>221.8</c:v>
                </c:pt>
                <c:pt idx="84">
                  <c:v>#N/A</c:v>
                </c:pt>
                <c:pt idx="85">
                  <c:v>213.9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482.2</c:v>
                </c:pt>
                <c:pt idx="90">
                  <c:v>#N/A</c:v>
                </c:pt>
                <c:pt idx="91">
                  <c:v>484.3</c:v>
                </c:pt>
                <c:pt idx="92">
                  <c:v>#N/A</c:v>
                </c:pt>
                <c:pt idx="93">
                  <c:v>#N/A</c:v>
                </c:pt>
                <c:pt idx="94">
                  <c:v>472.4</c:v>
                </c:pt>
                <c:pt idx="95">
                  <c:v>461.9</c:v>
                </c:pt>
                <c:pt idx="96">
                  <c:v>469.4</c:v>
                </c:pt>
                <c:pt idx="97">
                  <c:v>468.7</c:v>
                </c:pt>
                <c:pt idx="98">
                  <c:v>482.2</c:v>
                </c:pt>
                <c:pt idx="99">
                  <c:v>487.5</c:v>
                </c:pt>
                <c:pt idx="100">
                  <c:v>#N/A</c:v>
                </c:pt>
                <c:pt idx="101">
                  <c:v>375.9</c:v>
                </c:pt>
                <c:pt idx="102">
                  <c:v>#N/A</c:v>
                </c:pt>
                <c:pt idx="103">
                  <c:v>475.5</c:v>
                </c:pt>
                <c:pt idx="104">
                  <c:v>295.89999999999998</c:v>
                </c:pt>
                <c:pt idx="105">
                  <c:v>222.8</c:v>
                </c:pt>
                <c:pt idx="106">
                  <c:v>449.4</c:v>
                </c:pt>
                <c:pt idx="107">
                  <c:v>450.8</c:v>
                </c:pt>
                <c:pt idx="108">
                  <c:v>455.4</c:v>
                </c:pt>
                <c:pt idx="109">
                  <c:v>452.3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448</c:v>
                </c:pt>
                <c:pt idx="117">
                  <c:v>455.4</c:v>
                </c:pt>
                <c:pt idx="118">
                  <c:v>#N/A</c:v>
                </c:pt>
                <c:pt idx="119">
                  <c:v>464.1</c:v>
                </c:pt>
                <c:pt idx="120">
                  <c:v>466.1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478.8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463.3</c:v>
                </c:pt>
                <c:pt idx="130">
                  <c:v>225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213.5</c:v>
                </c:pt>
                <c:pt idx="135">
                  <c:v>#N/A</c:v>
                </c:pt>
                <c:pt idx="136">
                  <c:v>477.9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480.1</c:v>
                </c:pt>
                <c:pt idx="150">
                  <c:v>450.5</c:v>
                </c:pt>
                <c:pt idx="151">
                  <c:v>458.3</c:v>
                </c:pt>
                <c:pt idx="152">
                  <c:v>443.7</c:v>
                </c:pt>
                <c:pt idx="153">
                  <c:v>475.6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354.4</c:v>
                </c:pt>
                <c:pt idx="158">
                  <c:v>488.5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298.3</c:v>
                </c:pt>
                <c:pt idx="172">
                  <c:v>291.8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486.1</c:v>
                </c:pt>
                <c:pt idx="178">
                  <c:v>472.1</c:v>
                </c:pt>
                <c:pt idx="179">
                  <c:v>486.3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216.9</c:v>
                </c:pt>
                <c:pt idx="187">
                  <c:v>230.6</c:v>
                </c:pt>
                <c:pt idx="188">
                  <c:v>226.5</c:v>
                </c:pt>
                <c:pt idx="189">
                  <c:v>238.2</c:v>
                </c:pt>
                <c:pt idx="190">
                  <c:v>217.5</c:v>
                </c:pt>
                <c:pt idx="191">
                  <c:v>394.9</c:v>
                </c:pt>
                <c:pt idx="192">
                  <c:v>409.8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376.4</c:v>
                </c:pt>
                <c:pt idx="198">
                  <c:v>374.4</c:v>
                </c:pt>
                <c:pt idx="199">
                  <c:v>392.1</c:v>
                </c:pt>
                <c:pt idx="200">
                  <c:v>384.1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310.39999999999998</c:v>
                </c:pt>
                <c:pt idx="212">
                  <c:v>330.1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225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DD-2443-A649-E21157B63B4A}"/>
            </c:ext>
          </c:extLst>
        </c:ser>
        <c:ser>
          <c:idx val="2"/>
          <c:order val="2"/>
          <c:tx>
            <c:v>다른 진단 대상</c:v>
          </c:tx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B9BFC5"/>
              </a:solidFill>
              <a:ln w="6350">
                <a:solidFill>
                  <a:srgbClr val="FFFFFF"/>
                </a:solidFill>
                <a:prstDash val="solid"/>
              </a:ln>
            </c:spPr>
          </c:marker>
          <c:xVal>
            <c:numRef>
              <c:f>d_지도!$B$2:$B$228</c:f>
              <c:numCache>
                <c:formatCode>General</c:formatCode>
                <c:ptCount val="227"/>
                <c:pt idx="0">
                  <c:v>248.3</c:v>
                </c:pt>
                <c:pt idx="1">
                  <c:v>216.5</c:v>
                </c:pt>
                <c:pt idx="2">
                  <c:v>223.8</c:v>
                </c:pt>
                <c:pt idx="3">
                  <c:v>371.7</c:v>
                </c:pt>
                <c:pt idx="4">
                  <c:v>211.4</c:v>
                </c:pt>
                <c:pt idx="5">
                  <c:v>375</c:v>
                </c:pt>
                <c:pt idx="6">
                  <c:v>190.1</c:v>
                </c:pt>
                <c:pt idx="7">
                  <c:v>162.4</c:v>
                </c:pt>
                <c:pt idx="8">
                  <c:v>353</c:v>
                </c:pt>
                <c:pt idx="9">
                  <c:v>289.5</c:v>
                </c:pt>
                <c:pt idx="10">
                  <c:v>368.5</c:v>
                </c:pt>
                <c:pt idx="11">
                  <c:v>410.8</c:v>
                </c:pt>
                <c:pt idx="12">
                  <c:v>231.3</c:v>
                </c:pt>
                <c:pt idx="13">
                  <c:v>186.5</c:v>
                </c:pt>
                <c:pt idx="14">
                  <c:v>324</c:v>
                </c:pt>
                <c:pt idx="15">
                  <c:v>335.5</c:v>
                </c:pt>
                <c:pt idx="16">
                  <c:v>200</c:v>
                </c:pt>
                <c:pt idx="17">
                  <c:v>192.3</c:v>
                </c:pt>
                <c:pt idx="18">
                  <c:v>187.7</c:v>
                </c:pt>
                <c:pt idx="19">
                  <c:v>175.1</c:v>
                </c:pt>
                <c:pt idx="20">
                  <c:v>238.8</c:v>
                </c:pt>
                <c:pt idx="21">
                  <c:v>233.2</c:v>
                </c:pt>
                <c:pt idx="22">
                  <c:v>217.3</c:v>
                </c:pt>
                <c:pt idx="23">
                  <c:v>210.5</c:v>
                </c:pt>
                <c:pt idx="24">
                  <c:v>204.8</c:v>
                </c:pt>
                <c:pt idx="25">
                  <c:v>198.2</c:v>
                </c:pt>
                <c:pt idx="26">
                  <c:v>189</c:v>
                </c:pt>
                <c:pt idx="27">
                  <c:v>266.8</c:v>
                </c:pt>
                <c:pt idx="28">
                  <c:v>234.5</c:v>
                </c:pt>
                <c:pt idx="29">
                  <c:v>217.9</c:v>
                </c:pt>
                <c:pt idx="30">
                  <c:v>283.5</c:v>
                </c:pt>
                <c:pt idx="31">
                  <c:v>253.5</c:v>
                </c:pt>
                <c:pt idx="32">
                  <c:v>198</c:v>
                </c:pt>
                <c:pt idx="33">
                  <c:v>221.6</c:v>
                </c:pt>
                <c:pt idx="34">
                  <c:v>329.5</c:v>
                </c:pt>
                <c:pt idx="35">
                  <c:v>170.9</c:v>
                </c:pt>
                <c:pt idx="36">
                  <c:v>353.1</c:v>
                </c:pt>
                <c:pt idx="37">
                  <c:v>203.1</c:v>
                </c:pt>
                <c:pt idx="38">
                  <c:v>252.4</c:v>
                </c:pt>
                <c:pt idx="39">
                  <c:v>392.7</c:v>
                </c:pt>
                <c:pt idx="40">
                  <c:v>201</c:v>
                </c:pt>
                <c:pt idx="41">
                  <c:v>404.9</c:v>
                </c:pt>
                <c:pt idx="42">
                  <c:v>204.8</c:v>
                </c:pt>
                <c:pt idx="43">
                  <c:v>304</c:v>
                </c:pt>
                <c:pt idx="44">
                  <c:v>178.9</c:v>
                </c:pt>
                <c:pt idx="45">
                  <c:v>369.4</c:v>
                </c:pt>
                <c:pt idx="46">
                  <c:v>183</c:v>
                </c:pt>
                <c:pt idx="47">
                  <c:v>413.4</c:v>
                </c:pt>
                <c:pt idx="48">
                  <c:v>185.8</c:v>
                </c:pt>
                <c:pt idx="49">
                  <c:v>230.3</c:v>
                </c:pt>
                <c:pt idx="50">
                  <c:v>247.4</c:v>
                </c:pt>
                <c:pt idx="51">
                  <c:v>290.89999999999998</c:v>
                </c:pt>
                <c:pt idx="52">
                  <c:v>216.1</c:v>
                </c:pt>
                <c:pt idx="53">
                  <c:v>222.8</c:v>
                </c:pt>
                <c:pt idx="54">
                  <c:v>332.3</c:v>
                </c:pt>
                <c:pt idx="55">
                  <c:v>343.8</c:v>
                </c:pt>
                <c:pt idx="56">
                  <c:v>342.5</c:v>
                </c:pt>
                <c:pt idx="57">
                  <c:v>210.2</c:v>
                </c:pt>
                <c:pt idx="58">
                  <c:v>179.9</c:v>
                </c:pt>
                <c:pt idx="59">
                  <c:v>248.4</c:v>
                </c:pt>
                <c:pt idx="60">
                  <c:v>213.2</c:v>
                </c:pt>
                <c:pt idx="61">
                  <c:v>357.2</c:v>
                </c:pt>
                <c:pt idx="62">
                  <c:v>214.5</c:v>
                </c:pt>
                <c:pt idx="63">
                  <c:v>216.7</c:v>
                </c:pt>
                <c:pt idx="64">
                  <c:v>392.4</c:v>
                </c:pt>
                <c:pt idx="65">
                  <c:v>205.1</c:v>
                </c:pt>
                <c:pt idx="66">
                  <c:v>391.7</c:v>
                </c:pt>
                <c:pt idx="67">
                  <c:v>202.8</c:v>
                </c:pt>
                <c:pt idx="68">
                  <c:v>157.19999999999999</c:v>
                </c:pt>
                <c:pt idx="69">
                  <c:v>154.30000000000001</c:v>
                </c:pt>
                <c:pt idx="70">
                  <c:v>271.3</c:v>
                </c:pt>
                <c:pt idx="71">
                  <c:v>310.5</c:v>
                </c:pt>
                <c:pt idx="72">
                  <c:v>367</c:v>
                </c:pt>
                <c:pt idx="73">
                  <c:v>171.4</c:v>
                </c:pt>
                <c:pt idx="74">
                  <c:v>227.6</c:v>
                </c:pt>
                <c:pt idx="75">
                  <c:v>272.5</c:v>
                </c:pt>
                <c:pt idx="76">
                  <c:v>376.7</c:v>
                </c:pt>
                <c:pt idx="77">
                  <c:v>389</c:v>
                </c:pt>
                <c:pt idx="78">
                  <c:v>176.3</c:v>
                </c:pt>
                <c:pt idx="79">
                  <c:v>198.7</c:v>
                </c:pt>
                <c:pt idx="80">
                  <c:v>191.9</c:v>
                </c:pt>
                <c:pt idx="81">
                  <c:v>186.3</c:v>
                </c:pt>
                <c:pt idx="82">
                  <c:v>422.6</c:v>
                </c:pt>
                <c:pt idx="83">
                  <c:v>384.2</c:v>
                </c:pt>
                <c:pt idx="84">
                  <c:v>299.2</c:v>
                </c:pt>
                <c:pt idx="85">
                  <c:v>382</c:v>
                </c:pt>
                <c:pt idx="86">
                  <c:v>288.89999999999998</c:v>
                </c:pt>
                <c:pt idx="87">
                  <c:v>397.6</c:v>
                </c:pt>
                <c:pt idx="88">
                  <c:v>301.10000000000002</c:v>
                </c:pt>
                <c:pt idx="89">
                  <c:v>180.5</c:v>
                </c:pt>
                <c:pt idx="90">
                  <c:v>177.6</c:v>
                </c:pt>
                <c:pt idx="91">
                  <c:v>204.6</c:v>
                </c:pt>
                <c:pt idx="92">
                  <c:v>159.1</c:v>
                </c:pt>
                <c:pt idx="93">
                  <c:v>179.8</c:v>
                </c:pt>
                <c:pt idx="94">
                  <c:v>212.8</c:v>
                </c:pt>
                <c:pt idx="95">
                  <c:v>219</c:v>
                </c:pt>
                <c:pt idx="96">
                  <c:v>219.8</c:v>
                </c:pt>
                <c:pt idx="97">
                  <c:v>224.3</c:v>
                </c:pt>
                <c:pt idx="98">
                  <c:v>213.1</c:v>
                </c:pt>
                <c:pt idx="99">
                  <c:v>211.6</c:v>
                </c:pt>
                <c:pt idx="100">
                  <c:v>317.10000000000002</c:v>
                </c:pt>
                <c:pt idx="101">
                  <c:v>233</c:v>
                </c:pt>
                <c:pt idx="102">
                  <c:v>345.9</c:v>
                </c:pt>
                <c:pt idx="103">
                  <c:v>221</c:v>
                </c:pt>
                <c:pt idx="104">
                  <c:v>355.9</c:v>
                </c:pt>
                <c:pt idx="105">
                  <c:v>395</c:v>
                </c:pt>
                <c:pt idx="106">
                  <c:v>207.9</c:v>
                </c:pt>
                <c:pt idx="107">
                  <c:v>214.9</c:v>
                </c:pt>
                <c:pt idx="108">
                  <c:v>210.6</c:v>
                </c:pt>
                <c:pt idx="109">
                  <c:v>211.9</c:v>
                </c:pt>
                <c:pt idx="110">
                  <c:v>216.3</c:v>
                </c:pt>
                <c:pt idx="111">
                  <c:v>244.8</c:v>
                </c:pt>
                <c:pt idx="112">
                  <c:v>190</c:v>
                </c:pt>
                <c:pt idx="113">
                  <c:v>140.69999999999999</c:v>
                </c:pt>
                <c:pt idx="114">
                  <c:v>209.4</c:v>
                </c:pt>
                <c:pt idx="115">
                  <c:v>363.2</c:v>
                </c:pt>
                <c:pt idx="116">
                  <c:v>174.3</c:v>
                </c:pt>
                <c:pt idx="117">
                  <c:v>198.6</c:v>
                </c:pt>
                <c:pt idx="118">
                  <c:v>235.7</c:v>
                </c:pt>
                <c:pt idx="119">
                  <c:v>206.5</c:v>
                </c:pt>
                <c:pt idx="120">
                  <c:v>202.2</c:v>
                </c:pt>
                <c:pt idx="121">
                  <c:v>299.10000000000002</c:v>
                </c:pt>
                <c:pt idx="122">
                  <c:v>389.7</c:v>
                </c:pt>
                <c:pt idx="123">
                  <c:v>354.9</c:v>
                </c:pt>
                <c:pt idx="124">
                  <c:v>209.3</c:v>
                </c:pt>
                <c:pt idx="125">
                  <c:v>197.8</c:v>
                </c:pt>
                <c:pt idx="126">
                  <c:v>260.3</c:v>
                </c:pt>
                <c:pt idx="127">
                  <c:v>264.5</c:v>
                </c:pt>
                <c:pt idx="128">
                  <c:v>261.3</c:v>
                </c:pt>
                <c:pt idx="129">
                  <c:v>179.1</c:v>
                </c:pt>
                <c:pt idx="130">
                  <c:v>392.5</c:v>
                </c:pt>
                <c:pt idx="131">
                  <c:v>210.7</c:v>
                </c:pt>
                <c:pt idx="132">
                  <c:v>160.4</c:v>
                </c:pt>
                <c:pt idx="133">
                  <c:v>415.9</c:v>
                </c:pt>
                <c:pt idx="134">
                  <c:v>391.3</c:v>
                </c:pt>
                <c:pt idx="135">
                  <c:v>281.39999999999998</c:v>
                </c:pt>
                <c:pt idx="136">
                  <c:v>201.3</c:v>
                </c:pt>
                <c:pt idx="137">
                  <c:v>173.2</c:v>
                </c:pt>
                <c:pt idx="138">
                  <c:v>399.7</c:v>
                </c:pt>
                <c:pt idx="139">
                  <c:v>339.8</c:v>
                </c:pt>
                <c:pt idx="140">
                  <c:v>352.3</c:v>
                </c:pt>
                <c:pt idx="141">
                  <c:v>378.8</c:v>
                </c:pt>
                <c:pt idx="142">
                  <c:v>190</c:v>
                </c:pt>
                <c:pt idx="143">
                  <c:v>334.2</c:v>
                </c:pt>
                <c:pt idx="144">
                  <c:v>213.7</c:v>
                </c:pt>
                <c:pt idx="145">
                  <c:v>267.3</c:v>
                </c:pt>
                <c:pt idx="146">
                  <c:v>7.8</c:v>
                </c:pt>
                <c:pt idx="147">
                  <c:v>184.1</c:v>
                </c:pt>
                <c:pt idx="148">
                  <c:v>226.7</c:v>
                </c:pt>
                <c:pt idx="149">
                  <c:v>208.2</c:v>
                </c:pt>
                <c:pt idx="150">
                  <c:v>219.6</c:v>
                </c:pt>
                <c:pt idx="151">
                  <c:v>216.7</c:v>
                </c:pt>
                <c:pt idx="152">
                  <c:v>232.8</c:v>
                </c:pt>
                <c:pt idx="153">
                  <c:v>547.70000000000005</c:v>
                </c:pt>
                <c:pt idx="154">
                  <c:v>405.4</c:v>
                </c:pt>
                <c:pt idx="155">
                  <c:v>413.8</c:v>
                </c:pt>
                <c:pt idx="156">
                  <c:v>293.8</c:v>
                </c:pt>
                <c:pt idx="157">
                  <c:v>239.6</c:v>
                </c:pt>
                <c:pt idx="158">
                  <c:v>203</c:v>
                </c:pt>
                <c:pt idx="159">
                  <c:v>263.89999999999998</c:v>
                </c:pt>
                <c:pt idx="160">
                  <c:v>319.89999999999998</c:v>
                </c:pt>
                <c:pt idx="161">
                  <c:v>349.4</c:v>
                </c:pt>
                <c:pt idx="162">
                  <c:v>208.3</c:v>
                </c:pt>
                <c:pt idx="163">
                  <c:v>216.4</c:v>
                </c:pt>
                <c:pt idx="164">
                  <c:v>253.2</c:v>
                </c:pt>
                <c:pt idx="165">
                  <c:v>208.9</c:v>
                </c:pt>
                <c:pt idx="166">
                  <c:v>319.60000000000002</c:v>
                </c:pt>
                <c:pt idx="167">
                  <c:v>230.8</c:v>
                </c:pt>
                <c:pt idx="168">
                  <c:v>189.2</c:v>
                </c:pt>
                <c:pt idx="169">
                  <c:v>257.8</c:v>
                </c:pt>
                <c:pt idx="170">
                  <c:v>205.2</c:v>
                </c:pt>
                <c:pt idx="171">
                  <c:v>220.2</c:v>
                </c:pt>
                <c:pt idx="172">
                  <c:v>220.1</c:v>
                </c:pt>
                <c:pt idx="173">
                  <c:v>363.8</c:v>
                </c:pt>
                <c:pt idx="174">
                  <c:v>202.2</c:v>
                </c:pt>
                <c:pt idx="175">
                  <c:v>163.19999999999999</c:v>
                </c:pt>
                <c:pt idx="176">
                  <c:v>310.60000000000002</c:v>
                </c:pt>
                <c:pt idx="177">
                  <c:v>208.4</c:v>
                </c:pt>
                <c:pt idx="178">
                  <c:v>160.19999999999999</c:v>
                </c:pt>
                <c:pt idx="179">
                  <c:v>218</c:v>
                </c:pt>
                <c:pt idx="180">
                  <c:v>263.2</c:v>
                </c:pt>
                <c:pt idx="181">
                  <c:v>145.9</c:v>
                </c:pt>
                <c:pt idx="182">
                  <c:v>247.9</c:v>
                </c:pt>
                <c:pt idx="183">
                  <c:v>309.5</c:v>
                </c:pt>
                <c:pt idx="184">
                  <c:v>249.5</c:v>
                </c:pt>
                <c:pt idx="185">
                  <c:v>342.2</c:v>
                </c:pt>
                <c:pt idx="186">
                  <c:v>344.8</c:v>
                </c:pt>
                <c:pt idx="187">
                  <c:v>345.9</c:v>
                </c:pt>
                <c:pt idx="188">
                  <c:v>354.9</c:v>
                </c:pt>
                <c:pt idx="189">
                  <c:v>355.9</c:v>
                </c:pt>
                <c:pt idx="190">
                  <c:v>361</c:v>
                </c:pt>
                <c:pt idx="191">
                  <c:v>229.4</c:v>
                </c:pt>
                <c:pt idx="192">
                  <c:v>223.7</c:v>
                </c:pt>
                <c:pt idx="193">
                  <c:v>247.7</c:v>
                </c:pt>
                <c:pt idx="194">
                  <c:v>367.4</c:v>
                </c:pt>
                <c:pt idx="195">
                  <c:v>388.5</c:v>
                </c:pt>
                <c:pt idx="196">
                  <c:v>197.8</c:v>
                </c:pt>
                <c:pt idx="197">
                  <c:v>261</c:v>
                </c:pt>
                <c:pt idx="198">
                  <c:v>248.7</c:v>
                </c:pt>
                <c:pt idx="199">
                  <c:v>249.6</c:v>
                </c:pt>
                <c:pt idx="200">
                  <c:v>242.9</c:v>
                </c:pt>
                <c:pt idx="201">
                  <c:v>275.60000000000002</c:v>
                </c:pt>
                <c:pt idx="202">
                  <c:v>288.39999999999998</c:v>
                </c:pt>
                <c:pt idx="203">
                  <c:v>337.7</c:v>
                </c:pt>
                <c:pt idx="204">
                  <c:v>383</c:v>
                </c:pt>
                <c:pt idx="205">
                  <c:v>140.30000000000001</c:v>
                </c:pt>
                <c:pt idx="206">
                  <c:v>332.2</c:v>
                </c:pt>
                <c:pt idx="207">
                  <c:v>193.7</c:v>
                </c:pt>
                <c:pt idx="208">
                  <c:v>341.1</c:v>
                </c:pt>
                <c:pt idx="209">
                  <c:v>209.6</c:v>
                </c:pt>
                <c:pt idx="210">
                  <c:v>231.1</c:v>
                </c:pt>
                <c:pt idx="211">
                  <c:v>428.4</c:v>
                </c:pt>
                <c:pt idx="212">
                  <c:v>408.5</c:v>
                </c:pt>
                <c:pt idx="213">
                  <c:v>227.1</c:v>
                </c:pt>
                <c:pt idx="214">
                  <c:v>282.2</c:v>
                </c:pt>
                <c:pt idx="215">
                  <c:v>335.5</c:v>
                </c:pt>
                <c:pt idx="216">
                  <c:v>273.2</c:v>
                </c:pt>
                <c:pt idx="217">
                  <c:v>169.6</c:v>
                </c:pt>
                <c:pt idx="218">
                  <c:v>311.10000000000002</c:v>
                </c:pt>
                <c:pt idx="219">
                  <c:v>163.19999999999999</c:v>
                </c:pt>
                <c:pt idx="220">
                  <c:v>399.8</c:v>
                </c:pt>
                <c:pt idx="221">
                  <c:v>176.3</c:v>
                </c:pt>
                <c:pt idx="222">
                  <c:v>300</c:v>
                </c:pt>
                <c:pt idx="223">
                  <c:v>199.2</c:v>
                </c:pt>
                <c:pt idx="224">
                  <c:v>211.7</c:v>
                </c:pt>
                <c:pt idx="225">
                  <c:v>269.89999999999998</c:v>
                </c:pt>
                <c:pt idx="226">
                  <c:v>301</c:v>
                </c:pt>
              </c:numCache>
            </c:numRef>
          </c:xVal>
          <c:yVal>
            <c:numRef>
              <c:f>d_지도!$G$2:$G$228</c:f>
              <c:numCache>
                <c:formatCode>General</c:formatCode>
                <c:ptCount val="227"/>
                <c:pt idx="0">
                  <c:v>508.5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159.19999999999999</c:v>
                </c:pt>
                <c:pt idx="7">
                  <c:v>492.7</c:v>
                </c:pt>
                <c:pt idx="8">
                  <c:v>189.8</c:v>
                </c:pt>
                <c:pt idx="9">
                  <c:v>284.10000000000002</c:v>
                </c:pt>
                <c:pt idx="10">
                  <c:v>296.8</c:v>
                </c:pt>
                <c:pt idx="11">
                  <c:v>293.3</c:v>
                </c:pt>
                <c:pt idx="12">
                  <c:v>344.3</c:v>
                </c:pt>
                <c:pt idx="13">
                  <c:v>#N/A</c:v>
                </c:pt>
                <c:pt idx="14">
                  <c:v>285.5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255.4</c:v>
                </c:pt>
                <c:pt idx="20">
                  <c:v>162.6</c:v>
                </c:pt>
                <c:pt idx="21">
                  <c:v>229.4</c:v>
                </c:pt>
                <c:pt idx="22">
                  <c:v>363.5</c:v>
                </c:pt>
                <c:pt idx="23">
                  <c:v>468.6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205.9</c:v>
                </c:pt>
                <c:pt idx="28">
                  <c:v>465</c:v>
                </c:pt>
                <c:pt idx="29">
                  <c:v>#N/A</c:v>
                </c:pt>
                <c:pt idx="30">
                  <c:v>396.5</c:v>
                </c:pt>
                <c:pt idx="31">
                  <c:v>230.2</c:v>
                </c:pt>
                <c:pt idx="32">
                  <c:v>#N/A</c:v>
                </c:pt>
                <c:pt idx="33">
                  <c:v>486.9</c:v>
                </c:pt>
                <c:pt idx="34">
                  <c:v>335.3</c:v>
                </c:pt>
                <c:pt idx="35">
                  <c:v>301</c:v>
                </c:pt>
                <c:pt idx="36">
                  <c:v>332.8</c:v>
                </c:pt>
                <c:pt idx="37">
                  <c:v>458.2</c:v>
                </c:pt>
                <c:pt idx="38">
                  <c:v>326.10000000000002</c:v>
                </c:pt>
                <c:pt idx="39">
                  <c:v>#N/A</c:v>
                </c:pt>
                <c:pt idx="40">
                  <c:v>#N/A</c:v>
                </c:pt>
                <c:pt idx="41">
                  <c:v>236.2</c:v>
                </c:pt>
                <c:pt idx="42">
                  <c:v>291.3</c:v>
                </c:pt>
                <c:pt idx="43">
                  <c:v>318.7</c:v>
                </c:pt>
                <c:pt idx="44">
                  <c:v>491.4</c:v>
                </c:pt>
                <c:pt idx="45">
                  <c:v>233.6</c:v>
                </c:pt>
                <c:pt idx="46">
                  <c:v>203.6</c:v>
                </c:pt>
                <c:pt idx="47">
                  <c:v>#N/A</c:v>
                </c:pt>
                <c:pt idx="48">
                  <c:v>#N/A</c:v>
                </c:pt>
                <c:pt idx="49">
                  <c:v>492.4</c:v>
                </c:pt>
                <c:pt idx="50">
                  <c:v>251.6</c:v>
                </c:pt>
                <c:pt idx="51">
                  <c:v>#N/A</c:v>
                </c:pt>
                <c:pt idx="52">
                  <c:v>#N/A</c:v>
                </c:pt>
                <c:pt idx="53">
                  <c:v>334.8</c:v>
                </c:pt>
                <c:pt idx="54">
                  <c:v>423.2</c:v>
                </c:pt>
                <c:pt idx="55">
                  <c:v>#N/A</c:v>
                </c:pt>
                <c:pt idx="56">
                  <c:v>283.8</c:v>
                </c:pt>
                <c:pt idx="57">
                  <c:v>235.9</c:v>
                </c:pt>
                <c:pt idx="58">
                  <c:v>415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520.4</c:v>
                </c:pt>
                <c:pt idx="64">
                  <c:v>#N/A</c:v>
                </c:pt>
                <c:pt idx="65">
                  <c:v>#N/A</c:v>
                </c:pt>
                <c:pt idx="66">
                  <c:v>477.3</c:v>
                </c:pt>
                <c:pt idx="67">
                  <c:v>#N/A</c:v>
                </c:pt>
                <c:pt idx="68">
                  <c:v>184.6</c:v>
                </c:pt>
                <c:pt idx="69">
                  <c:v>208.6</c:v>
                </c:pt>
                <c:pt idx="70">
                  <c:v>309.2</c:v>
                </c:pt>
                <c:pt idx="71">
                  <c:v>386.3</c:v>
                </c:pt>
                <c:pt idx="72">
                  <c:v>259.2</c:v>
                </c:pt>
                <c:pt idx="73">
                  <c:v>353</c:v>
                </c:pt>
                <c:pt idx="74">
                  <c:v>182.8</c:v>
                </c:pt>
                <c:pt idx="75">
                  <c:v>365.3</c:v>
                </c:pt>
                <c:pt idx="76">
                  <c:v>414</c:v>
                </c:pt>
                <c:pt idx="77">
                  <c:v>#N/A</c:v>
                </c:pt>
                <c:pt idx="78">
                  <c:v>277.39999999999998</c:v>
                </c:pt>
                <c:pt idx="79">
                  <c:v>341.6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207.8</c:v>
                </c:pt>
                <c:pt idx="85">
                  <c:v>#N/A</c:v>
                </c:pt>
                <c:pt idx="86">
                  <c:v>246.8</c:v>
                </c:pt>
                <c:pt idx="87">
                  <c:v>452.4</c:v>
                </c:pt>
                <c:pt idx="88">
                  <c:v>363.2</c:v>
                </c:pt>
                <c:pt idx="89">
                  <c:v>#N/A</c:v>
                </c:pt>
                <c:pt idx="90">
                  <c:v>23.9</c:v>
                </c:pt>
                <c:pt idx="91">
                  <c:v>#N/A</c:v>
                </c:pt>
                <c:pt idx="92">
                  <c:v>406.9</c:v>
                </c:pt>
                <c:pt idx="93">
                  <c:v>324.89999999999998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302.5</c:v>
                </c:pt>
                <c:pt idx="101">
                  <c:v>#N/A</c:v>
                </c:pt>
                <c:pt idx="102">
                  <c:v>550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252.5</c:v>
                </c:pt>
                <c:pt idx="111">
                  <c:v>203.2</c:v>
                </c:pt>
                <c:pt idx="112">
                  <c:v>463.4</c:v>
                </c:pt>
                <c:pt idx="113">
                  <c:v>211.8</c:v>
                </c:pt>
                <c:pt idx="114">
                  <c:v>400.2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425.7</c:v>
                </c:pt>
                <c:pt idx="119">
                  <c:v>#N/A</c:v>
                </c:pt>
                <c:pt idx="120">
                  <c:v>#N/A</c:v>
                </c:pt>
                <c:pt idx="121">
                  <c:v>548.29999999999995</c:v>
                </c:pt>
                <c:pt idx="122">
                  <c:v>248.9</c:v>
                </c:pt>
                <c:pt idx="123">
                  <c:v>#N/A</c:v>
                </c:pt>
                <c:pt idx="124">
                  <c:v>509.3</c:v>
                </c:pt>
                <c:pt idx="125">
                  <c:v>#N/A</c:v>
                </c:pt>
                <c:pt idx="126">
                  <c:v>477.5</c:v>
                </c:pt>
                <c:pt idx="127">
                  <c:v>177.6</c:v>
                </c:pt>
                <c:pt idx="128">
                  <c:v>455.8</c:v>
                </c:pt>
                <c:pt idx="129">
                  <c:v>#N/A</c:v>
                </c:pt>
                <c:pt idx="130">
                  <c:v>#N/A</c:v>
                </c:pt>
                <c:pt idx="131">
                  <c:v>539.5</c:v>
                </c:pt>
                <c:pt idx="132">
                  <c:v>238.6</c:v>
                </c:pt>
                <c:pt idx="133">
                  <c:v>#N/A</c:v>
                </c:pt>
                <c:pt idx="134">
                  <c:v>#N/A</c:v>
                </c:pt>
                <c:pt idx="135">
                  <c:v>330.7</c:v>
                </c:pt>
                <c:pt idx="136">
                  <c:v>#N/A</c:v>
                </c:pt>
                <c:pt idx="137">
                  <c:v>185.1</c:v>
                </c:pt>
                <c:pt idx="138">
                  <c:v>389.7</c:v>
                </c:pt>
                <c:pt idx="139">
                  <c:v>443.9</c:v>
                </c:pt>
                <c:pt idx="140">
                  <c:v>405.9</c:v>
                </c:pt>
                <c:pt idx="141">
                  <c:v>314.2</c:v>
                </c:pt>
                <c:pt idx="142">
                  <c:v>387.1</c:v>
                </c:pt>
                <c:pt idx="143">
                  <c:v>382.7</c:v>
                </c:pt>
                <c:pt idx="144">
                  <c:v>439.7</c:v>
                </c:pt>
                <c:pt idx="145">
                  <c:v>348.5</c:v>
                </c:pt>
                <c:pt idx="146">
                  <c:v>525.29999999999995</c:v>
                </c:pt>
                <c:pt idx="147">
                  <c:v>133.69999999999999</c:v>
                </c:pt>
                <c:pt idx="148">
                  <c:v>301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259.39999999999998</c:v>
                </c:pt>
                <c:pt idx="155">
                  <c:v>#N/A</c:v>
                </c:pt>
                <c:pt idx="156">
                  <c:v>455</c:v>
                </c:pt>
                <c:pt idx="157">
                  <c:v>#N/A</c:v>
                </c:pt>
                <c:pt idx="158">
                  <c:v>#N/A</c:v>
                </c:pt>
                <c:pt idx="159">
                  <c:v>419.1</c:v>
                </c:pt>
                <c:pt idx="160">
                  <c:v>247.5</c:v>
                </c:pt>
                <c:pt idx="161">
                  <c:v>353.1</c:v>
                </c:pt>
                <c:pt idx="162">
                  <c:v>460.7</c:v>
                </c:pt>
                <c:pt idx="163">
                  <c:v>501.5</c:v>
                </c:pt>
                <c:pt idx="164">
                  <c:v>443</c:v>
                </c:pt>
                <c:pt idx="165">
                  <c:v>313</c:v>
                </c:pt>
                <c:pt idx="166">
                  <c:v>539.5</c:v>
                </c:pt>
                <c:pt idx="167">
                  <c:v>271.10000000000002</c:v>
                </c:pt>
                <c:pt idx="168">
                  <c:v>240</c:v>
                </c:pt>
                <c:pt idx="169">
                  <c:v>276.7</c:v>
                </c:pt>
                <c:pt idx="170">
                  <c:v>163.5</c:v>
                </c:pt>
                <c:pt idx="171">
                  <c:v>#N/A</c:v>
                </c:pt>
                <c:pt idx="172">
                  <c:v>#N/A</c:v>
                </c:pt>
                <c:pt idx="173">
                  <c:v>464.1</c:v>
                </c:pt>
                <c:pt idx="174">
                  <c:v>269.5</c:v>
                </c:pt>
                <c:pt idx="175">
                  <c:v>37.299999999999997</c:v>
                </c:pt>
                <c:pt idx="176">
                  <c:v>429.7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399.1</c:v>
                </c:pt>
                <c:pt idx="181">
                  <c:v>144.1</c:v>
                </c:pt>
                <c:pt idx="182">
                  <c:v>295</c:v>
                </c:pt>
                <c:pt idx="183">
                  <c:v>225.9</c:v>
                </c:pt>
                <c:pt idx="184">
                  <c:v>408.6</c:v>
                </c:pt>
                <c:pt idx="185">
                  <c:v>262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557</c:v>
                </c:pt>
                <c:pt idx="194">
                  <c:v>281.10000000000002</c:v>
                </c:pt>
                <c:pt idx="195">
                  <c:v>353</c:v>
                </c:pt>
                <c:pt idx="196">
                  <c:v>359.4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518.20000000000005</c:v>
                </c:pt>
                <c:pt idx="202">
                  <c:v>422.3</c:v>
                </c:pt>
                <c:pt idx="203">
                  <c:v>314.8</c:v>
                </c:pt>
                <c:pt idx="204">
                  <c:v>441.3</c:v>
                </c:pt>
                <c:pt idx="205">
                  <c:v>396.7</c:v>
                </c:pt>
                <c:pt idx="206">
                  <c:v>192.8</c:v>
                </c:pt>
                <c:pt idx="207">
                  <c:v>516</c:v>
                </c:pt>
                <c:pt idx="208">
                  <c:v>479.9</c:v>
                </c:pt>
                <c:pt idx="209">
                  <c:v>425.9</c:v>
                </c:pt>
                <c:pt idx="210">
                  <c:v>528.1</c:v>
                </c:pt>
                <c:pt idx="211">
                  <c:v>#N/A</c:v>
                </c:pt>
                <c:pt idx="212">
                  <c:v>#N/A</c:v>
                </c:pt>
                <c:pt idx="213">
                  <c:v>477.9</c:v>
                </c:pt>
                <c:pt idx="214">
                  <c:v>213</c:v>
                </c:pt>
                <c:pt idx="215">
                  <c:v>236.5</c:v>
                </c:pt>
                <c:pt idx="216">
                  <c:v>264.7</c:v>
                </c:pt>
                <c:pt idx="217">
                  <c:v>216.3</c:v>
                </c:pt>
                <c:pt idx="218">
                  <c:v>268.89999999999998</c:v>
                </c:pt>
                <c:pt idx="219">
                  <c:v>151.9</c:v>
                </c:pt>
                <c:pt idx="220">
                  <c:v>#N/A</c:v>
                </c:pt>
                <c:pt idx="221">
                  <c:v>374.5</c:v>
                </c:pt>
                <c:pt idx="222">
                  <c:v>502.3</c:v>
                </c:pt>
                <c:pt idx="223">
                  <c:v>442.5</c:v>
                </c:pt>
                <c:pt idx="224">
                  <c:v>205.8</c:v>
                </c:pt>
                <c:pt idx="225">
                  <c:v>543.79999999999995</c:v>
                </c:pt>
                <c:pt idx="226">
                  <c:v>474.6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DD-2443-A649-E21157B63B4A}"/>
            </c:ext>
          </c:extLst>
        </c:ser>
        <c:ser>
          <c:idx val="3"/>
          <c:order val="3"/>
          <c:tx>
            <c:v>같은 유형</c:v>
          </c:tx>
          <c:spPr>
            <a:ln>
              <a:noFill/>
              <a:prstDash val="solid"/>
            </a:ln>
          </c:spPr>
          <c:marker>
            <c:symbol val="circle"/>
            <c:size val="8"/>
            <c:spPr>
              <a:solidFill>
                <a:srgbClr val="2D6BD9"/>
              </a:solidFill>
              <a:ln w="6350">
                <a:solidFill>
                  <a:srgbClr val="FFFFFF"/>
                </a:solidFill>
                <a:prstDash val="solid"/>
              </a:ln>
            </c:spPr>
          </c:marker>
          <c:xVal>
            <c:numRef>
              <c:f>d_지도!$B$2:$B$228</c:f>
              <c:numCache>
                <c:formatCode>General</c:formatCode>
                <c:ptCount val="227"/>
                <c:pt idx="0">
                  <c:v>248.3</c:v>
                </c:pt>
                <c:pt idx="1">
                  <c:v>216.5</c:v>
                </c:pt>
                <c:pt idx="2">
                  <c:v>223.8</c:v>
                </c:pt>
                <c:pt idx="3">
                  <c:v>371.7</c:v>
                </c:pt>
                <c:pt idx="4">
                  <c:v>211.4</c:v>
                </c:pt>
                <c:pt idx="5">
                  <c:v>375</c:v>
                </c:pt>
                <c:pt idx="6">
                  <c:v>190.1</c:v>
                </c:pt>
                <c:pt idx="7">
                  <c:v>162.4</c:v>
                </c:pt>
                <c:pt idx="8">
                  <c:v>353</c:v>
                </c:pt>
                <c:pt idx="9">
                  <c:v>289.5</c:v>
                </c:pt>
                <c:pt idx="10">
                  <c:v>368.5</c:v>
                </c:pt>
                <c:pt idx="11">
                  <c:v>410.8</c:v>
                </c:pt>
                <c:pt idx="12">
                  <c:v>231.3</c:v>
                </c:pt>
                <c:pt idx="13">
                  <c:v>186.5</c:v>
                </c:pt>
                <c:pt idx="14">
                  <c:v>324</c:v>
                </c:pt>
                <c:pt idx="15">
                  <c:v>335.5</c:v>
                </c:pt>
                <c:pt idx="16">
                  <c:v>200</c:v>
                </c:pt>
                <c:pt idx="17">
                  <c:v>192.3</c:v>
                </c:pt>
                <c:pt idx="18">
                  <c:v>187.7</c:v>
                </c:pt>
                <c:pt idx="19">
                  <c:v>175.1</c:v>
                </c:pt>
                <c:pt idx="20">
                  <c:v>238.8</c:v>
                </c:pt>
                <c:pt idx="21">
                  <c:v>233.2</c:v>
                </c:pt>
                <c:pt idx="22">
                  <c:v>217.3</c:v>
                </c:pt>
                <c:pt idx="23">
                  <c:v>210.5</c:v>
                </c:pt>
                <c:pt idx="24">
                  <c:v>204.8</c:v>
                </c:pt>
                <c:pt idx="25">
                  <c:v>198.2</c:v>
                </c:pt>
                <c:pt idx="26">
                  <c:v>189</c:v>
                </c:pt>
                <c:pt idx="27">
                  <c:v>266.8</c:v>
                </c:pt>
                <c:pt idx="28">
                  <c:v>234.5</c:v>
                </c:pt>
                <c:pt idx="29">
                  <c:v>217.9</c:v>
                </c:pt>
                <c:pt idx="30">
                  <c:v>283.5</c:v>
                </c:pt>
                <c:pt idx="31">
                  <c:v>253.5</c:v>
                </c:pt>
                <c:pt idx="32">
                  <c:v>198</c:v>
                </c:pt>
                <c:pt idx="33">
                  <c:v>221.6</c:v>
                </c:pt>
                <c:pt idx="34">
                  <c:v>329.5</c:v>
                </c:pt>
                <c:pt idx="35">
                  <c:v>170.9</c:v>
                </c:pt>
                <c:pt idx="36">
                  <c:v>353.1</c:v>
                </c:pt>
                <c:pt idx="37">
                  <c:v>203.1</c:v>
                </c:pt>
                <c:pt idx="38">
                  <c:v>252.4</c:v>
                </c:pt>
                <c:pt idx="39">
                  <c:v>392.7</c:v>
                </c:pt>
                <c:pt idx="40">
                  <c:v>201</c:v>
                </c:pt>
                <c:pt idx="41">
                  <c:v>404.9</c:v>
                </c:pt>
                <c:pt idx="42">
                  <c:v>204.8</c:v>
                </c:pt>
                <c:pt idx="43">
                  <c:v>304</c:v>
                </c:pt>
                <c:pt idx="44">
                  <c:v>178.9</c:v>
                </c:pt>
                <c:pt idx="45">
                  <c:v>369.4</c:v>
                </c:pt>
                <c:pt idx="46">
                  <c:v>183</c:v>
                </c:pt>
                <c:pt idx="47">
                  <c:v>413.4</c:v>
                </c:pt>
                <c:pt idx="48">
                  <c:v>185.8</c:v>
                </c:pt>
                <c:pt idx="49">
                  <c:v>230.3</c:v>
                </c:pt>
                <c:pt idx="50">
                  <c:v>247.4</c:v>
                </c:pt>
                <c:pt idx="51">
                  <c:v>290.89999999999998</c:v>
                </c:pt>
                <c:pt idx="52">
                  <c:v>216.1</c:v>
                </c:pt>
                <c:pt idx="53">
                  <c:v>222.8</c:v>
                </c:pt>
                <c:pt idx="54">
                  <c:v>332.3</c:v>
                </c:pt>
                <c:pt idx="55">
                  <c:v>343.8</c:v>
                </c:pt>
                <c:pt idx="56">
                  <c:v>342.5</c:v>
                </c:pt>
                <c:pt idx="57">
                  <c:v>210.2</c:v>
                </c:pt>
                <c:pt idx="58">
                  <c:v>179.9</c:v>
                </c:pt>
                <c:pt idx="59">
                  <c:v>248.4</c:v>
                </c:pt>
                <c:pt idx="60">
                  <c:v>213.2</c:v>
                </c:pt>
                <c:pt idx="61">
                  <c:v>357.2</c:v>
                </c:pt>
                <c:pt idx="62">
                  <c:v>214.5</c:v>
                </c:pt>
                <c:pt idx="63">
                  <c:v>216.7</c:v>
                </c:pt>
                <c:pt idx="64">
                  <c:v>392.4</c:v>
                </c:pt>
                <c:pt idx="65">
                  <c:v>205.1</c:v>
                </c:pt>
                <c:pt idx="66">
                  <c:v>391.7</c:v>
                </c:pt>
                <c:pt idx="67">
                  <c:v>202.8</c:v>
                </c:pt>
                <c:pt idx="68">
                  <c:v>157.19999999999999</c:v>
                </c:pt>
                <c:pt idx="69">
                  <c:v>154.30000000000001</c:v>
                </c:pt>
                <c:pt idx="70">
                  <c:v>271.3</c:v>
                </c:pt>
                <c:pt idx="71">
                  <c:v>310.5</c:v>
                </c:pt>
                <c:pt idx="72">
                  <c:v>367</c:v>
                </c:pt>
                <c:pt idx="73">
                  <c:v>171.4</c:v>
                </c:pt>
                <c:pt idx="74">
                  <c:v>227.6</c:v>
                </c:pt>
                <c:pt idx="75">
                  <c:v>272.5</c:v>
                </c:pt>
                <c:pt idx="76">
                  <c:v>376.7</c:v>
                </c:pt>
                <c:pt idx="77">
                  <c:v>389</c:v>
                </c:pt>
                <c:pt idx="78">
                  <c:v>176.3</c:v>
                </c:pt>
                <c:pt idx="79">
                  <c:v>198.7</c:v>
                </c:pt>
                <c:pt idx="80">
                  <c:v>191.9</c:v>
                </c:pt>
                <c:pt idx="81">
                  <c:v>186.3</c:v>
                </c:pt>
                <c:pt idx="82">
                  <c:v>422.6</c:v>
                </c:pt>
                <c:pt idx="83">
                  <c:v>384.2</c:v>
                </c:pt>
                <c:pt idx="84">
                  <c:v>299.2</c:v>
                </c:pt>
                <c:pt idx="85">
                  <c:v>382</c:v>
                </c:pt>
                <c:pt idx="86">
                  <c:v>288.89999999999998</c:v>
                </c:pt>
                <c:pt idx="87">
                  <c:v>397.6</c:v>
                </c:pt>
                <c:pt idx="88">
                  <c:v>301.10000000000002</c:v>
                </c:pt>
                <c:pt idx="89">
                  <c:v>180.5</c:v>
                </c:pt>
                <c:pt idx="90">
                  <c:v>177.6</c:v>
                </c:pt>
                <c:pt idx="91">
                  <c:v>204.6</c:v>
                </c:pt>
                <c:pt idx="92">
                  <c:v>159.1</c:v>
                </c:pt>
                <c:pt idx="93">
                  <c:v>179.8</c:v>
                </c:pt>
                <c:pt idx="94">
                  <c:v>212.8</c:v>
                </c:pt>
                <c:pt idx="95">
                  <c:v>219</c:v>
                </c:pt>
                <c:pt idx="96">
                  <c:v>219.8</c:v>
                </c:pt>
                <c:pt idx="97">
                  <c:v>224.3</c:v>
                </c:pt>
                <c:pt idx="98">
                  <c:v>213.1</c:v>
                </c:pt>
                <c:pt idx="99">
                  <c:v>211.6</c:v>
                </c:pt>
                <c:pt idx="100">
                  <c:v>317.10000000000002</c:v>
                </c:pt>
                <c:pt idx="101">
                  <c:v>233</c:v>
                </c:pt>
                <c:pt idx="102">
                  <c:v>345.9</c:v>
                </c:pt>
                <c:pt idx="103">
                  <c:v>221</c:v>
                </c:pt>
                <c:pt idx="104">
                  <c:v>355.9</c:v>
                </c:pt>
                <c:pt idx="105">
                  <c:v>395</c:v>
                </c:pt>
                <c:pt idx="106">
                  <c:v>207.9</c:v>
                </c:pt>
                <c:pt idx="107">
                  <c:v>214.9</c:v>
                </c:pt>
                <c:pt idx="108">
                  <c:v>210.6</c:v>
                </c:pt>
                <c:pt idx="109">
                  <c:v>211.9</c:v>
                </c:pt>
                <c:pt idx="110">
                  <c:v>216.3</c:v>
                </c:pt>
                <c:pt idx="111">
                  <c:v>244.8</c:v>
                </c:pt>
                <c:pt idx="112">
                  <c:v>190</c:v>
                </c:pt>
                <c:pt idx="113">
                  <c:v>140.69999999999999</c:v>
                </c:pt>
                <c:pt idx="114">
                  <c:v>209.4</c:v>
                </c:pt>
                <c:pt idx="115">
                  <c:v>363.2</c:v>
                </c:pt>
                <c:pt idx="116">
                  <c:v>174.3</c:v>
                </c:pt>
                <c:pt idx="117">
                  <c:v>198.6</c:v>
                </c:pt>
                <c:pt idx="118">
                  <c:v>235.7</c:v>
                </c:pt>
                <c:pt idx="119">
                  <c:v>206.5</c:v>
                </c:pt>
                <c:pt idx="120">
                  <c:v>202.2</c:v>
                </c:pt>
                <c:pt idx="121">
                  <c:v>299.10000000000002</c:v>
                </c:pt>
                <c:pt idx="122">
                  <c:v>389.7</c:v>
                </c:pt>
                <c:pt idx="123">
                  <c:v>354.9</c:v>
                </c:pt>
                <c:pt idx="124">
                  <c:v>209.3</c:v>
                </c:pt>
                <c:pt idx="125">
                  <c:v>197.8</c:v>
                </c:pt>
                <c:pt idx="126">
                  <c:v>260.3</c:v>
                </c:pt>
                <c:pt idx="127">
                  <c:v>264.5</c:v>
                </c:pt>
                <c:pt idx="128">
                  <c:v>261.3</c:v>
                </c:pt>
                <c:pt idx="129">
                  <c:v>179.1</c:v>
                </c:pt>
                <c:pt idx="130">
                  <c:v>392.5</c:v>
                </c:pt>
                <c:pt idx="131">
                  <c:v>210.7</c:v>
                </c:pt>
                <c:pt idx="132">
                  <c:v>160.4</c:v>
                </c:pt>
                <c:pt idx="133">
                  <c:v>415.9</c:v>
                </c:pt>
                <c:pt idx="134">
                  <c:v>391.3</c:v>
                </c:pt>
                <c:pt idx="135">
                  <c:v>281.39999999999998</c:v>
                </c:pt>
                <c:pt idx="136">
                  <c:v>201.3</c:v>
                </c:pt>
                <c:pt idx="137">
                  <c:v>173.2</c:v>
                </c:pt>
                <c:pt idx="138">
                  <c:v>399.7</c:v>
                </c:pt>
                <c:pt idx="139">
                  <c:v>339.8</c:v>
                </c:pt>
                <c:pt idx="140">
                  <c:v>352.3</c:v>
                </c:pt>
                <c:pt idx="141">
                  <c:v>378.8</c:v>
                </c:pt>
                <c:pt idx="142">
                  <c:v>190</c:v>
                </c:pt>
                <c:pt idx="143">
                  <c:v>334.2</c:v>
                </c:pt>
                <c:pt idx="144">
                  <c:v>213.7</c:v>
                </c:pt>
                <c:pt idx="145">
                  <c:v>267.3</c:v>
                </c:pt>
                <c:pt idx="146">
                  <c:v>7.8</c:v>
                </c:pt>
                <c:pt idx="147">
                  <c:v>184.1</c:v>
                </c:pt>
                <c:pt idx="148">
                  <c:v>226.7</c:v>
                </c:pt>
                <c:pt idx="149">
                  <c:v>208.2</c:v>
                </c:pt>
                <c:pt idx="150">
                  <c:v>219.6</c:v>
                </c:pt>
                <c:pt idx="151">
                  <c:v>216.7</c:v>
                </c:pt>
                <c:pt idx="152">
                  <c:v>232.8</c:v>
                </c:pt>
                <c:pt idx="153">
                  <c:v>547.70000000000005</c:v>
                </c:pt>
                <c:pt idx="154">
                  <c:v>405.4</c:v>
                </c:pt>
                <c:pt idx="155">
                  <c:v>413.8</c:v>
                </c:pt>
                <c:pt idx="156">
                  <c:v>293.8</c:v>
                </c:pt>
                <c:pt idx="157">
                  <c:v>239.6</c:v>
                </c:pt>
                <c:pt idx="158">
                  <c:v>203</c:v>
                </c:pt>
                <c:pt idx="159">
                  <c:v>263.89999999999998</c:v>
                </c:pt>
                <c:pt idx="160">
                  <c:v>319.89999999999998</c:v>
                </c:pt>
                <c:pt idx="161">
                  <c:v>349.4</c:v>
                </c:pt>
                <c:pt idx="162">
                  <c:v>208.3</c:v>
                </c:pt>
                <c:pt idx="163">
                  <c:v>216.4</c:v>
                </c:pt>
                <c:pt idx="164">
                  <c:v>253.2</c:v>
                </c:pt>
                <c:pt idx="165">
                  <c:v>208.9</c:v>
                </c:pt>
                <c:pt idx="166">
                  <c:v>319.60000000000002</c:v>
                </c:pt>
                <c:pt idx="167">
                  <c:v>230.8</c:v>
                </c:pt>
                <c:pt idx="168">
                  <c:v>189.2</c:v>
                </c:pt>
                <c:pt idx="169">
                  <c:v>257.8</c:v>
                </c:pt>
                <c:pt idx="170">
                  <c:v>205.2</c:v>
                </c:pt>
                <c:pt idx="171">
                  <c:v>220.2</c:v>
                </c:pt>
                <c:pt idx="172">
                  <c:v>220.1</c:v>
                </c:pt>
                <c:pt idx="173">
                  <c:v>363.8</c:v>
                </c:pt>
                <c:pt idx="174">
                  <c:v>202.2</c:v>
                </c:pt>
                <c:pt idx="175">
                  <c:v>163.19999999999999</c:v>
                </c:pt>
                <c:pt idx="176">
                  <c:v>310.60000000000002</c:v>
                </c:pt>
                <c:pt idx="177">
                  <c:v>208.4</c:v>
                </c:pt>
                <c:pt idx="178">
                  <c:v>160.19999999999999</c:v>
                </c:pt>
                <c:pt idx="179">
                  <c:v>218</c:v>
                </c:pt>
                <c:pt idx="180">
                  <c:v>263.2</c:v>
                </c:pt>
                <c:pt idx="181">
                  <c:v>145.9</c:v>
                </c:pt>
                <c:pt idx="182">
                  <c:v>247.9</c:v>
                </c:pt>
                <c:pt idx="183">
                  <c:v>309.5</c:v>
                </c:pt>
                <c:pt idx="184">
                  <c:v>249.5</c:v>
                </c:pt>
                <c:pt idx="185">
                  <c:v>342.2</c:v>
                </c:pt>
                <c:pt idx="186">
                  <c:v>344.8</c:v>
                </c:pt>
                <c:pt idx="187">
                  <c:v>345.9</c:v>
                </c:pt>
                <c:pt idx="188">
                  <c:v>354.9</c:v>
                </c:pt>
                <c:pt idx="189">
                  <c:v>355.9</c:v>
                </c:pt>
                <c:pt idx="190">
                  <c:v>361</c:v>
                </c:pt>
                <c:pt idx="191">
                  <c:v>229.4</c:v>
                </c:pt>
                <c:pt idx="192">
                  <c:v>223.7</c:v>
                </c:pt>
                <c:pt idx="193">
                  <c:v>247.7</c:v>
                </c:pt>
                <c:pt idx="194">
                  <c:v>367.4</c:v>
                </c:pt>
                <c:pt idx="195">
                  <c:v>388.5</c:v>
                </c:pt>
                <c:pt idx="196">
                  <c:v>197.8</c:v>
                </c:pt>
                <c:pt idx="197">
                  <c:v>261</c:v>
                </c:pt>
                <c:pt idx="198">
                  <c:v>248.7</c:v>
                </c:pt>
                <c:pt idx="199">
                  <c:v>249.6</c:v>
                </c:pt>
                <c:pt idx="200">
                  <c:v>242.9</c:v>
                </c:pt>
                <c:pt idx="201">
                  <c:v>275.60000000000002</c:v>
                </c:pt>
                <c:pt idx="202">
                  <c:v>288.39999999999998</c:v>
                </c:pt>
                <c:pt idx="203">
                  <c:v>337.7</c:v>
                </c:pt>
                <c:pt idx="204">
                  <c:v>383</c:v>
                </c:pt>
                <c:pt idx="205">
                  <c:v>140.30000000000001</c:v>
                </c:pt>
                <c:pt idx="206">
                  <c:v>332.2</c:v>
                </c:pt>
                <c:pt idx="207">
                  <c:v>193.7</c:v>
                </c:pt>
                <c:pt idx="208">
                  <c:v>341.1</c:v>
                </c:pt>
                <c:pt idx="209">
                  <c:v>209.6</c:v>
                </c:pt>
                <c:pt idx="210">
                  <c:v>231.1</c:v>
                </c:pt>
                <c:pt idx="211">
                  <c:v>428.4</c:v>
                </c:pt>
                <c:pt idx="212">
                  <c:v>408.5</c:v>
                </c:pt>
                <c:pt idx="213">
                  <c:v>227.1</c:v>
                </c:pt>
                <c:pt idx="214">
                  <c:v>282.2</c:v>
                </c:pt>
                <c:pt idx="215">
                  <c:v>335.5</c:v>
                </c:pt>
                <c:pt idx="216">
                  <c:v>273.2</c:v>
                </c:pt>
                <c:pt idx="217">
                  <c:v>169.6</c:v>
                </c:pt>
                <c:pt idx="218">
                  <c:v>311.10000000000002</c:v>
                </c:pt>
                <c:pt idx="219">
                  <c:v>163.19999999999999</c:v>
                </c:pt>
                <c:pt idx="220">
                  <c:v>399.8</c:v>
                </c:pt>
                <c:pt idx="221">
                  <c:v>176.3</c:v>
                </c:pt>
                <c:pt idx="222">
                  <c:v>300</c:v>
                </c:pt>
                <c:pt idx="223">
                  <c:v>199.2</c:v>
                </c:pt>
                <c:pt idx="224">
                  <c:v>211.7</c:v>
                </c:pt>
                <c:pt idx="225">
                  <c:v>269.89999999999998</c:v>
                </c:pt>
                <c:pt idx="226">
                  <c:v>301</c:v>
                </c:pt>
              </c:numCache>
            </c:numRef>
          </c:xVal>
          <c:yVal>
            <c:numRef>
              <c:f>d_지도!$H$2:$H$228</c:f>
              <c:numCache>
                <c:formatCode>General</c:formatCode>
                <c:ptCount val="22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503.1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470.8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184.2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530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362.5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411.9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DD-2443-A649-E21157B63B4A}"/>
            </c:ext>
          </c:extLst>
        </c:ser>
        <c:ser>
          <c:idx val="4"/>
          <c:order val="4"/>
          <c:tx>
            <c:strRef>
              <c:f>d_선택!$B$2</c:f>
              <c:strCache>
                <c:ptCount val="1"/>
                <c:pt idx="0">
                  <c:v>안동시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12"/>
            <c:spPr>
              <a:solidFill>
                <a:srgbClr val="1A4FA8"/>
              </a:solidFill>
              <a:ln w="19050">
                <a:solidFill>
                  <a:srgbClr val="34383C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100" b="1">
                    <a:solidFill>
                      <a:srgbClr val="1A4FA8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d_지도!$B$2:$B$228</c:f>
              <c:numCache>
                <c:formatCode>General</c:formatCode>
                <c:ptCount val="227"/>
                <c:pt idx="0">
                  <c:v>248.3</c:v>
                </c:pt>
                <c:pt idx="1">
                  <c:v>216.5</c:v>
                </c:pt>
                <c:pt idx="2">
                  <c:v>223.8</c:v>
                </c:pt>
                <c:pt idx="3">
                  <c:v>371.7</c:v>
                </c:pt>
                <c:pt idx="4">
                  <c:v>211.4</c:v>
                </c:pt>
                <c:pt idx="5">
                  <c:v>375</c:v>
                </c:pt>
                <c:pt idx="6">
                  <c:v>190.1</c:v>
                </c:pt>
                <c:pt idx="7">
                  <c:v>162.4</c:v>
                </c:pt>
                <c:pt idx="8">
                  <c:v>353</c:v>
                </c:pt>
                <c:pt idx="9">
                  <c:v>289.5</c:v>
                </c:pt>
                <c:pt idx="10">
                  <c:v>368.5</c:v>
                </c:pt>
                <c:pt idx="11">
                  <c:v>410.8</c:v>
                </c:pt>
                <c:pt idx="12">
                  <c:v>231.3</c:v>
                </c:pt>
                <c:pt idx="13">
                  <c:v>186.5</c:v>
                </c:pt>
                <c:pt idx="14">
                  <c:v>324</c:v>
                </c:pt>
                <c:pt idx="15">
                  <c:v>335.5</c:v>
                </c:pt>
                <c:pt idx="16">
                  <c:v>200</c:v>
                </c:pt>
                <c:pt idx="17">
                  <c:v>192.3</c:v>
                </c:pt>
                <c:pt idx="18">
                  <c:v>187.7</c:v>
                </c:pt>
                <c:pt idx="19">
                  <c:v>175.1</c:v>
                </c:pt>
                <c:pt idx="20">
                  <c:v>238.8</c:v>
                </c:pt>
                <c:pt idx="21">
                  <c:v>233.2</c:v>
                </c:pt>
                <c:pt idx="22">
                  <c:v>217.3</c:v>
                </c:pt>
                <c:pt idx="23">
                  <c:v>210.5</c:v>
                </c:pt>
                <c:pt idx="24">
                  <c:v>204.8</c:v>
                </c:pt>
                <c:pt idx="25">
                  <c:v>198.2</c:v>
                </c:pt>
                <c:pt idx="26">
                  <c:v>189</c:v>
                </c:pt>
                <c:pt idx="27">
                  <c:v>266.8</c:v>
                </c:pt>
                <c:pt idx="28">
                  <c:v>234.5</c:v>
                </c:pt>
                <c:pt idx="29">
                  <c:v>217.9</c:v>
                </c:pt>
                <c:pt idx="30">
                  <c:v>283.5</c:v>
                </c:pt>
                <c:pt idx="31">
                  <c:v>253.5</c:v>
                </c:pt>
                <c:pt idx="32">
                  <c:v>198</c:v>
                </c:pt>
                <c:pt idx="33">
                  <c:v>221.6</c:v>
                </c:pt>
                <c:pt idx="34">
                  <c:v>329.5</c:v>
                </c:pt>
                <c:pt idx="35">
                  <c:v>170.9</c:v>
                </c:pt>
                <c:pt idx="36">
                  <c:v>353.1</c:v>
                </c:pt>
                <c:pt idx="37">
                  <c:v>203.1</c:v>
                </c:pt>
                <c:pt idx="38">
                  <c:v>252.4</c:v>
                </c:pt>
                <c:pt idx="39">
                  <c:v>392.7</c:v>
                </c:pt>
                <c:pt idx="40">
                  <c:v>201</c:v>
                </c:pt>
                <c:pt idx="41">
                  <c:v>404.9</c:v>
                </c:pt>
                <c:pt idx="42">
                  <c:v>204.8</c:v>
                </c:pt>
                <c:pt idx="43">
                  <c:v>304</c:v>
                </c:pt>
                <c:pt idx="44">
                  <c:v>178.9</c:v>
                </c:pt>
                <c:pt idx="45">
                  <c:v>369.4</c:v>
                </c:pt>
                <c:pt idx="46">
                  <c:v>183</c:v>
                </c:pt>
                <c:pt idx="47">
                  <c:v>413.4</c:v>
                </c:pt>
                <c:pt idx="48">
                  <c:v>185.8</c:v>
                </c:pt>
                <c:pt idx="49">
                  <c:v>230.3</c:v>
                </c:pt>
                <c:pt idx="50">
                  <c:v>247.4</c:v>
                </c:pt>
                <c:pt idx="51">
                  <c:v>290.89999999999998</c:v>
                </c:pt>
                <c:pt idx="52">
                  <c:v>216.1</c:v>
                </c:pt>
                <c:pt idx="53">
                  <c:v>222.8</c:v>
                </c:pt>
                <c:pt idx="54">
                  <c:v>332.3</c:v>
                </c:pt>
                <c:pt idx="55">
                  <c:v>343.8</c:v>
                </c:pt>
                <c:pt idx="56">
                  <c:v>342.5</c:v>
                </c:pt>
                <c:pt idx="57">
                  <c:v>210.2</c:v>
                </c:pt>
                <c:pt idx="58">
                  <c:v>179.9</c:v>
                </c:pt>
                <c:pt idx="59">
                  <c:v>248.4</c:v>
                </c:pt>
                <c:pt idx="60">
                  <c:v>213.2</c:v>
                </c:pt>
                <c:pt idx="61">
                  <c:v>357.2</c:v>
                </c:pt>
                <c:pt idx="62">
                  <c:v>214.5</c:v>
                </c:pt>
                <c:pt idx="63">
                  <c:v>216.7</c:v>
                </c:pt>
                <c:pt idx="64">
                  <c:v>392.4</c:v>
                </c:pt>
                <c:pt idx="65">
                  <c:v>205.1</c:v>
                </c:pt>
                <c:pt idx="66">
                  <c:v>391.7</c:v>
                </c:pt>
                <c:pt idx="67">
                  <c:v>202.8</c:v>
                </c:pt>
                <c:pt idx="68">
                  <c:v>157.19999999999999</c:v>
                </c:pt>
                <c:pt idx="69">
                  <c:v>154.30000000000001</c:v>
                </c:pt>
                <c:pt idx="70">
                  <c:v>271.3</c:v>
                </c:pt>
                <c:pt idx="71">
                  <c:v>310.5</c:v>
                </c:pt>
                <c:pt idx="72">
                  <c:v>367</c:v>
                </c:pt>
                <c:pt idx="73">
                  <c:v>171.4</c:v>
                </c:pt>
                <c:pt idx="74">
                  <c:v>227.6</c:v>
                </c:pt>
                <c:pt idx="75">
                  <c:v>272.5</c:v>
                </c:pt>
                <c:pt idx="76">
                  <c:v>376.7</c:v>
                </c:pt>
                <c:pt idx="77">
                  <c:v>389</c:v>
                </c:pt>
                <c:pt idx="78">
                  <c:v>176.3</c:v>
                </c:pt>
                <c:pt idx="79">
                  <c:v>198.7</c:v>
                </c:pt>
                <c:pt idx="80">
                  <c:v>191.9</c:v>
                </c:pt>
                <c:pt idx="81">
                  <c:v>186.3</c:v>
                </c:pt>
                <c:pt idx="82">
                  <c:v>422.6</c:v>
                </c:pt>
                <c:pt idx="83">
                  <c:v>384.2</c:v>
                </c:pt>
                <c:pt idx="84">
                  <c:v>299.2</c:v>
                </c:pt>
                <c:pt idx="85">
                  <c:v>382</c:v>
                </c:pt>
                <c:pt idx="86">
                  <c:v>288.89999999999998</c:v>
                </c:pt>
                <c:pt idx="87">
                  <c:v>397.6</c:v>
                </c:pt>
                <c:pt idx="88">
                  <c:v>301.10000000000002</c:v>
                </c:pt>
                <c:pt idx="89">
                  <c:v>180.5</c:v>
                </c:pt>
                <c:pt idx="90">
                  <c:v>177.6</c:v>
                </c:pt>
                <c:pt idx="91">
                  <c:v>204.6</c:v>
                </c:pt>
                <c:pt idx="92">
                  <c:v>159.1</c:v>
                </c:pt>
                <c:pt idx="93">
                  <c:v>179.8</c:v>
                </c:pt>
                <c:pt idx="94">
                  <c:v>212.8</c:v>
                </c:pt>
                <c:pt idx="95">
                  <c:v>219</c:v>
                </c:pt>
                <c:pt idx="96">
                  <c:v>219.8</c:v>
                </c:pt>
                <c:pt idx="97">
                  <c:v>224.3</c:v>
                </c:pt>
                <c:pt idx="98">
                  <c:v>213.1</c:v>
                </c:pt>
                <c:pt idx="99">
                  <c:v>211.6</c:v>
                </c:pt>
                <c:pt idx="100">
                  <c:v>317.10000000000002</c:v>
                </c:pt>
                <c:pt idx="101">
                  <c:v>233</c:v>
                </c:pt>
                <c:pt idx="102">
                  <c:v>345.9</c:v>
                </c:pt>
                <c:pt idx="103">
                  <c:v>221</c:v>
                </c:pt>
                <c:pt idx="104">
                  <c:v>355.9</c:v>
                </c:pt>
                <c:pt idx="105">
                  <c:v>395</c:v>
                </c:pt>
                <c:pt idx="106">
                  <c:v>207.9</c:v>
                </c:pt>
                <c:pt idx="107">
                  <c:v>214.9</c:v>
                </c:pt>
                <c:pt idx="108">
                  <c:v>210.6</c:v>
                </c:pt>
                <c:pt idx="109">
                  <c:v>211.9</c:v>
                </c:pt>
                <c:pt idx="110">
                  <c:v>216.3</c:v>
                </c:pt>
                <c:pt idx="111">
                  <c:v>244.8</c:v>
                </c:pt>
                <c:pt idx="112">
                  <c:v>190</c:v>
                </c:pt>
                <c:pt idx="113">
                  <c:v>140.69999999999999</c:v>
                </c:pt>
                <c:pt idx="114">
                  <c:v>209.4</c:v>
                </c:pt>
                <c:pt idx="115">
                  <c:v>363.2</c:v>
                </c:pt>
                <c:pt idx="116">
                  <c:v>174.3</c:v>
                </c:pt>
                <c:pt idx="117">
                  <c:v>198.6</c:v>
                </c:pt>
                <c:pt idx="118">
                  <c:v>235.7</c:v>
                </c:pt>
                <c:pt idx="119">
                  <c:v>206.5</c:v>
                </c:pt>
                <c:pt idx="120">
                  <c:v>202.2</c:v>
                </c:pt>
                <c:pt idx="121">
                  <c:v>299.10000000000002</c:v>
                </c:pt>
                <c:pt idx="122">
                  <c:v>389.7</c:v>
                </c:pt>
                <c:pt idx="123">
                  <c:v>354.9</c:v>
                </c:pt>
                <c:pt idx="124">
                  <c:v>209.3</c:v>
                </c:pt>
                <c:pt idx="125">
                  <c:v>197.8</c:v>
                </c:pt>
                <c:pt idx="126">
                  <c:v>260.3</c:v>
                </c:pt>
                <c:pt idx="127">
                  <c:v>264.5</c:v>
                </c:pt>
                <c:pt idx="128">
                  <c:v>261.3</c:v>
                </c:pt>
                <c:pt idx="129">
                  <c:v>179.1</c:v>
                </c:pt>
                <c:pt idx="130">
                  <c:v>392.5</c:v>
                </c:pt>
                <c:pt idx="131">
                  <c:v>210.7</c:v>
                </c:pt>
                <c:pt idx="132">
                  <c:v>160.4</c:v>
                </c:pt>
                <c:pt idx="133">
                  <c:v>415.9</c:v>
                </c:pt>
                <c:pt idx="134">
                  <c:v>391.3</c:v>
                </c:pt>
                <c:pt idx="135">
                  <c:v>281.39999999999998</c:v>
                </c:pt>
                <c:pt idx="136">
                  <c:v>201.3</c:v>
                </c:pt>
                <c:pt idx="137">
                  <c:v>173.2</c:v>
                </c:pt>
                <c:pt idx="138">
                  <c:v>399.7</c:v>
                </c:pt>
                <c:pt idx="139">
                  <c:v>339.8</c:v>
                </c:pt>
                <c:pt idx="140">
                  <c:v>352.3</c:v>
                </c:pt>
                <c:pt idx="141">
                  <c:v>378.8</c:v>
                </c:pt>
                <c:pt idx="142">
                  <c:v>190</c:v>
                </c:pt>
                <c:pt idx="143">
                  <c:v>334.2</c:v>
                </c:pt>
                <c:pt idx="144">
                  <c:v>213.7</c:v>
                </c:pt>
                <c:pt idx="145">
                  <c:v>267.3</c:v>
                </c:pt>
                <c:pt idx="146">
                  <c:v>7.8</c:v>
                </c:pt>
                <c:pt idx="147">
                  <c:v>184.1</c:v>
                </c:pt>
                <c:pt idx="148">
                  <c:v>226.7</c:v>
                </c:pt>
                <c:pt idx="149">
                  <c:v>208.2</c:v>
                </c:pt>
                <c:pt idx="150">
                  <c:v>219.6</c:v>
                </c:pt>
                <c:pt idx="151">
                  <c:v>216.7</c:v>
                </c:pt>
                <c:pt idx="152">
                  <c:v>232.8</c:v>
                </c:pt>
                <c:pt idx="153">
                  <c:v>547.70000000000005</c:v>
                </c:pt>
                <c:pt idx="154">
                  <c:v>405.4</c:v>
                </c:pt>
                <c:pt idx="155">
                  <c:v>413.8</c:v>
                </c:pt>
                <c:pt idx="156">
                  <c:v>293.8</c:v>
                </c:pt>
                <c:pt idx="157">
                  <c:v>239.6</c:v>
                </c:pt>
                <c:pt idx="158">
                  <c:v>203</c:v>
                </c:pt>
                <c:pt idx="159">
                  <c:v>263.89999999999998</c:v>
                </c:pt>
                <c:pt idx="160">
                  <c:v>319.89999999999998</c:v>
                </c:pt>
                <c:pt idx="161">
                  <c:v>349.4</c:v>
                </c:pt>
                <c:pt idx="162">
                  <c:v>208.3</c:v>
                </c:pt>
                <c:pt idx="163">
                  <c:v>216.4</c:v>
                </c:pt>
                <c:pt idx="164">
                  <c:v>253.2</c:v>
                </c:pt>
                <c:pt idx="165">
                  <c:v>208.9</c:v>
                </c:pt>
                <c:pt idx="166">
                  <c:v>319.60000000000002</c:v>
                </c:pt>
                <c:pt idx="167">
                  <c:v>230.8</c:v>
                </c:pt>
                <c:pt idx="168">
                  <c:v>189.2</c:v>
                </c:pt>
                <c:pt idx="169">
                  <c:v>257.8</c:v>
                </c:pt>
                <c:pt idx="170">
                  <c:v>205.2</c:v>
                </c:pt>
                <c:pt idx="171">
                  <c:v>220.2</c:v>
                </c:pt>
                <c:pt idx="172">
                  <c:v>220.1</c:v>
                </c:pt>
                <c:pt idx="173">
                  <c:v>363.8</c:v>
                </c:pt>
                <c:pt idx="174">
                  <c:v>202.2</c:v>
                </c:pt>
                <c:pt idx="175">
                  <c:v>163.19999999999999</c:v>
                </c:pt>
                <c:pt idx="176">
                  <c:v>310.60000000000002</c:v>
                </c:pt>
                <c:pt idx="177">
                  <c:v>208.4</c:v>
                </c:pt>
                <c:pt idx="178">
                  <c:v>160.19999999999999</c:v>
                </c:pt>
                <c:pt idx="179">
                  <c:v>218</c:v>
                </c:pt>
                <c:pt idx="180">
                  <c:v>263.2</c:v>
                </c:pt>
                <c:pt idx="181">
                  <c:v>145.9</c:v>
                </c:pt>
                <c:pt idx="182">
                  <c:v>247.9</c:v>
                </c:pt>
                <c:pt idx="183">
                  <c:v>309.5</c:v>
                </c:pt>
                <c:pt idx="184">
                  <c:v>249.5</c:v>
                </c:pt>
                <c:pt idx="185">
                  <c:v>342.2</c:v>
                </c:pt>
                <c:pt idx="186">
                  <c:v>344.8</c:v>
                </c:pt>
                <c:pt idx="187">
                  <c:v>345.9</c:v>
                </c:pt>
                <c:pt idx="188">
                  <c:v>354.9</c:v>
                </c:pt>
                <c:pt idx="189">
                  <c:v>355.9</c:v>
                </c:pt>
                <c:pt idx="190">
                  <c:v>361</c:v>
                </c:pt>
                <c:pt idx="191">
                  <c:v>229.4</c:v>
                </c:pt>
                <c:pt idx="192">
                  <c:v>223.7</c:v>
                </c:pt>
                <c:pt idx="193">
                  <c:v>247.7</c:v>
                </c:pt>
                <c:pt idx="194">
                  <c:v>367.4</c:v>
                </c:pt>
                <c:pt idx="195">
                  <c:v>388.5</c:v>
                </c:pt>
                <c:pt idx="196">
                  <c:v>197.8</c:v>
                </c:pt>
                <c:pt idx="197">
                  <c:v>261</c:v>
                </c:pt>
                <c:pt idx="198">
                  <c:v>248.7</c:v>
                </c:pt>
                <c:pt idx="199">
                  <c:v>249.6</c:v>
                </c:pt>
                <c:pt idx="200">
                  <c:v>242.9</c:v>
                </c:pt>
                <c:pt idx="201">
                  <c:v>275.60000000000002</c:v>
                </c:pt>
                <c:pt idx="202">
                  <c:v>288.39999999999998</c:v>
                </c:pt>
                <c:pt idx="203">
                  <c:v>337.7</c:v>
                </c:pt>
                <c:pt idx="204">
                  <c:v>383</c:v>
                </c:pt>
                <c:pt idx="205">
                  <c:v>140.30000000000001</c:v>
                </c:pt>
                <c:pt idx="206">
                  <c:v>332.2</c:v>
                </c:pt>
                <c:pt idx="207">
                  <c:v>193.7</c:v>
                </c:pt>
                <c:pt idx="208">
                  <c:v>341.1</c:v>
                </c:pt>
                <c:pt idx="209">
                  <c:v>209.6</c:v>
                </c:pt>
                <c:pt idx="210">
                  <c:v>231.1</c:v>
                </c:pt>
                <c:pt idx="211">
                  <c:v>428.4</c:v>
                </c:pt>
                <c:pt idx="212">
                  <c:v>408.5</c:v>
                </c:pt>
                <c:pt idx="213">
                  <c:v>227.1</c:v>
                </c:pt>
                <c:pt idx="214">
                  <c:v>282.2</c:v>
                </c:pt>
                <c:pt idx="215">
                  <c:v>335.5</c:v>
                </c:pt>
                <c:pt idx="216">
                  <c:v>273.2</c:v>
                </c:pt>
                <c:pt idx="217">
                  <c:v>169.6</c:v>
                </c:pt>
                <c:pt idx="218">
                  <c:v>311.10000000000002</c:v>
                </c:pt>
                <c:pt idx="219">
                  <c:v>163.19999999999999</c:v>
                </c:pt>
                <c:pt idx="220">
                  <c:v>399.8</c:v>
                </c:pt>
                <c:pt idx="221">
                  <c:v>176.3</c:v>
                </c:pt>
                <c:pt idx="222">
                  <c:v>300</c:v>
                </c:pt>
                <c:pt idx="223">
                  <c:v>199.2</c:v>
                </c:pt>
                <c:pt idx="224">
                  <c:v>211.7</c:v>
                </c:pt>
                <c:pt idx="225">
                  <c:v>269.89999999999998</c:v>
                </c:pt>
                <c:pt idx="226">
                  <c:v>301</c:v>
                </c:pt>
              </c:numCache>
            </c:numRef>
          </c:xVal>
          <c:yVal>
            <c:numRef>
              <c:f>d_지도!$I$2:$I$228</c:f>
              <c:numCache>
                <c:formatCode>General</c:formatCode>
                <c:ptCount val="22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376.1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DD-2443-A649-E21157B63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60"/>
          <c:min val="0"/>
        </c:scaling>
        <c:delete val="1"/>
        <c:axPos val="b"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600"/>
          <c:min val="0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  <c:spPr>
        <a:noFill/>
        <a:ln>
          <a:noFill/>
          <a:prstDash val="solid"/>
        </a:ln>
      </c:spPr>
    </c:plotArea>
    <c:plotVisOnly val="1"/>
    <c:dispBlanksAs val="gap"/>
    <c:showDLblsOverMax val="1"/>
  </c:chart>
  <c:spPr>
    <a:noFill/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11</xdr:row>
      <xdr:rowOff>0</xdr:rowOff>
    </xdr:from>
    <xdr:to>
      <xdr:col>37</xdr:col>
      <xdr:colOff>0</xdr:colOff>
      <xdr:row>18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14</xdr:row>
      <xdr:rowOff>0</xdr:rowOff>
    </xdr:from>
    <xdr:to>
      <xdr:col>37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19</xdr:row>
      <xdr:rowOff>0</xdr:rowOff>
    </xdr:from>
    <xdr:to>
      <xdr:col>37</xdr:col>
      <xdr:colOff>0</xdr:colOff>
      <xdr:row>26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38</xdr:row>
      <xdr:rowOff>0</xdr:rowOff>
    </xdr:from>
    <xdr:to>
      <xdr:col>37</xdr:col>
      <xdr:colOff>0</xdr:colOff>
      <xdr:row>49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11</xdr:row>
      <xdr:rowOff>0</xdr:rowOff>
    </xdr:from>
    <xdr:ext cx="4608000" cy="4939327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4383C"/>
    <pageSetUpPr fitToPage="1"/>
  </sheetPr>
  <dimension ref="B1:AK26"/>
  <sheetViews>
    <sheetView showGridLines="0" showRowColHeaders="0" tabSelected="1" workbookViewId="0"/>
  </sheetViews>
  <sheetFormatPr baseColWidth="10" defaultColWidth="8.83203125" defaultRowHeight="17"/>
  <cols>
    <col min="1" max="1" width="2.5" customWidth="1"/>
    <col min="2" max="37" width="5.1640625" customWidth="1"/>
  </cols>
  <sheetData>
    <row r="1" spans="2:37" ht="12" customHeight="1"/>
    <row r="2" spans="2:37" ht="20" customHeight="1">
      <c r="B2" s="36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</row>
    <row r="3" spans="2:37" ht="38" customHeight="1">
      <c r="B3" s="44" t="s">
        <v>1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</row>
    <row r="4" spans="2:37" ht="20" customHeight="1">
      <c r="B4" s="40" t="s">
        <v>2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</row>
    <row r="5" spans="2:37" ht="4" customHeight="1">
      <c r="B5" s="1"/>
      <c r="C5" s="1"/>
    </row>
    <row r="6" spans="2:37" ht="22" customHeight="1"/>
    <row r="7" spans="2:37" ht="26" customHeight="1">
      <c r="B7" s="27" t="s">
        <v>3</v>
      </c>
      <c r="C7" s="28"/>
      <c r="D7" s="28"/>
      <c r="E7" s="28"/>
      <c r="F7" s="28"/>
      <c r="G7" s="28"/>
      <c r="H7" s="28"/>
      <c r="I7" s="28"/>
      <c r="J7" s="28"/>
      <c r="K7" s="28"/>
      <c r="L7" s="28"/>
      <c r="N7" s="27" t="s">
        <v>4</v>
      </c>
      <c r="O7" s="28"/>
      <c r="P7" s="28"/>
      <c r="Q7" s="28"/>
      <c r="R7" s="28"/>
      <c r="S7" s="28"/>
      <c r="T7" s="28"/>
      <c r="U7" s="28"/>
      <c r="V7" s="28"/>
      <c r="W7" s="28"/>
      <c r="X7" s="28"/>
      <c r="Z7" s="27" t="s">
        <v>5</v>
      </c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</row>
    <row r="8" spans="2:37" ht="20" customHeight="1">
      <c r="B8" s="34" t="s">
        <v>6</v>
      </c>
      <c r="C8" s="28"/>
      <c r="D8" s="28"/>
      <c r="E8" s="28"/>
      <c r="F8" s="28"/>
      <c r="G8" s="28"/>
      <c r="H8" s="28"/>
      <c r="I8" s="28"/>
      <c r="J8" s="28"/>
      <c r="K8" s="28"/>
      <c r="L8" s="28"/>
      <c r="N8" s="34" t="s">
        <v>7</v>
      </c>
      <c r="O8" s="28"/>
      <c r="P8" s="28"/>
      <c r="Q8" s="28"/>
      <c r="R8" s="28"/>
      <c r="S8" s="28"/>
      <c r="T8" s="28"/>
      <c r="U8" s="28"/>
      <c r="V8" s="28"/>
      <c r="W8" s="28"/>
      <c r="X8" s="28"/>
      <c r="Z8" s="34" t="s">
        <v>8</v>
      </c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</row>
    <row r="9" spans="2:37" ht="52" customHeight="1">
      <c r="B9" s="39">
        <f>INDEX(d_시군!$E$2:$E$147,MATCH("안동시",d_시군!$A$2:$A$147,0))</f>
        <v>-0.16790570949358971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" t="s">
        <v>9</v>
      </c>
      <c r="N9" s="41">
        <f>d_시나리오!$E$2</f>
        <v>157.9524557357708</v>
      </c>
      <c r="O9" s="28"/>
      <c r="P9" s="28"/>
      <c r="Q9" s="28"/>
      <c r="R9" s="28"/>
      <c r="S9" s="28"/>
      <c r="T9" s="28"/>
      <c r="U9" s="28"/>
      <c r="V9" s="28"/>
      <c r="W9" s="28"/>
      <c r="X9" s="28"/>
      <c r="Y9" s="2" t="s">
        <v>9</v>
      </c>
      <c r="Z9" s="38">
        <f>COUNTIF(d_진단!$P$2:$P$145,"체험·문화 · 숙박일수")-1</f>
        <v>6</v>
      </c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</row>
    <row r="10" spans="2:37" ht="20" customHeight="1">
      <c r="B10" s="31" t="s">
        <v>10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N10" s="31" t="s">
        <v>11</v>
      </c>
      <c r="O10" s="28"/>
      <c r="P10" s="28"/>
      <c r="Q10" s="28"/>
      <c r="R10" s="28"/>
      <c r="S10" s="28"/>
      <c r="T10" s="28"/>
      <c r="U10" s="28"/>
      <c r="V10" s="28"/>
      <c r="W10" s="28"/>
      <c r="X10" s="28"/>
      <c r="Z10" s="31" t="s">
        <v>12</v>
      </c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</row>
    <row r="11" spans="2:37" ht="20" customHeight="1">
      <c r="B11" s="31" t="s">
        <v>13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N11" s="31" t="s">
        <v>14</v>
      </c>
      <c r="O11" s="28"/>
      <c r="P11" s="28"/>
      <c r="Q11" s="28"/>
      <c r="R11" s="28"/>
      <c r="S11" s="28"/>
      <c r="T11" s="28"/>
      <c r="U11" s="28"/>
      <c r="V11" s="28"/>
      <c r="W11" s="28"/>
      <c r="X11" s="28"/>
      <c r="Z11" s="31" t="s">
        <v>15</v>
      </c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</row>
    <row r="12" spans="2:37" ht="10" customHeight="1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2:37" ht="40" customHeight="1">
      <c r="B13" s="37" t="s">
        <v>16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N13" s="37" t="s">
        <v>17</v>
      </c>
      <c r="O13" s="28"/>
      <c r="P13" s="28"/>
      <c r="Q13" s="28"/>
      <c r="R13" s="28"/>
      <c r="S13" s="28"/>
      <c r="T13" s="28"/>
      <c r="U13" s="28"/>
      <c r="V13" s="28"/>
      <c r="W13" s="28"/>
      <c r="X13" s="28"/>
      <c r="Z13" s="37" t="s">
        <v>18</v>
      </c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</row>
    <row r="14" spans="2:37" ht="24" customHeight="1">
      <c r="B14" s="35" t="s">
        <v>19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N14" s="35" t="s">
        <v>19</v>
      </c>
      <c r="O14" s="28"/>
      <c r="P14" s="28"/>
      <c r="Q14" s="28"/>
      <c r="R14" s="28"/>
      <c r="S14" s="28"/>
      <c r="T14" s="28"/>
      <c r="U14" s="28"/>
      <c r="V14" s="28"/>
      <c r="W14" s="28"/>
      <c r="X14" s="28"/>
      <c r="Z14" s="35" t="s">
        <v>19</v>
      </c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</row>
    <row r="15" spans="2:37" ht="8" customHeight="1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2:37" ht="26" customHeight="1"/>
    <row r="17" spans="2:37" ht="22" customHeight="1">
      <c r="B17" s="43" t="s">
        <v>20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9" t="s">
        <v>21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</row>
    <row r="18" spans="2:37" ht="6" customHeight="1"/>
    <row r="19" spans="2:37" ht="46" customHeight="1">
      <c r="B19" s="5">
        <v>1</v>
      </c>
      <c r="C19" s="33" t="s">
        <v>22</v>
      </c>
      <c r="D19" s="28"/>
      <c r="E19" s="28"/>
      <c r="F19" s="28"/>
      <c r="G19" s="28"/>
      <c r="H19" s="28"/>
      <c r="I19" s="28"/>
      <c r="J19" s="28"/>
      <c r="K19" s="28"/>
      <c r="L19" s="28"/>
      <c r="N19" s="5">
        <v>2</v>
      </c>
      <c r="O19" s="33" t="s">
        <v>23</v>
      </c>
      <c r="P19" s="28"/>
      <c r="Q19" s="28"/>
      <c r="R19" s="28"/>
      <c r="S19" s="28"/>
      <c r="T19" s="28"/>
      <c r="U19" s="28"/>
      <c r="V19" s="28"/>
      <c r="W19" s="28"/>
      <c r="X19" s="28"/>
      <c r="Z19" s="5">
        <v>3</v>
      </c>
      <c r="AA19" s="33" t="s">
        <v>24</v>
      </c>
      <c r="AB19" s="28"/>
      <c r="AC19" s="28"/>
      <c r="AD19" s="28"/>
      <c r="AE19" s="28"/>
      <c r="AF19" s="28"/>
      <c r="AG19" s="28"/>
      <c r="AH19" s="28"/>
      <c r="AI19" s="28"/>
      <c r="AJ19" s="28"/>
      <c r="AK19" s="28"/>
    </row>
    <row r="20" spans="2:37" ht="20" customHeight="1"/>
    <row r="21" spans="2:37" ht="20" customHeight="1">
      <c r="B21" s="32" t="s">
        <v>25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</row>
    <row r="22" spans="2:37" ht="18" customHeight="1">
      <c r="B22" s="30" t="s">
        <v>26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</row>
    <row r="23" spans="2:37" ht="18" customHeight="1">
      <c r="B23" s="30" t="s">
        <v>27</v>
      </c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</row>
    <row r="24" spans="2:37" ht="18" customHeight="1">
      <c r="B24" s="30" t="s">
        <v>28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</row>
    <row r="25" spans="2:37" ht="12" customHeight="1"/>
    <row r="26" spans="2:37">
      <c r="B26" s="42" t="s">
        <v>29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</row>
  </sheetData>
  <sheetProtection sheet="1"/>
  <mergeCells count="34">
    <mergeCell ref="B26:AK26"/>
    <mergeCell ref="B17:Z17"/>
    <mergeCell ref="B3:AB3"/>
    <mergeCell ref="B24:AK24"/>
    <mergeCell ref="N10:X10"/>
    <mergeCell ref="Z9:AK9"/>
    <mergeCell ref="B9:L9"/>
    <mergeCell ref="N13:X13"/>
    <mergeCell ref="N9:X9"/>
    <mergeCell ref="Z11:AK11"/>
    <mergeCell ref="B2:X2"/>
    <mergeCell ref="Z13:AK13"/>
    <mergeCell ref="O19:X19"/>
    <mergeCell ref="B8:L8"/>
    <mergeCell ref="N8:X8"/>
    <mergeCell ref="N14:X14"/>
    <mergeCell ref="B13:L13"/>
    <mergeCell ref="Z10:AK10"/>
    <mergeCell ref="B10:L10"/>
    <mergeCell ref="B4:AK4"/>
    <mergeCell ref="B23:AK23"/>
    <mergeCell ref="C19:L19"/>
    <mergeCell ref="Z8:AK8"/>
    <mergeCell ref="B11:L11"/>
    <mergeCell ref="Z14:AK14"/>
    <mergeCell ref="B14:L14"/>
    <mergeCell ref="Z7:AK7"/>
    <mergeCell ref="AA17:AK17"/>
    <mergeCell ref="B22:AK22"/>
    <mergeCell ref="B7:L7"/>
    <mergeCell ref="N11:X11"/>
    <mergeCell ref="B21:AK21"/>
    <mergeCell ref="N7:X7"/>
    <mergeCell ref="AA19:AK19"/>
  </mergeCells>
  <phoneticPr fontId="44" type="noConversion"/>
  <hyperlinks>
    <hyperlink ref="B7" location="'1 문제'!A1" display="01 문제" xr:uid="{00000000-0004-0000-0000-000000000000}"/>
    <hyperlink ref="N7" location="'3 기대효과'!A1" display="03 기대효과" xr:uid="{00000000-0004-0000-0000-000001000000}"/>
    <hyperlink ref="Z7" location="'4 시·군 진단'!A1" display="04 우리 시·군 진단" xr:uid="{00000000-0004-0000-0000-000002000000}"/>
    <hyperlink ref="B14" location="'1 문제'!A1" display="열기 →" xr:uid="{00000000-0004-0000-0000-000003000000}"/>
    <hyperlink ref="N14" location="'3 기대효과'!A1" display="열기 →" xr:uid="{00000000-0004-0000-0000-000004000000}"/>
    <hyperlink ref="Z14" location="'4 시·군 진단'!A1" display="열기 →" xr:uid="{00000000-0004-0000-0000-000005000000}"/>
    <hyperlink ref="AA17" location="'2 해법'!A1" display="운영값과 근거 → 2 해법" xr:uid="{00000000-0004-0000-0000-000006000000}"/>
  </hyperlinks>
  <pageMargins left="0.3" right="0.3" top="0.3" bottom="0.3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D6BD9"/>
    <pageSetUpPr fitToPage="1"/>
  </sheetPr>
  <dimension ref="B1:AK30"/>
  <sheetViews>
    <sheetView showGridLines="0" showRowColHeaders="0" workbookViewId="0"/>
  </sheetViews>
  <sheetFormatPr baseColWidth="10" defaultColWidth="8.83203125" defaultRowHeight="17"/>
  <cols>
    <col min="1" max="1" width="2.5" customWidth="1"/>
    <col min="2" max="37" width="5.1640625" customWidth="1"/>
  </cols>
  <sheetData>
    <row r="1" spans="2:37" ht="12" customHeight="1"/>
    <row r="2" spans="2:37" ht="20" customHeight="1">
      <c r="B2" s="36" t="s">
        <v>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</row>
    <row r="3" spans="2:37" ht="38" customHeight="1">
      <c r="B3" s="44" t="s">
        <v>30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</row>
    <row r="4" spans="2:37" ht="20" customHeight="1">
      <c r="B4" s="40" t="s">
        <v>31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52" t="s">
        <v>32</v>
      </c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</row>
    <row r="5" spans="2:37" ht="4" customHeight="1">
      <c r="B5" s="1"/>
      <c r="C5" s="1"/>
    </row>
    <row r="6" spans="2:37" ht="20" customHeight="1"/>
    <row r="7" spans="2:37" ht="20" customHeight="1">
      <c r="B7" s="46" t="s">
        <v>33</v>
      </c>
      <c r="C7" s="28"/>
      <c r="D7" s="28"/>
      <c r="E7" s="28"/>
      <c r="F7" s="28"/>
      <c r="G7" s="28"/>
      <c r="H7" s="28"/>
      <c r="I7" s="28"/>
      <c r="J7" s="28"/>
      <c r="K7" s="28"/>
      <c r="L7" s="28"/>
      <c r="N7" s="45" t="s">
        <v>6</v>
      </c>
      <c r="O7" s="28"/>
      <c r="P7" s="28"/>
      <c r="Q7" s="28"/>
      <c r="R7" s="28"/>
      <c r="S7" s="28"/>
      <c r="T7" s="28"/>
      <c r="U7" s="28"/>
      <c r="V7" s="28"/>
      <c r="W7" s="28"/>
      <c r="X7" s="28"/>
      <c r="Z7" s="45" t="s">
        <v>34</v>
      </c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</row>
    <row r="8" spans="2:37" ht="44" customHeight="1">
      <c r="B8" s="53">
        <f>INDEX(d_시군!$B$2:$B$147,MATCH("안동시",d_시군!$A$2:$A$147,0))</f>
        <v>5.64163196573432E-2</v>
      </c>
      <c r="C8" s="28"/>
      <c r="D8" s="28"/>
      <c r="E8" s="28"/>
      <c r="F8" s="28"/>
      <c r="G8" s="28"/>
      <c r="H8" s="28"/>
      <c r="I8" s="28"/>
      <c r="J8" s="28"/>
      <c r="K8" s="28"/>
      <c r="L8" s="28"/>
      <c r="N8" s="54">
        <f>INDEX(d_시군!$E$2:$E$147,MATCH("안동시",d_시군!$A$2:$A$147,0))</f>
        <v>-0.16790570949358971</v>
      </c>
      <c r="O8" s="28"/>
      <c r="P8" s="28"/>
      <c r="Q8" s="28"/>
      <c r="R8" s="28"/>
      <c r="S8" s="28"/>
      <c r="T8" s="28"/>
      <c r="U8" s="28"/>
      <c r="V8" s="28"/>
      <c r="W8" s="28"/>
      <c r="X8" s="28"/>
      <c r="Z8" s="48">
        <f>INDEX(d_시군!$F$2:$F$147,MATCH("안동시",d_시군!$A$2:$A$147,0))</f>
        <v>22</v>
      </c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</row>
    <row r="9" spans="2:37" ht="20" customHeight="1">
      <c r="B9" s="58" t="s">
        <v>35</v>
      </c>
      <c r="C9" s="28"/>
      <c r="D9" s="28"/>
      <c r="E9" s="28"/>
      <c r="F9" s="28"/>
      <c r="G9" s="28"/>
      <c r="H9" s="28"/>
      <c r="I9" s="28"/>
      <c r="J9" s="28"/>
      <c r="K9" s="28"/>
      <c r="L9" s="28"/>
      <c r="N9" s="57" t="s">
        <v>36</v>
      </c>
      <c r="O9" s="28"/>
      <c r="P9" s="28"/>
      <c r="Q9" s="28"/>
      <c r="R9" s="28"/>
      <c r="S9" s="28"/>
      <c r="T9" s="28"/>
      <c r="U9" s="28"/>
      <c r="V9" s="28"/>
      <c r="W9" s="28"/>
      <c r="X9" s="28"/>
      <c r="Z9" s="57" t="s">
        <v>37</v>
      </c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</row>
    <row r="10" spans="2:37" ht="26" customHeight="1"/>
    <row r="11" spans="2:37" ht="22" customHeight="1">
      <c r="B11" s="32" t="s">
        <v>38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U11" s="32" t="s">
        <v>39</v>
      </c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</row>
    <row r="12" spans="2:37" ht="20" customHeight="1"/>
    <row r="13" spans="2:37" ht="20" customHeight="1"/>
    <row r="14" spans="2:37" ht="20" customHeight="1"/>
    <row r="15" spans="2:37" ht="20" customHeight="1"/>
    <row r="16" spans="2:37" ht="20" customHeight="1"/>
    <row r="17" spans="2:37" ht="20" customHeight="1"/>
    <row r="18" spans="2:37" ht="20" customHeight="1"/>
    <row r="19" spans="2:37" ht="20" customHeight="1">
      <c r="U19" s="42" t="s">
        <v>40</v>
      </c>
      <c r="V19" s="28"/>
      <c r="W19" s="28"/>
      <c r="X19" s="28"/>
      <c r="Y19" s="28"/>
      <c r="Z19" s="28"/>
      <c r="AA19" s="28"/>
      <c r="AB19" s="28"/>
      <c r="AC19" s="28"/>
      <c r="AD19" s="51" t="s">
        <v>41</v>
      </c>
      <c r="AE19" s="28"/>
      <c r="AF19" s="28"/>
      <c r="AG19" s="28"/>
      <c r="AH19" s="28"/>
      <c r="AI19" s="28"/>
      <c r="AJ19" s="28"/>
      <c r="AK19" s="28"/>
    </row>
    <row r="20" spans="2:37" ht="26" customHeight="1"/>
    <row r="21" spans="2:37" ht="22" customHeight="1">
      <c r="B21" s="43" t="s">
        <v>42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</row>
    <row r="22" spans="2:37" ht="6" customHeight="1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 spans="2:37" ht="10" customHeight="1"/>
    <row r="24" spans="2:37" ht="20" customHeight="1">
      <c r="B24" s="5">
        <v>1</v>
      </c>
      <c r="C24" s="50" t="s">
        <v>43</v>
      </c>
      <c r="D24" s="28"/>
      <c r="E24" s="28"/>
      <c r="F24" s="28"/>
      <c r="G24" s="28"/>
      <c r="H24" s="28"/>
      <c r="I24" s="28"/>
      <c r="J24" s="28"/>
      <c r="K24" s="28"/>
      <c r="L24" s="28"/>
      <c r="N24" s="5">
        <v>2</v>
      </c>
      <c r="O24" s="50" t="s">
        <v>44</v>
      </c>
      <c r="P24" s="28"/>
      <c r="Q24" s="28"/>
      <c r="R24" s="28"/>
      <c r="S24" s="28"/>
      <c r="T24" s="28"/>
      <c r="U24" s="28"/>
      <c r="V24" s="28"/>
      <c r="W24" s="28"/>
      <c r="X24" s="28"/>
      <c r="Z24" s="5">
        <v>3</v>
      </c>
      <c r="AA24" s="50" t="s">
        <v>45</v>
      </c>
      <c r="AB24" s="28"/>
      <c r="AC24" s="28"/>
      <c r="AD24" s="28"/>
      <c r="AE24" s="28"/>
      <c r="AF24" s="28"/>
      <c r="AG24" s="28"/>
      <c r="AH24" s="28"/>
      <c r="AI24" s="28"/>
      <c r="AJ24" s="28"/>
      <c r="AK24" s="28"/>
    </row>
    <row r="25" spans="2:37" ht="32" customHeight="1">
      <c r="C25" s="56" t="s">
        <v>46</v>
      </c>
      <c r="D25" s="28"/>
      <c r="E25" s="28"/>
      <c r="F25" s="28"/>
      <c r="G25" s="28"/>
      <c r="H25" s="28"/>
      <c r="I25" s="28"/>
      <c r="J25" s="28"/>
      <c r="K25" s="28"/>
      <c r="L25" s="28"/>
      <c r="O25" s="56" t="s">
        <v>47</v>
      </c>
      <c r="P25" s="28"/>
      <c r="Q25" s="28"/>
      <c r="R25" s="28"/>
      <c r="S25" s="28"/>
      <c r="T25" s="28"/>
      <c r="U25" s="28"/>
      <c r="V25" s="28"/>
      <c r="W25" s="28"/>
      <c r="X25" s="28"/>
      <c r="AA25" s="56" t="s">
        <v>48</v>
      </c>
      <c r="AB25" s="28"/>
      <c r="AC25" s="28"/>
      <c r="AD25" s="28"/>
      <c r="AE25" s="28"/>
      <c r="AF25" s="28"/>
      <c r="AG25" s="28"/>
      <c r="AH25" s="28"/>
      <c r="AI25" s="28"/>
      <c r="AJ25" s="28"/>
      <c r="AK25" s="28"/>
    </row>
    <row r="26" spans="2:37" ht="40" customHeight="1">
      <c r="C26" s="55" t="s">
        <v>49</v>
      </c>
      <c r="D26" s="28"/>
      <c r="E26" s="28"/>
      <c r="F26" s="28"/>
      <c r="G26" s="28"/>
      <c r="H26" s="28"/>
      <c r="I26" s="28"/>
      <c r="J26" s="28"/>
      <c r="K26" s="28"/>
      <c r="L26" s="28"/>
      <c r="O26" s="55" t="s">
        <v>50</v>
      </c>
      <c r="P26" s="28"/>
      <c r="Q26" s="28"/>
      <c r="R26" s="28"/>
      <c r="S26" s="28"/>
      <c r="T26" s="28"/>
      <c r="U26" s="28"/>
      <c r="V26" s="28"/>
      <c r="W26" s="28"/>
      <c r="X26" s="28"/>
      <c r="AA26" s="55" t="s">
        <v>51</v>
      </c>
      <c r="AB26" s="28"/>
      <c r="AC26" s="28"/>
      <c r="AD26" s="28"/>
      <c r="AE26" s="28"/>
      <c r="AF26" s="28"/>
      <c r="AG26" s="28"/>
      <c r="AH26" s="28"/>
      <c r="AI26" s="28"/>
      <c r="AJ26" s="28"/>
      <c r="AK26" s="28"/>
    </row>
    <row r="27" spans="2:37" ht="18" customHeight="1">
      <c r="AA27" s="47" t="s">
        <v>52</v>
      </c>
      <c r="AB27" s="28"/>
      <c r="AC27" s="28"/>
      <c r="AD27" s="28"/>
      <c r="AE27" s="28"/>
      <c r="AF27" s="28"/>
      <c r="AG27" s="28"/>
      <c r="AH27" s="28"/>
      <c r="AI27" s="28"/>
      <c r="AJ27" s="28"/>
      <c r="AK27" s="28"/>
    </row>
    <row r="28" spans="2:37" ht="24" customHeight="1"/>
    <row r="29" spans="2:37" ht="18" customHeight="1">
      <c r="B29" s="49" t="s">
        <v>53</v>
      </c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9" t="s">
        <v>54</v>
      </c>
      <c r="AD29" s="28"/>
      <c r="AE29" s="28"/>
      <c r="AF29" s="28"/>
      <c r="AG29" s="28"/>
      <c r="AH29" s="28"/>
      <c r="AI29" s="28"/>
      <c r="AJ29" s="28"/>
      <c r="AK29" s="28"/>
    </row>
    <row r="30" spans="2:37" ht="18" customHeight="1">
      <c r="B30" s="49" t="s">
        <v>55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</row>
  </sheetData>
  <sheetProtection sheet="1"/>
  <mergeCells count="31">
    <mergeCell ref="B30:AB30"/>
    <mergeCell ref="C26:L26"/>
    <mergeCell ref="U19:AC19"/>
    <mergeCell ref="AA25:AK25"/>
    <mergeCell ref="Z9:AK9"/>
    <mergeCell ref="B9:L9"/>
    <mergeCell ref="C25:L25"/>
    <mergeCell ref="N9:X9"/>
    <mergeCell ref="O26:X26"/>
    <mergeCell ref="O25:X25"/>
    <mergeCell ref="B2:X2"/>
    <mergeCell ref="Z4:AK4"/>
    <mergeCell ref="B8:L8"/>
    <mergeCell ref="N8:X8"/>
    <mergeCell ref="O24:X24"/>
    <mergeCell ref="B4:Y4"/>
    <mergeCell ref="B3:AB3"/>
    <mergeCell ref="Z7:AK7"/>
    <mergeCell ref="B7:L7"/>
    <mergeCell ref="B21:AK21"/>
    <mergeCell ref="N7:X7"/>
    <mergeCell ref="AC29:AK29"/>
    <mergeCell ref="AA27:AK27"/>
    <mergeCell ref="Z8:AK8"/>
    <mergeCell ref="B29:AB29"/>
    <mergeCell ref="AA24:AK24"/>
    <mergeCell ref="U11:AK11"/>
    <mergeCell ref="AD19:AK19"/>
    <mergeCell ref="B11:R11"/>
    <mergeCell ref="C24:L24"/>
    <mergeCell ref="AA26:AK26"/>
  </mergeCells>
  <phoneticPr fontId="44" type="noConversion"/>
  <hyperlinks>
    <hyperlink ref="AC29" location="'2 해법'!A1" display="세 곳을 어떻게 잇나 → 2 해법" xr:uid="{00000000-0004-0000-0100-000000000000}"/>
  </hyperlinks>
  <pageMargins left="0.3" right="0.3" top="0.3" bottom="0.3" header="0.5" footer="0.5"/>
  <pageSetup paperSize="9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BD9"/>
    <pageSetUpPr fitToPage="1"/>
  </sheetPr>
  <dimension ref="B1:AS42"/>
  <sheetViews>
    <sheetView showGridLines="0" showRowColHeaders="0" workbookViewId="0"/>
  </sheetViews>
  <sheetFormatPr baseColWidth="10" defaultColWidth="8.83203125" defaultRowHeight="17"/>
  <cols>
    <col min="1" max="1" width="2.5" customWidth="1"/>
    <col min="2" max="45" width="4" customWidth="1"/>
  </cols>
  <sheetData>
    <row r="1" spans="2:45" ht="12" customHeight="1"/>
    <row r="2" spans="2:45" ht="20" customHeight="1">
      <c r="B2" s="36" t="s">
        <v>56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</row>
    <row r="3" spans="2:45" ht="38" customHeight="1">
      <c r="B3" s="44" t="s">
        <v>57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</row>
    <row r="4" spans="2:45" ht="20" customHeight="1">
      <c r="B4" s="40" t="s">
        <v>58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</row>
    <row r="5" spans="2:45" ht="4" customHeight="1">
      <c r="B5" s="1"/>
      <c r="C5" s="1"/>
    </row>
    <row r="6" spans="2:45" ht="18" customHeight="1"/>
    <row r="7" spans="2:45" ht="30" customHeight="1">
      <c r="B7" s="69" t="s">
        <v>59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AB7" s="69" t="s">
        <v>60</v>
      </c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</row>
    <row r="8" spans="2:45" ht="36" customHeight="1">
      <c r="B8" s="67" t="s">
        <v>61</v>
      </c>
      <c r="C8" s="28"/>
      <c r="D8" s="28"/>
      <c r="E8" s="28"/>
      <c r="F8" s="28"/>
      <c r="G8" s="66" t="s">
        <v>62</v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72" t="s">
        <v>63</v>
      </c>
      <c r="U8" s="73"/>
      <c r="V8" s="73"/>
      <c r="W8" s="73"/>
      <c r="X8" s="73"/>
      <c r="Y8" s="73"/>
      <c r="Z8" s="73"/>
      <c r="AA8" s="73"/>
      <c r="AB8" s="67" t="s">
        <v>64</v>
      </c>
      <c r="AC8" s="28"/>
      <c r="AD8" s="28"/>
      <c r="AE8" s="28"/>
      <c r="AF8" s="28"/>
      <c r="AG8" s="66" t="s">
        <v>65</v>
      </c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</row>
    <row r="9" spans="2:45" ht="36" customHeight="1">
      <c r="B9" s="67" t="s">
        <v>66</v>
      </c>
      <c r="C9" s="28"/>
      <c r="D9" s="28"/>
      <c r="E9" s="28"/>
      <c r="F9" s="28"/>
      <c r="G9" s="66" t="s">
        <v>67</v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68" t="s">
        <v>68</v>
      </c>
      <c r="U9" s="28"/>
      <c r="V9" s="28"/>
      <c r="W9" s="28"/>
      <c r="X9" s="28"/>
      <c r="Y9" s="28"/>
      <c r="Z9" s="28"/>
      <c r="AA9" s="28"/>
      <c r="AB9" s="67" t="s">
        <v>69</v>
      </c>
      <c r="AC9" s="28"/>
      <c r="AD9" s="28"/>
      <c r="AE9" s="28"/>
      <c r="AF9" s="28"/>
      <c r="AG9" s="66" t="s">
        <v>70</v>
      </c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</row>
    <row r="10" spans="2:45" ht="36" customHeight="1">
      <c r="B10" s="67" t="s">
        <v>71</v>
      </c>
      <c r="C10" s="28"/>
      <c r="D10" s="28"/>
      <c r="E10" s="28"/>
      <c r="F10" s="28"/>
      <c r="G10" s="66" t="s">
        <v>72</v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AB10" s="67" t="s">
        <v>73</v>
      </c>
      <c r="AC10" s="28"/>
      <c r="AD10" s="28"/>
      <c r="AE10" s="28"/>
      <c r="AF10" s="28"/>
      <c r="AG10" s="66" t="s">
        <v>74</v>
      </c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</row>
    <row r="11" spans="2:45" ht="26" customHeight="1"/>
    <row r="12" spans="2:45" ht="22" customHeight="1">
      <c r="B12" s="43" t="s">
        <v>75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52" t="s">
        <v>76</v>
      </c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</row>
    <row r="13" spans="2:45" ht="8" customHeight="1"/>
    <row r="14" spans="2:45" ht="22" customHeight="1">
      <c r="AC14" s="7" t="s">
        <v>77</v>
      </c>
      <c r="AL14" s="7" t="s">
        <v>78</v>
      </c>
    </row>
    <row r="15" spans="2:45" ht="12" customHeight="1">
      <c r="AC15" s="8"/>
      <c r="AL15" s="8"/>
    </row>
    <row r="16" spans="2:45" ht="22" customHeight="1">
      <c r="AC16" s="8"/>
      <c r="AH16" s="7" t="s">
        <v>79</v>
      </c>
      <c r="AL16" s="8"/>
    </row>
    <row r="17" spans="2:45" ht="5" customHeight="1">
      <c r="AC17" s="8"/>
      <c r="AH17" s="9"/>
      <c r="AI17" s="10"/>
      <c r="AL17" s="8"/>
    </row>
    <row r="18" spans="2:45" ht="10" customHeight="1">
      <c r="AC18" s="8"/>
      <c r="AH18" s="8"/>
      <c r="AL18" s="8"/>
    </row>
    <row r="19" spans="2:45" ht="30" customHeight="1">
      <c r="B19" s="71" t="s">
        <v>80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64" t="s">
        <v>81</v>
      </c>
      <c r="AC19" s="28"/>
      <c r="AD19" s="28"/>
      <c r="AE19" s="28"/>
      <c r="AF19" s="28"/>
      <c r="AG19" s="28"/>
      <c r="AH19" s="28"/>
      <c r="AI19" s="28"/>
      <c r="AJ19" s="28"/>
      <c r="AK19" s="28"/>
      <c r="AL19" s="74" t="s">
        <v>82</v>
      </c>
      <c r="AM19" s="28"/>
      <c r="AN19" s="28"/>
      <c r="AO19" s="28"/>
      <c r="AP19" s="28"/>
      <c r="AQ19" s="28"/>
      <c r="AR19" s="28"/>
      <c r="AS19" s="28"/>
    </row>
    <row r="20" spans="2:45" ht="18" customHeight="1">
      <c r="B20" s="11" t="s">
        <v>83</v>
      </c>
      <c r="F20" s="11" t="s">
        <v>84</v>
      </c>
      <c r="J20" s="11" t="s">
        <v>85</v>
      </c>
      <c r="N20" s="11" t="s">
        <v>86</v>
      </c>
      <c r="R20" s="11" t="s">
        <v>87</v>
      </c>
      <c r="V20" s="11" t="s">
        <v>88</v>
      </c>
      <c r="Z20" s="11" t="s">
        <v>89</v>
      </c>
      <c r="AD20" s="11" t="s">
        <v>90</v>
      </c>
      <c r="AH20" s="11" t="s">
        <v>91</v>
      </c>
      <c r="AL20" s="11" t="s">
        <v>92</v>
      </c>
      <c r="AP20" s="11" t="s">
        <v>93</v>
      </c>
    </row>
    <row r="21" spans="2:45" ht="8" customHeight="1">
      <c r="Z21" s="12"/>
      <c r="AH21" s="12"/>
      <c r="AL21" s="12"/>
    </row>
    <row r="22" spans="2:45" ht="5" customHeight="1">
      <c r="Z22" s="12"/>
      <c r="AH22" s="13"/>
      <c r="AI22" s="1"/>
      <c r="AJ22" s="1"/>
      <c r="AK22" s="1"/>
      <c r="AL22" s="13"/>
      <c r="AM22" s="1"/>
      <c r="AN22" s="1"/>
      <c r="AO22" s="1"/>
    </row>
    <row r="23" spans="2:45" ht="22" customHeight="1">
      <c r="Z23" s="12"/>
      <c r="AH23" s="7" t="s">
        <v>94</v>
      </c>
      <c r="AL23" s="12"/>
    </row>
    <row r="24" spans="2:45" ht="5" customHeight="1">
      <c r="Z24" s="13"/>
      <c r="AA24" s="1"/>
      <c r="AB24" s="1"/>
      <c r="AC24" s="1"/>
      <c r="AL24" s="13"/>
      <c r="AM24" s="1"/>
      <c r="AN24" s="1"/>
      <c r="AO24" s="1"/>
    </row>
    <row r="25" spans="2:45" ht="22" customHeight="1">
      <c r="Z25" s="7" t="s">
        <v>95</v>
      </c>
      <c r="AL25" s="7" t="s">
        <v>96</v>
      </c>
    </row>
    <row r="26" spans="2:45" ht="26" customHeight="1"/>
    <row r="27" spans="2:45" ht="22" customHeight="1">
      <c r="B27" s="32" t="s">
        <v>97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2:45" ht="6" customHeight="1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</row>
    <row r="29" spans="2:45" ht="10" customHeight="1"/>
    <row r="30" spans="2:45" ht="26" customHeight="1">
      <c r="B30" s="5">
        <v>1</v>
      </c>
      <c r="C30" s="65" t="s">
        <v>98</v>
      </c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Q30" s="5">
        <v>2</v>
      </c>
      <c r="R30" s="65" t="s">
        <v>99</v>
      </c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F30" s="5">
        <v>3</v>
      </c>
      <c r="AG30" s="65" t="s">
        <v>100</v>
      </c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</row>
    <row r="31" spans="2:45" ht="34" customHeight="1">
      <c r="B31" s="62" t="s">
        <v>101</v>
      </c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Q31" s="62" t="s">
        <v>102</v>
      </c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F31" s="62" t="s">
        <v>103</v>
      </c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</row>
    <row r="32" spans="2:45" ht="24" customHeight="1">
      <c r="B32" s="59" t="s">
        <v>104</v>
      </c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Q32" s="59" t="s">
        <v>105</v>
      </c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F32" s="59" t="s">
        <v>106</v>
      </c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</row>
    <row r="33" spans="2:45" ht="34" customHeight="1">
      <c r="B33" s="62" t="s">
        <v>107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Q33" s="62" t="s">
        <v>108</v>
      </c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F33" s="62" t="s">
        <v>109</v>
      </c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</row>
    <row r="34" spans="2:45" ht="16" customHeight="1">
      <c r="B34" s="63" t="s">
        <v>110</v>
      </c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Q34" s="63" t="s">
        <v>111</v>
      </c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F34" s="63" t="s">
        <v>112</v>
      </c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</row>
    <row r="35" spans="2:45" ht="24" customHeight="1">
      <c r="B35" s="59" t="s">
        <v>113</v>
      </c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Q35" s="59" t="s">
        <v>114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F35" s="59" t="s">
        <v>115</v>
      </c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</row>
    <row r="36" spans="2:45" ht="34" customHeight="1">
      <c r="B36" s="62" t="s">
        <v>116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Q36" s="62" t="s">
        <v>117</v>
      </c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F36" s="62" t="s">
        <v>118</v>
      </c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</row>
    <row r="37" spans="2:45" ht="16" customHeight="1">
      <c r="B37" s="63" t="s">
        <v>119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Q37" s="63" t="s">
        <v>120</v>
      </c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F37" s="63" t="s">
        <v>121</v>
      </c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</row>
    <row r="38" spans="2:45" ht="20" customHeight="1"/>
    <row r="39" spans="2:45" ht="56" customHeight="1">
      <c r="B39" s="61" t="s">
        <v>122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Y39" s="61" t="s">
        <v>123</v>
      </c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</row>
    <row r="40" spans="2:45" ht="20" customHeight="1"/>
    <row r="41" spans="2:45" ht="18" customHeight="1">
      <c r="B41" s="49" t="s">
        <v>124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9" t="s">
        <v>125</v>
      </c>
      <c r="AJ41" s="28"/>
      <c r="AK41" s="28"/>
      <c r="AL41" s="28"/>
      <c r="AM41" s="28"/>
      <c r="AN41" s="28"/>
      <c r="AO41" s="28"/>
      <c r="AP41" s="28"/>
      <c r="AQ41" s="28"/>
      <c r="AR41" s="28"/>
      <c r="AS41" s="28"/>
    </row>
    <row r="42" spans="2:45" ht="18" customHeight="1">
      <c r="B42" s="49" t="s">
        <v>126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</sheetData>
  <sheetProtection sheet="1"/>
  <mergeCells count="54">
    <mergeCell ref="B3:AB3"/>
    <mergeCell ref="AL19:AS19"/>
    <mergeCell ref="Q32:AD32"/>
    <mergeCell ref="B36:O36"/>
    <mergeCell ref="B32:O32"/>
    <mergeCell ref="G10:S10"/>
    <mergeCell ref="B41:AH41"/>
    <mergeCell ref="B7:S7"/>
    <mergeCell ref="AF32:AS32"/>
    <mergeCell ref="AF35:AS35"/>
    <mergeCell ref="AF31:AS31"/>
    <mergeCell ref="B33:O33"/>
    <mergeCell ref="AB10:AF10"/>
    <mergeCell ref="B2:X2"/>
    <mergeCell ref="AG10:AS10"/>
    <mergeCell ref="AI41:AS41"/>
    <mergeCell ref="AB7:AS7"/>
    <mergeCell ref="Q35:AD35"/>
    <mergeCell ref="Q31:AD31"/>
    <mergeCell ref="B10:F10"/>
    <mergeCell ref="Q34:AD34"/>
    <mergeCell ref="G8:S8"/>
    <mergeCell ref="AG9:AS9"/>
    <mergeCell ref="B34:O34"/>
    <mergeCell ref="B37:O37"/>
    <mergeCell ref="B9:F9"/>
    <mergeCell ref="B19:AA19"/>
    <mergeCell ref="T8:AA8"/>
    <mergeCell ref="AB8:AF8"/>
    <mergeCell ref="B4:AS4"/>
    <mergeCell ref="B31:O31"/>
    <mergeCell ref="B42:AH42"/>
    <mergeCell ref="AB19:AK19"/>
    <mergeCell ref="Q33:AD33"/>
    <mergeCell ref="AG30:AS30"/>
    <mergeCell ref="G9:S9"/>
    <mergeCell ref="AG8:AS8"/>
    <mergeCell ref="B27:AS27"/>
    <mergeCell ref="B12:AD12"/>
    <mergeCell ref="C30:O30"/>
    <mergeCell ref="B8:F8"/>
    <mergeCell ref="AB9:AF9"/>
    <mergeCell ref="T9:AA9"/>
    <mergeCell ref="R30:AD30"/>
    <mergeCell ref="Q36:AD36"/>
    <mergeCell ref="AE12:AS12"/>
    <mergeCell ref="B35:O35"/>
    <mergeCell ref="B39:V39"/>
    <mergeCell ref="Y39:AS39"/>
    <mergeCell ref="AF36:AS36"/>
    <mergeCell ref="AF34:AS34"/>
    <mergeCell ref="AF37:AS37"/>
    <mergeCell ref="AF33:AS33"/>
    <mergeCell ref="Q37:AD37"/>
  </mergeCells>
  <phoneticPr fontId="44" type="noConversion"/>
  <hyperlinks>
    <hyperlink ref="AI41" location="'3 기대효과'!A1" display="이렇게 운영하면 → 3 기대효과" xr:uid="{00000000-0004-0000-0200-000000000000}"/>
  </hyperlinks>
  <pageMargins left="0.3" right="0.3" top="0.3" bottom="0.3" header="0.5" footer="0.5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D6BD9"/>
    <pageSetUpPr fitToPage="1"/>
  </sheetPr>
  <dimension ref="B1:AM32"/>
  <sheetViews>
    <sheetView showGridLines="0" showRowColHeaders="0" workbookViewId="0"/>
  </sheetViews>
  <sheetFormatPr baseColWidth="10" defaultColWidth="8.83203125" defaultRowHeight="17"/>
  <cols>
    <col min="1" max="1" width="2.5" customWidth="1"/>
    <col min="2" max="37" width="5.1640625" customWidth="1"/>
  </cols>
  <sheetData>
    <row r="1" spans="2:39" ht="12" customHeight="1"/>
    <row r="2" spans="2:39" ht="20" customHeight="1">
      <c r="B2" s="36" t="s">
        <v>4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AC2" s="90" t="s">
        <v>127</v>
      </c>
      <c r="AD2" s="28"/>
      <c r="AE2" s="28"/>
      <c r="AF2" s="28"/>
      <c r="AG2" s="28"/>
      <c r="AH2" s="28"/>
      <c r="AI2" s="28"/>
      <c r="AJ2" s="28"/>
      <c r="AK2" s="28"/>
    </row>
    <row r="3" spans="2:39" ht="38" customHeight="1">
      <c r="B3" s="44" t="str">
        <f>"원도심 방문객 100명 중 "&amp;TEXT(d_시나리오!$B$7,"0")&amp;"명이 참여하면"</f>
        <v>원도심 방문객 100명 중 2명이 참여하면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96" t="s">
        <v>128</v>
      </c>
      <c r="AD3" s="97"/>
      <c r="AE3" s="97"/>
      <c r="AF3" s="97"/>
      <c r="AG3" s="97"/>
      <c r="AH3" s="97"/>
      <c r="AI3" s="97"/>
      <c r="AJ3" s="97"/>
      <c r="AK3" s="98"/>
      <c r="AM3" s="15">
        <f>d_시나리오!$B$7</f>
        <v>2</v>
      </c>
    </row>
    <row r="4" spans="2:39" ht="20" customHeight="1">
      <c r="B4" s="40" t="s">
        <v>129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52" t="s">
        <v>130</v>
      </c>
      <c r="AC4" s="28"/>
      <c r="AD4" s="28"/>
      <c r="AE4" s="28"/>
      <c r="AF4" s="28"/>
      <c r="AG4" s="28"/>
      <c r="AH4" s="28"/>
      <c r="AI4" s="28"/>
      <c r="AJ4" s="28"/>
      <c r="AK4" s="28"/>
    </row>
    <row r="5" spans="2:39" ht="4" customHeight="1">
      <c r="B5" s="1"/>
      <c r="C5" s="1"/>
    </row>
    <row r="6" spans="2:39" ht="18" customHeight="1"/>
    <row r="7" spans="2:39" ht="26" customHeight="1">
      <c r="B7" s="84" t="s">
        <v>131</v>
      </c>
      <c r="C7" s="28"/>
      <c r="D7" s="28"/>
      <c r="E7" s="28"/>
      <c r="F7" s="28"/>
      <c r="G7" s="28"/>
      <c r="H7" s="28"/>
      <c r="I7" s="28"/>
      <c r="J7" s="28"/>
      <c r="K7" s="28"/>
      <c r="N7" s="87" t="s">
        <v>132</v>
      </c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93" t="s">
        <v>133</v>
      </c>
      <c r="AB7" s="88"/>
      <c r="AC7" s="88"/>
      <c r="AD7" s="88"/>
      <c r="AE7" s="88"/>
      <c r="AF7" s="88"/>
      <c r="AG7" s="88"/>
      <c r="AH7" s="88"/>
      <c r="AI7" s="88"/>
      <c r="AJ7" s="88"/>
      <c r="AK7" s="88"/>
    </row>
    <row r="8" spans="2:39" ht="26" customHeight="1">
      <c r="B8" s="16"/>
      <c r="C8" s="16"/>
      <c r="D8" s="16"/>
      <c r="E8" s="16"/>
      <c r="F8" s="16"/>
      <c r="G8" s="16"/>
      <c r="H8" s="16"/>
      <c r="I8" s="16"/>
      <c r="J8" s="16"/>
      <c r="K8" s="16"/>
      <c r="N8" s="5">
        <v>1</v>
      </c>
      <c r="O8" s="78" t="s">
        <v>134</v>
      </c>
      <c r="P8" s="28"/>
      <c r="Q8" s="28"/>
      <c r="R8" s="28"/>
      <c r="S8" s="28"/>
      <c r="T8" s="75" t="s">
        <v>73</v>
      </c>
      <c r="U8" s="28"/>
      <c r="V8" s="28"/>
      <c r="W8" s="28"/>
      <c r="X8" s="28"/>
      <c r="Y8" s="80" t="s">
        <v>135</v>
      </c>
      <c r="Z8" s="77">
        <v>83</v>
      </c>
      <c r="AA8" s="28"/>
      <c r="AB8" s="28"/>
      <c r="AC8" s="28"/>
      <c r="AD8" s="28"/>
      <c r="AE8" s="79" t="s">
        <v>136</v>
      </c>
      <c r="AF8" s="28"/>
      <c r="AG8" s="28"/>
      <c r="AH8" s="28"/>
      <c r="AI8" s="28"/>
      <c r="AJ8" s="28"/>
      <c r="AK8" s="28"/>
    </row>
    <row r="9" spans="2:39" ht="26" customHeight="1">
      <c r="B9" s="16"/>
      <c r="C9" s="16"/>
      <c r="D9" s="16"/>
      <c r="E9" s="16"/>
      <c r="F9" s="16"/>
      <c r="G9" s="16"/>
      <c r="H9" s="16"/>
      <c r="I9" s="16"/>
      <c r="J9" s="16"/>
      <c r="K9" s="16"/>
      <c r="N9" s="17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76"/>
      <c r="AF9" s="76"/>
      <c r="AG9" s="76"/>
      <c r="AH9" s="76"/>
      <c r="AI9" s="76"/>
      <c r="AJ9" s="76"/>
      <c r="AK9" s="76"/>
    </row>
    <row r="10" spans="2:39" ht="26" customHeight="1">
      <c r="B10" s="16"/>
      <c r="C10" s="16"/>
      <c r="D10" s="16"/>
      <c r="E10" s="16"/>
      <c r="F10" s="16"/>
      <c r="G10" s="16"/>
      <c r="H10" s="16"/>
      <c r="I10" s="16"/>
      <c r="J10" s="16"/>
      <c r="K10" s="16"/>
      <c r="N10" s="5">
        <v>2</v>
      </c>
      <c r="O10" s="78" t="s">
        <v>137</v>
      </c>
      <c r="P10" s="28"/>
      <c r="Q10" s="28"/>
      <c r="R10" s="28"/>
      <c r="S10" s="28"/>
      <c r="T10" s="94" t="s">
        <v>47</v>
      </c>
      <c r="U10" s="28"/>
      <c r="V10" s="28"/>
      <c r="W10" s="28"/>
      <c r="X10" s="28"/>
      <c r="Y10" s="80" t="s">
        <v>135</v>
      </c>
      <c r="Z10" s="81">
        <f>d_시나리오!$B$8</f>
        <v>109.86190552588189</v>
      </c>
      <c r="AA10" s="28"/>
      <c r="AB10" s="28"/>
      <c r="AC10" s="28"/>
      <c r="AD10" s="28"/>
      <c r="AE10" s="79" t="s">
        <v>138</v>
      </c>
      <c r="AF10" s="28"/>
      <c r="AG10" s="28"/>
      <c r="AH10" s="28"/>
      <c r="AI10" s="28"/>
      <c r="AJ10" s="28"/>
      <c r="AK10" s="28"/>
    </row>
    <row r="11" spans="2:39" ht="26" customHeight="1">
      <c r="B11" s="16"/>
      <c r="C11" s="16"/>
      <c r="D11" s="16"/>
      <c r="E11" s="16"/>
      <c r="F11" s="16"/>
      <c r="G11" s="16"/>
      <c r="H11" s="16"/>
      <c r="I11" s="16"/>
      <c r="J11" s="16"/>
      <c r="K11" s="16"/>
      <c r="N11" s="17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</row>
    <row r="12" spans="2:39" ht="26" customHeight="1">
      <c r="B12" s="16"/>
      <c r="C12" s="16"/>
      <c r="D12" s="16"/>
      <c r="E12" s="16"/>
      <c r="F12" s="16"/>
      <c r="G12" s="16"/>
      <c r="H12" s="16"/>
      <c r="I12" s="16"/>
      <c r="J12" s="16"/>
      <c r="K12" s="16"/>
      <c r="N12" s="5">
        <v>3</v>
      </c>
      <c r="O12" s="78" t="s">
        <v>139</v>
      </c>
      <c r="P12" s="28"/>
      <c r="Q12" s="28"/>
      <c r="R12" s="28"/>
      <c r="S12" s="28"/>
      <c r="T12" s="75" t="s">
        <v>140</v>
      </c>
      <c r="U12" s="28"/>
      <c r="V12" s="28"/>
      <c r="W12" s="28"/>
      <c r="X12" s="28"/>
      <c r="Y12" s="80" t="s">
        <v>135</v>
      </c>
      <c r="Z12" s="95">
        <f>d_시나리오!$B$9</f>
        <v>157.9524557357708</v>
      </c>
      <c r="AA12" s="28"/>
      <c r="AB12" s="28"/>
      <c r="AC12" s="28"/>
      <c r="AD12" s="28"/>
      <c r="AE12" s="79" t="str">
        <f>"2024년 대비 "&amp;TEXT(d_시나리오!$B$10,"+0.0%;−0.0%")&amp;" (지금 −16.8%)"</f>
        <v>2024년 대비 −13.9% (지금 −16.8%)</v>
      </c>
      <c r="AF12" s="28"/>
      <c r="AG12" s="28"/>
      <c r="AH12" s="28"/>
      <c r="AI12" s="28"/>
      <c r="AJ12" s="28"/>
      <c r="AK12" s="28"/>
    </row>
    <row r="13" spans="2:39" ht="26" customHeight="1">
      <c r="B13" s="16"/>
      <c r="C13" s="16"/>
      <c r="D13" s="16"/>
      <c r="E13" s="16"/>
      <c r="F13" s="16"/>
      <c r="G13" s="16"/>
      <c r="H13" s="16"/>
      <c r="I13" s="16"/>
      <c r="J13" s="16"/>
      <c r="K13" s="16"/>
      <c r="N13" s="17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</row>
    <row r="14" spans="2:39" ht="26" customHeight="1">
      <c r="B14" s="16"/>
      <c r="C14" s="16"/>
      <c r="D14" s="16"/>
      <c r="E14" s="16"/>
      <c r="F14" s="16"/>
      <c r="G14" s="16"/>
      <c r="H14" s="16"/>
      <c r="I14" s="16"/>
      <c r="J14" s="16"/>
      <c r="K14" s="16"/>
      <c r="N14" s="43" t="s">
        <v>141</v>
      </c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</row>
    <row r="15" spans="2:39" ht="26" customHeight="1"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spans="2:39" ht="26" customHeight="1">
      <c r="B16" s="16"/>
      <c r="C16" s="16"/>
      <c r="D16" s="16"/>
      <c r="E16" s="16"/>
      <c r="F16" s="16"/>
      <c r="G16" s="16"/>
      <c r="H16" s="16"/>
      <c r="I16" s="16"/>
      <c r="J16" s="16"/>
      <c r="K16" s="16"/>
    </row>
    <row r="17" spans="2:37" ht="26" customHeight="1">
      <c r="B17" s="16"/>
      <c r="C17" s="16"/>
      <c r="D17" s="16"/>
      <c r="E17" s="16"/>
      <c r="F17" s="16"/>
      <c r="G17" s="16"/>
      <c r="H17" s="16"/>
      <c r="I17" s="16"/>
      <c r="J17" s="16"/>
      <c r="K17" s="16"/>
    </row>
    <row r="18" spans="2:37" ht="20" customHeight="1">
      <c r="B18" s="49" t="str">
        <f>"■ 참여 "&amp;TEXT(d_시나리오!$B$7,"0")&amp;"명   □ 참여하지 않음"</f>
        <v>■ 참여 2명   □ 참여하지 않음</v>
      </c>
      <c r="C18" s="28"/>
      <c r="D18" s="28"/>
      <c r="E18" s="28"/>
      <c r="F18" s="28"/>
      <c r="G18" s="28"/>
      <c r="H18" s="28"/>
      <c r="I18" s="28"/>
      <c r="J18" s="28"/>
      <c r="K18" s="28"/>
    </row>
    <row r="19" spans="2:37" ht="48" customHeight="1">
      <c r="B19" s="58" t="s">
        <v>142</v>
      </c>
      <c r="C19" s="28"/>
      <c r="D19" s="28"/>
      <c r="E19" s="28"/>
      <c r="F19" s="28"/>
      <c r="G19" s="28"/>
      <c r="H19" s="28"/>
      <c r="I19" s="28"/>
      <c r="J19" s="28"/>
      <c r="K19" s="28"/>
      <c r="N19" s="85" t="str">
        <f>"146개 시·군 감소폭 순위 22위 → "&amp;TEXT(d_시나리오!$B$11,"0")&amp;"위  (다른 시·군이 그대로일 때)"</f>
        <v>146개 시·군 감소폭 순위 22위 → 27위  (다른 시·군이 그대로일 때)</v>
      </c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</row>
    <row r="20" spans="2:37" ht="10" customHeight="1"/>
    <row r="21" spans="2:37" ht="24" customHeight="1">
      <c r="B21" s="91" t="s">
        <v>143</v>
      </c>
      <c r="C21" s="92"/>
      <c r="D21" s="92"/>
      <c r="E21" s="92"/>
      <c r="F21" s="92"/>
      <c r="G21" s="92"/>
      <c r="H21" s="92"/>
      <c r="I21" s="92"/>
      <c r="J21" s="92"/>
      <c r="K21" s="92"/>
    </row>
    <row r="22" spans="2:37" ht="32" customHeight="1">
      <c r="B22" s="58" t="s">
        <v>144</v>
      </c>
      <c r="C22" s="28"/>
      <c r="D22" s="28"/>
      <c r="E22" s="28"/>
      <c r="F22" s="28"/>
      <c r="G22" s="28"/>
      <c r="H22" s="28"/>
      <c r="I22" s="28"/>
      <c r="J22" s="28"/>
      <c r="K22" s="28"/>
    </row>
    <row r="23" spans="2:37" ht="22" customHeight="1">
      <c r="B23" s="30" t="s">
        <v>145</v>
      </c>
      <c r="C23" s="28"/>
      <c r="D23" s="28"/>
      <c r="E23" s="28"/>
      <c r="F23" s="28"/>
      <c r="G23" s="82" t="str">
        <f>IF(d_시나리오!$B$7&gt;=2.5819,"넘음","아직")</f>
        <v>아직</v>
      </c>
      <c r="H23" s="28"/>
      <c r="I23" s="28"/>
      <c r="J23" s="83">
        <v>2.6</v>
      </c>
      <c r="K23" s="28"/>
    </row>
    <row r="24" spans="2:37" ht="22" customHeight="1">
      <c r="B24" s="30" t="s">
        <v>146</v>
      </c>
      <c r="C24" s="28"/>
      <c r="D24" s="28"/>
      <c r="E24" s="28"/>
      <c r="F24" s="28"/>
      <c r="G24" s="82" t="str">
        <f>IF(d_시나리오!$B$7&gt;=5.1637,"넘음","아직")</f>
        <v>아직</v>
      </c>
      <c r="H24" s="28"/>
      <c r="I24" s="28"/>
      <c r="J24" s="83">
        <v>5.2</v>
      </c>
      <c r="K24" s="28"/>
    </row>
    <row r="25" spans="2:37" ht="22" customHeight="1">
      <c r="B25" s="30" t="s">
        <v>147</v>
      </c>
      <c r="C25" s="28"/>
      <c r="D25" s="28"/>
      <c r="E25" s="28"/>
      <c r="F25" s="28"/>
      <c r="G25" s="82" t="str">
        <f>IF(d_시나리오!$B$7&gt;=10.3275,"넘음","아직")</f>
        <v>아직</v>
      </c>
      <c r="H25" s="28"/>
      <c r="I25" s="28"/>
      <c r="J25" s="83">
        <v>10.3</v>
      </c>
      <c r="K25" s="28"/>
    </row>
    <row r="26" spans="2:37" ht="18" customHeight="1">
      <c r="B26" s="42" t="s">
        <v>148</v>
      </c>
      <c r="C26" s="28"/>
      <c r="D26" s="28"/>
      <c r="E26" s="28"/>
      <c r="F26" s="28"/>
      <c r="G26" s="28"/>
      <c r="H26" s="28"/>
      <c r="I26" s="28"/>
      <c r="J26" s="28"/>
      <c r="K26" s="28"/>
    </row>
    <row r="27" spans="2:37" ht="22" customHeight="1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 spans="2:37" ht="12" customHeight="1"/>
    <row r="29" spans="2:37" ht="44" customHeight="1">
      <c r="B29" s="89" t="s">
        <v>149</v>
      </c>
      <c r="C29" s="28"/>
      <c r="D29" s="28"/>
      <c r="E29" s="28"/>
      <c r="F29" s="28"/>
      <c r="G29" s="86">
        <f>d_시나리오!$B$12</f>
        <v>1.560766739781877</v>
      </c>
      <c r="H29" s="28"/>
      <c r="I29" s="28"/>
      <c r="J29" s="28"/>
      <c r="K29" s="28"/>
      <c r="L29" s="28"/>
      <c r="M29" s="79" t="s">
        <v>150</v>
      </c>
      <c r="N29" s="28"/>
      <c r="O29" s="28"/>
      <c r="P29" s="28"/>
      <c r="Q29" s="28"/>
      <c r="R29" s="28"/>
      <c r="T29" s="40" t="s">
        <v>151</v>
      </c>
      <c r="U29" s="28"/>
      <c r="V29" s="28"/>
      <c r="W29" s="28"/>
      <c r="X29" s="28"/>
      <c r="Y29" s="66" t="s">
        <v>152</v>
      </c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</row>
    <row r="30" spans="2:37" ht="22" customHeight="1"/>
    <row r="31" spans="2:37" ht="18" customHeight="1">
      <c r="B31" s="49" t="s">
        <v>153</v>
      </c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9" t="s">
        <v>154</v>
      </c>
      <c r="AD31" s="28"/>
      <c r="AE31" s="28"/>
      <c r="AF31" s="28"/>
      <c r="AG31" s="28"/>
      <c r="AH31" s="28"/>
      <c r="AI31" s="28"/>
      <c r="AJ31" s="28"/>
      <c r="AK31" s="28"/>
    </row>
    <row r="32" spans="2:37" ht="18" customHeight="1">
      <c r="B32" s="49" t="s">
        <v>155</v>
      </c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</row>
  </sheetData>
  <sheetProtection sheet="1"/>
  <mergeCells count="48">
    <mergeCell ref="B3:AB3"/>
    <mergeCell ref="J23:K23"/>
    <mergeCell ref="B31:AB31"/>
    <mergeCell ref="AC3:AK3"/>
    <mergeCell ref="B19:K19"/>
    <mergeCell ref="B32:AB32"/>
    <mergeCell ref="B24:F24"/>
    <mergeCell ref="Y8:Y9"/>
    <mergeCell ref="G23:I23"/>
    <mergeCell ref="Z12:AD13"/>
    <mergeCell ref="AE8:AK9"/>
    <mergeCell ref="B7:K7"/>
    <mergeCell ref="B23:F23"/>
    <mergeCell ref="AC31:AK31"/>
    <mergeCell ref="B2:X2"/>
    <mergeCell ref="O10:S11"/>
    <mergeCell ref="N19:AK19"/>
    <mergeCell ref="G29:L29"/>
    <mergeCell ref="G25:I25"/>
    <mergeCell ref="N7:Z7"/>
    <mergeCell ref="AE10:AK11"/>
    <mergeCell ref="B29:F29"/>
    <mergeCell ref="B22:K22"/>
    <mergeCell ref="M29:R29"/>
    <mergeCell ref="AC2:AK2"/>
    <mergeCell ref="B18:K18"/>
    <mergeCell ref="B25:F25"/>
    <mergeCell ref="T29:X29"/>
    <mergeCell ref="AE12:AK13"/>
    <mergeCell ref="N14:AK14"/>
    <mergeCell ref="Y10:Y11"/>
    <mergeCell ref="Z10:AD11"/>
    <mergeCell ref="G24:I24"/>
    <mergeCell ref="J24:K24"/>
    <mergeCell ref="B26:K26"/>
    <mergeCell ref="Y12:Y13"/>
    <mergeCell ref="B21:K21"/>
    <mergeCell ref="J25:K25"/>
    <mergeCell ref="T10:X11"/>
    <mergeCell ref="Y29:AK29"/>
    <mergeCell ref="T12:X13"/>
    <mergeCell ref="T8:X9"/>
    <mergeCell ref="Z8:AD9"/>
    <mergeCell ref="O12:S13"/>
    <mergeCell ref="B4:AA4"/>
    <mergeCell ref="O8:S9"/>
    <mergeCell ref="AB4:AK4"/>
    <mergeCell ref="AA7:AK7"/>
  </mergeCells>
  <phoneticPr fontId="44" type="noConversion"/>
  <conditionalFormatting sqref="B8:K17">
    <cfRule type="expression" dxfId="9" priority="1">
      <formula>((ROW()-8)*10+COLUMN()-1)&lt;=$AM$3</formula>
    </cfRule>
  </conditionalFormatting>
  <conditionalFormatting sqref="G23:K23">
    <cfRule type="expression" dxfId="8" priority="2">
      <formula>$AM$3&gt;=2.5819</formula>
    </cfRule>
  </conditionalFormatting>
  <conditionalFormatting sqref="G24:K24">
    <cfRule type="expression" dxfId="7" priority="3">
      <formula>$AM$3&gt;=5.1637</formula>
    </cfRule>
  </conditionalFormatting>
  <conditionalFormatting sqref="G25:K25">
    <cfRule type="expression" dxfId="6" priority="4">
      <formula>$AM$3&gt;=10.3275</formula>
    </cfRule>
  </conditionalFormatting>
  <dataValidations count="1">
    <dataValidation type="list" promptTitle="참여율" prompt="기준 · 흥행 · 목표 중에서 고른다" sqref="AC3" xr:uid="{00000000-0002-0000-0300-000000000000}">
      <formula1>"기준(100명 중 2명),흥행(100명 중 4명),목표(100명 중 10명)"</formula1>
    </dataValidation>
  </dataValidations>
  <hyperlinks>
    <hyperlink ref="AC31" location="'4 시·군 진단'!A1" display="안동만의 문제인가 → 4 시·군 진단" xr:uid="{00000000-0004-0000-0300-000000000000}"/>
  </hyperlinks>
  <pageMargins left="0.3" right="0.3" top="0.3" bottom="0.3" header="0.5" footer="0.5"/>
  <pageSetup paperSize="9" orientation="landscape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D6BD9"/>
    <pageSetUpPr fitToPage="1"/>
  </sheetPr>
  <dimension ref="B1:AM52"/>
  <sheetViews>
    <sheetView showGridLines="0" showRowColHeaders="0" workbookViewId="0"/>
  </sheetViews>
  <sheetFormatPr baseColWidth="10" defaultColWidth="8.83203125" defaultRowHeight="17"/>
  <cols>
    <col min="1" max="1" width="2.5" customWidth="1"/>
    <col min="2" max="37" width="5.1640625" customWidth="1"/>
  </cols>
  <sheetData>
    <row r="1" spans="2:39" ht="12" customHeight="1"/>
    <row r="2" spans="2:39" ht="20" customHeight="1">
      <c r="B2" s="36" t="s">
        <v>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AC2" s="90" t="s">
        <v>156</v>
      </c>
      <c r="AD2" s="28"/>
      <c r="AE2" s="28"/>
      <c r="AF2" s="28"/>
      <c r="AG2" s="28"/>
      <c r="AH2" s="28"/>
      <c r="AI2" s="28"/>
      <c r="AJ2" s="28"/>
      <c r="AK2" s="28"/>
    </row>
    <row r="3" spans="2:39" ht="38" customHeight="1">
      <c r="B3" s="44" t="str">
        <f>d_선택!$B$11</f>
        <v>안동과 같은 문제를 가진 곳 전국 6곳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112" t="s">
        <v>157</v>
      </c>
      <c r="AD3" s="97"/>
      <c r="AE3" s="97"/>
      <c r="AF3" s="97"/>
      <c r="AG3" s="97"/>
      <c r="AH3" s="97"/>
      <c r="AI3" s="97"/>
      <c r="AJ3" s="97"/>
      <c r="AK3" s="98"/>
      <c r="AM3" s="15">
        <f>d_선택!$B$16</f>
        <v>84.722222222222214</v>
      </c>
    </row>
    <row r="4" spans="2:39" ht="20" customHeight="1">
      <c r="B4" s="40" t="s">
        <v>158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52" t="s">
        <v>130</v>
      </c>
      <c r="AC4" s="28"/>
      <c r="AD4" s="28"/>
      <c r="AE4" s="28"/>
      <c r="AF4" s="28"/>
      <c r="AG4" s="28"/>
      <c r="AH4" s="28"/>
      <c r="AI4" s="28"/>
      <c r="AJ4" s="28"/>
      <c r="AK4" s="28"/>
      <c r="AM4" s="15">
        <f>d_선택!$B$17</f>
        <v>82.638888888888886</v>
      </c>
    </row>
    <row r="5" spans="2:39" ht="4" customHeight="1">
      <c r="B5" s="1"/>
      <c r="C5" s="1"/>
      <c r="AM5" s="15">
        <f>d_선택!$B$18</f>
        <v>25.694444444444439</v>
      </c>
    </row>
    <row r="6" spans="2:39" ht="18" customHeight="1">
      <c r="AM6" s="15">
        <f>d_선택!$B$19</f>
        <v>22.916666666666661</v>
      </c>
    </row>
    <row r="7" spans="2:39" ht="20" customHeight="1">
      <c r="B7" s="46" t="s">
        <v>159</v>
      </c>
      <c r="C7" s="28"/>
      <c r="D7" s="28"/>
      <c r="E7" s="28"/>
      <c r="F7" s="28"/>
      <c r="G7" s="28"/>
      <c r="H7" s="28"/>
      <c r="I7" s="28"/>
      <c r="J7" s="28"/>
      <c r="K7" s="45" t="s">
        <v>160</v>
      </c>
      <c r="L7" s="28"/>
      <c r="M7" s="28"/>
      <c r="N7" s="28"/>
      <c r="O7" s="28"/>
      <c r="P7" s="28"/>
      <c r="Q7" s="28"/>
      <c r="R7" s="28"/>
      <c r="S7" s="28"/>
      <c r="T7" s="45" t="s">
        <v>161</v>
      </c>
      <c r="U7" s="28"/>
      <c r="V7" s="28"/>
      <c r="W7" s="28"/>
      <c r="X7" s="28"/>
      <c r="Y7" s="28"/>
      <c r="Z7" s="28"/>
      <c r="AA7" s="28"/>
      <c r="AB7" s="28"/>
      <c r="AC7" s="45" t="s">
        <v>162</v>
      </c>
      <c r="AD7" s="28"/>
      <c r="AE7" s="28"/>
      <c r="AF7" s="28"/>
      <c r="AG7" s="28"/>
      <c r="AH7" s="28"/>
      <c r="AI7" s="28"/>
      <c r="AJ7" s="28"/>
      <c r="AK7" s="28"/>
      <c r="AM7" s="15">
        <f>d_선택!$B$12</f>
        <v>-0.16790570949358949</v>
      </c>
    </row>
    <row r="8" spans="2:39" ht="44" customHeight="1">
      <c r="B8" s="53">
        <f>d_선택!$B$12</f>
        <v>-0.16790570949358949</v>
      </c>
      <c r="C8" s="28"/>
      <c r="D8" s="28"/>
      <c r="E8" s="28"/>
      <c r="F8" s="28"/>
      <c r="G8" s="28"/>
      <c r="H8" s="28"/>
      <c r="I8" s="28"/>
      <c r="J8" s="28"/>
      <c r="K8" s="106">
        <f>d_선택!$B$23</f>
        <v>5.64163196573432E-2</v>
      </c>
      <c r="L8" s="28"/>
      <c r="M8" s="28"/>
      <c r="N8" s="28"/>
      <c r="O8" s="28"/>
      <c r="P8" s="28"/>
      <c r="Q8" s="28"/>
      <c r="R8" s="28"/>
      <c r="S8" s="28"/>
      <c r="T8" s="108">
        <f>d_선택!$B$20</f>
        <v>53.99305555555555</v>
      </c>
      <c r="U8" s="28"/>
      <c r="V8" s="28"/>
      <c r="W8" s="28"/>
      <c r="X8" s="28"/>
      <c r="Y8" s="28"/>
      <c r="Z8" s="28"/>
      <c r="AA8" s="28"/>
      <c r="AB8" s="28"/>
      <c r="AC8" s="103" t="str">
        <f>d_선택!$B$8</f>
        <v>체험·문화 · 숙박일수</v>
      </c>
      <c r="AD8" s="28"/>
      <c r="AE8" s="28"/>
      <c r="AF8" s="28"/>
      <c r="AG8" s="28"/>
      <c r="AH8" s="28"/>
      <c r="AI8" s="28"/>
      <c r="AJ8" s="28"/>
      <c r="AK8" s="28"/>
      <c r="AM8" s="15" t="str">
        <f>d_선택!$B$2</f>
        <v>안동시</v>
      </c>
    </row>
    <row r="9" spans="2:39" ht="20" customHeight="1">
      <c r="B9" s="58" t="str">
        <f>"146곳 중 감소폭 "&amp;d_선택!$B$22&amp;"위 · 전국 중앙 −2.0%"</f>
        <v>146곳 중 감소폭 22위 · 전국 중앙 −2.0%</v>
      </c>
      <c r="C9" s="28"/>
      <c r="D9" s="28"/>
      <c r="E9" s="28"/>
      <c r="F9" s="28"/>
      <c r="G9" s="28"/>
      <c r="H9" s="28"/>
      <c r="I9" s="28"/>
      <c r="J9" s="28"/>
      <c r="K9" s="57" t="s">
        <v>163</v>
      </c>
      <c r="L9" s="28"/>
      <c r="M9" s="28"/>
      <c r="N9" s="28"/>
      <c r="O9" s="28"/>
      <c r="P9" s="28"/>
      <c r="Q9" s="28"/>
      <c r="R9" s="28"/>
      <c r="S9" s="28"/>
      <c r="T9" s="57" t="str">
        <f>"144곳 중 "&amp;d_선택!$B$21&amp;"위 (100에 가까울수록 문제)"</f>
        <v>144곳 중 57위 (100에 가까울수록 문제)</v>
      </c>
      <c r="U9" s="28"/>
      <c r="V9" s="28"/>
      <c r="W9" s="28"/>
      <c r="X9" s="28"/>
      <c r="Y9" s="28"/>
      <c r="Z9" s="28"/>
      <c r="AA9" s="28"/>
      <c r="AB9" s="28"/>
      <c r="AC9" s="57" t="str">
        <f>"같은 유형 "&amp;d_선택!$B$10&amp;"곳"</f>
        <v>같은 유형 7곳</v>
      </c>
      <c r="AD9" s="28"/>
      <c r="AE9" s="28"/>
      <c r="AF9" s="28"/>
      <c r="AG9" s="28"/>
      <c r="AH9" s="28"/>
      <c r="AI9" s="28"/>
      <c r="AJ9" s="28"/>
      <c r="AK9" s="28"/>
    </row>
    <row r="10" spans="2:39" ht="24" customHeight="1"/>
    <row r="11" spans="2:39" ht="22" customHeight="1">
      <c r="B11" s="43" t="s">
        <v>164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R11" s="101" t="str">
        <f>d_선택!$B$28</f>
        <v>안동의 네 지표</v>
      </c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</row>
    <row r="12" spans="2:39" ht="18" customHeight="1">
      <c r="R12" s="42" t="s">
        <v>165</v>
      </c>
      <c r="S12" s="28"/>
      <c r="T12" s="28"/>
      <c r="U12" s="28"/>
      <c r="V12" s="28"/>
      <c r="W12" s="28"/>
      <c r="X12" s="28"/>
      <c r="Y12" s="28"/>
      <c r="Z12" s="28"/>
      <c r="AA12" s="28"/>
      <c r="AB12" s="42" t="s">
        <v>166</v>
      </c>
      <c r="AC12" s="28"/>
      <c r="AD12" s="28"/>
      <c r="AE12" s="28"/>
      <c r="AF12" s="28"/>
      <c r="AG12" s="111" t="s">
        <v>167</v>
      </c>
      <c r="AH12" s="28"/>
      <c r="AI12" s="28"/>
      <c r="AJ12" s="28"/>
      <c r="AK12" s="28"/>
    </row>
    <row r="13" spans="2:39" ht="20" customHeight="1">
      <c r="R13" s="85" t="s">
        <v>168</v>
      </c>
      <c r="S13" s="28"/>
      <c r="T13" s="28"/>
      <c r="U13" s="28"/>
      <c r="V13" s="28"/>
      <c r="W13" s="28"/>
      <c r="X13" s="90" t="str">
        <f>TEXT(d_선택!$B$12,"+0.0%;−0.0%")&amp;" (중앙 −2.0%) · 문제 백분위 "&amp;TEXT(d_선택!$B$16,"0")</f>
        <v>−16.8% (중앙 −2.0%) · 문제 백분위 85</v>
      </c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</row>
    <row r="14" spans="2:39" ht="20" customHeight="1">
      <c r="R14" s="18" t="str">
        <f>IF(INT(MIN($AM$3,99.99)/5)=0,"●","")</f>
        <v/>
      </c>
      <c r="S14" s="18" t="str">
        <f>IF(INT(MIN($AM$3,99.99)/5)=1,"●","")</f>
        <v/>
      </c>
      <c r="T14" s="18" t="str">
        <f>IF(INT(MIN($AM$3,99.99)/5)=2,"●","")</f>
        <v/>
      </c>
      <c r="U14" s="18" t="str">
        <f>IF(INT(MIN($AM$3,99.99)/5)=3,"●","")</f>
        <v/>
      </c>
      <c r="V14" s="18" t="str">
        <f>IF(INT(MIN($AM$3,99.99)/5)=4,"●","")</f>
        <v/>
      </c>
      <c r="W14" s="18" t="str">
        <f>IF(INT(MIN($AM$3,99.99)/5)=5,"●","")</f>
        <v/>
      </c>
      <c r="X14" s="18" t="str">
        <f>IF(INT(MIN($AM$3,99.99)/5)=6,"●","")</f>
        <v/>
      </c>
      <c r="Y14" s="18" t="str">
        <f>IF(INT(MIN($AM$3,99.99)/5)=7,"●","")</f>
        <v/>
      </c>
      <c r="Z14" s="18" t="str">
        <f>IF(INT(MIN($AM$3,99.99)/5)=8,"●","")</f>
        <v/>
      </c>
      <c r="AA14" s="18" t="str">
        <f>IF(INT(MIN($AM$3,99.99)/5)=9,"●","")</f>
        <v/>
      </c>
      <c r="AB14" s="19" t="str">
        <f>IF(INT(MIN($AM$3,99.99)/5)=10,"●","")</f>
        <v/>
      </c>
      <c r="AC14" s="18" t="str">
        <f>IF(INT(MIN($AM$3,99.99)/5)=11,"●","")</f>
        <v/>
      </c>
      <c r="AD14" s="18" t="str">
        <f>IF(INT(MIN($AM$3,99.99)/5)=12,"●","")</f>
        <v/>
      </c>
      <c r="AE14" s="18" t="str">
        <f>IF(INT(MIN($AM$3,99.99)/5)=13,"●","")</f>
        <v/>
      </c>
      <c r="AF14" s="18" t="str">
        <f>IF(INT(MIN($AM$3,99.99)/5)=14,"●","")</f>
        <v/>
      </c>
      <c r="AG14" s="20" t="str">
        <f>IF(INT(MIN($AM$3,99.99)/5)=15,"●","")</f>
        <v/>
      </c>
      <c r="AH14" s="20" t="str">
        <f>IF(INT(MIN($AM$3,99.99)/5)=16,"●","")</f>
        <v>●</v>
      </c>
      <c r="AI14" s="20" t="str">
        <f>IF(INT(MIN($AM$3,99.99)/5)=17,"●","")</f>
        <v/>
      </c>
      <c r="AJ14" s="20" t="str">
        <f>IF(INT(MIN($AM$3,99.99)/5)=18,"●","")</f>
        <v/>
      </c>
      <c r="AK14" s="20" t="str">
        <f>IF(INT(MIN($AM$3,99.99)/5)=19,"●","")</f>
        <v/>
      </c>
    </row>
    <row r="15" spans="2:39" ht="20" customHeight="1">
      <c r="R15" s="85" t="s">
        <v>169</v>
      </c>
      <c r="S15" s="28"/>
      <c r="T15" s="28"/>
      <c r="U15" s="28"/>
      <c r="V15" s="28"/>
      <c r="W15" s="28"/>
      <c r="X15" s="90" t="str">
        <f>TEXT(d_선택!$B$13,"0.00")&amp;"일 (중앙 3.56일) · 문제 백분위 "&amp;TEXT(d_선택!$B$17,"0")</f>
        <v>3.07일 (중앙 3.56일) · 문제 백분위 83</v>
      </c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</row>
    <row r="16" spans="2:39" ht="20" customHeight="1">
      <c r="R16" s="18" t="str">
        <f>IF(INT(MIN($AM$4,99.99)/5)=0,"●","")</f>
        <v/>
      </c>
      <c r="S16" s="18" t="str">
        <f>IF(INT(MIN($AM$4,99.99)/5)=1,"●","")</f>
        <v/>
      </c>
      <c r="T16" s="18" t="str">
        <f>IF(INT(MIN($AM$4,99.99)/5)=2,"●","")</f>
        <v/>
      </c>
      <c r="U16" s="18" t="str">
        <f>IF(INT(MIN($AM$4,99.99)/5)=3,"●","")</f>
        <v/>
      </c>
      <c r="V16" s="18" t="str">
        <f>IF(INT(MIN($AM$4,99.99)/5)=4,"●","")</f>
        <v/>
      </c>
      <c r="W16" s="18" t="str">
        <f>IF(INT(MIN($AM$4,99.99)/5)=5,"●","")</f>
        <v/>
      </c>
      <c r="X16" s="18" t="str">
        <f>IF(INT(MIN($AM$4,99.99)/5)=6,"●","")</f>
        <v/>
      </c>
      <c r="Y16" s="18" t="str">
        <f>IF(INT(MIN($AM$4,99.99)/5)=7,"●","")</f>
        <v/>
      </c>
      <c r="Z16" s="18" t="str">
        <f>IF(INT(MIN($AM$4,99.99)/5)=8,"●","")</f>
        <v/>
      </c>
      <c r="AA16" s="18" t="str">
        <f>IF(INT(MIN($AM$4,99.99)/5)=9,"●","")</f>
        <v/>
      </c>
      <c r="AB16" s="19" t="str">
        <f>IF(INT(MIN($AM$4,99.99)/5)=10,"●","")</f>
        <v/>
      </c>
      <c r="AC16" s="18" t="str">
        <f>IF(INT(MIN($AM$4,99.99)/5)=11,"●","")</f>
        <v/>
      </c>
      <c r="AD16" s="18" t="str">
        <f>IF(INT(MIN($AM$4,99.99)/5)=12,"●","")</f>
        <v/>
      </c>
      <c r="AE16" s="18" t="str">
        <f>IF(INT(MIN($AM$4,99.99)/5)=13,"●","")</f>
        <v/>
      </c>
      <c r="AF16" s="18" t="str">
        <f>IF(INT(MIN($AM$4,99.99)/5)=14,"●","")</f>
        <v/>
      </c>
      <c r="AG16" s="20" t="str">
        <f>IF(INT(MIN($AM$4,99.99)/5)=15,"●","")</f>
        <v/>
      </c>
      <c r="AH16" s="20" t="str">
        <f>IF(INT(MIN($AM$4,99.99)/5)=16,"●","")</f>
        <v>●</v>
      </c>
      <c r="AI16" s="20" t="str">
        <f>IF(INT(MIN($AM$4,99.99)/5)=17,"●","")</f>
        <v/>
      </c>
      <c r="AJ16" s="20" t="str">
        <f>IF(INT(MIN($AM$4,99.99)/5)=18,"●","")</f>
        <v/>
      </c>
      <c r="AK16" s="20" t="str">
        <f>IF(INT(MIN($AM$4,99.99)/5)=19,"●","")</f>
        <v/>
      </c>
    </row>
    <row r="17" spans="18:37" ht="20" customHeight="1">
      <c r="R17" s="85" t="s">
        <v>170</v>
      </c>
      <c r="S17" s="28"/>
      <c r="T17" s="28"/>
      <c r="U17" s="28"/>
      <c r="V17" s="28"/>
      <c r="W17" s="28"/>
      <c r="X17" s="90" t="str">
        <f>TEXT(d_선택!$B$14,"0.00")&amp;" (중앙 0.52) · 문제 백분위 "&amp;TEXT(d_선택!$B$18,"0")</f>
        <v>0.56 (중앙 0.52) · 문제 백분위 26</v>
      </c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</row>
    <row r="18" spans="18:37" ht="20" customHeight="1">
      <c r="R18" s="18" t="str">
        <f>IF(INT(MIN($AM$5,99.99)/5)=0,"●","")</f>
        <v/>
      </c>
      <c r="S18" s="18" t="str">
        <f>IF(INT(MIN($AM$5,99.99)/5)=1,"●","")</f>
        <v/>
      </c>
      <c r="T18" s="18" t="str">
        <f>IF(INT(MIN($AM$5,99.99)/5)=2,"●","")</f>
        <v/>
      </c>
      <c r="U18" s="18" t="str">
        <f>IF(INT(MIN($AM$5,99.99)/5)=3,"●","")</f>
        <v/>
      </c>
      <c r="V18" s="18" t="str">
        <f>IF(INT(MIN($AM$5,99.99)/5)=4,"●","")</f>
        <v/>
      </c>
      <c r="W18" s="18" t="str">
        <f>IF(INT(MIN($AM$5,99.99)/5)=5,"●","")</f>
        <v>●</v>
      </c>
      <c r="X18" s="18" t="str">
        <f>IF(INT(MIN($AM$5,99.99)/5)=6,"●","")</f>
        <v/>
      </c>
      <c r="Y18" s="18" t="str">
        <f>IF(INT(MIN($AM$5,99.99)/5)=7,"●","")</f>
        <v/>
      </c>
      <c r="Z18" s="18" t="str">
        <f>IF(INT(MIN($AM$5,99.99)/5)=8,"●","")</f>
        <v/>
      </c>
      <c r="AA18" s="18" t="str">
        <f>IF(INT(MIN($AM$5,99.99)/5)=9,"●","")</f>
        <v/>
      </c>
      <c r="AB18" s="19" t="str">
        <f>IF(INT(MIN($AM$5,99.99)/5)=10,"●","")</f>
        <v/>
      </c>
      <c r="AC18" s="18" t="str">
        <f>IF(INT(MIN($AM$5,99.99)/5)=11,"●","")</f>
        <v/>
      </c>
      <c r="AD18" s="18" t="str">
        <f>IF(INT(MIN($AM$5,99.99)/5)=12,"●","")</f>
        <v/>
      </c>
      <c r="AE18" s="18" t="str">
        <f>IF(INT(MIN($AM$5,99.99)/5)=13,"●","")</f>
        <v/>
      </c>
      <c r="AF18" s="18" t="str">
        <f>IF(INT(MIN($AM$5,99.99)/5)=14,"●","")</f>
        <v/>
      </c>
      <c r="AG18" s="20" t="str">
        <f>IF(INT(MIN($AM$5,99.99)/5)=15,"●","")</f>
        <v/>
      </c>
      <c r="AH18" s="20" t="str">
        <f>IF(INT(MIN($AM$5,99.99)/5)=16,"●","")</f>
        <v/>
      </c>
      <c r="AI18" s="20" t="str">
        <f>IF(INT(MIN($AM$5,99.99)/5)=17,"●","")</f>
        <v/>
      </c>
      <c r="AJ18" s="20" t="str">
        <f>IF(INT(MIN($AM$5,99.99)/5)=18,"●","")</f>
        <v/>
      </c>
      <c r="AK18" s="20" t="str">
        <f>IF(INT(MIN($AM$5,99.99)/5)=19,"●","")</f>
        <v/>
      </c>
    </row>
    <row r="19" spans="18:37" ht="20" customHeight="1">
      <c r="R19" s="85" t="s">
        <v>171</v>
      </c>
      <c r="S19" s="28"/>
      <c r="T19" s="28"/>
      <c r="U19" s="28"/>
      <c r="V19" s="28"/>
      <c r="W19" s="28"/>
      <c r="X19" s="90" t="str">
        <f>TEXT(d_선택!$B$15,"0.0%")&amp;" (중앙 9.2%) · 문제 백분위 "&amp;TEXT(d_선택!$B$19,"0")</f>
        <v>10.5% (중앙 9.2%) · 문제 백분위 23</v>
      </c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</row>
    <row r="20" spans="18:37" ht="20" customHeight="1">
      <c r="R20" s="18" t="str">
        <f>IF(INT(MIN($AM$6,99.99)/5)=0,"●","")</f>
        <v/>
      </c>
      <c r="S20" s="18" t="str">
        <f>IF(INT(MIN($AM$6,99.99)/5)=1,"●","")</f>
        <v/>
      </c>
      <c r="T20" s="18" t="str">
        <f>IF(INT(MIN($AM$6,99.99)/5)=2,"●","")</f>
        <v/>
      </c>
      <c r="U20" s="18" t="str">
        <f>IF(INT(MIN($AM$6,99.99)/5)=3,"●","")</f>
        <v/>
      </c>
      <c r="V20" s="18" t="str">
        <f>IF(INT(MIN($AM$6,99.99)/5)=4,"●","")</f>
        <v>●</v>
      </c>
      <c r="W20" s="18" t="str">
        <f>IF(INT(MIN($AM$6,99.99)/5)=5,"●","")</f>
        <v/>
      </c>
      <c r="X20" s="18" t="str">
        <f>IF(INT(MIN($AM$6,99.99)/5)=6,"●","")</f>
        <v/>
      </c>
      <c r="Y20" s="18" t="str">
        <f>IF(INT(MIN($AM$6,99.99)/5)=7,"●","")</f>
        <v/>
      </c>
      <c r="Z20" s="18" t="str">
        <f>IF(INT(MIN($AM$6,99.99)/5)=8,"●","")</f>
        <v/>
      </c>
      <c r="AA20" s="18" t="str">
        <f>IF(INT(MIN($AM$6,99.99)/5)=9,"●","")</f>
        <v/>
      </c>
      <c r="AB20" s="19" t="str">
        <f>IF(INT(MIN($AM$6,99.99)/5)=10,"●","")</f>
        <v/>
      </c>
      <c r="AC20" s="18" t="str">
        <f>IF(INT(MIN($AM$6,99.99)/5)=11,"●","")</f>
        <v/>
      </c>
      <c r="AD20" s="18" t="str">
        <f>IF(INT(MIN($AM$6,99.99)/5)=12,"●","")</f>
        <v/>
      </c>
      <c r="AE20" s="18" t="str">
        <f>IF(INT(MIN($AM$6,99.99)/5)=13,"●","")</f>
        <v/>
      </c>
      <c r="AF20" s="18" t="str">
        <f>IF(INT(MIN($AM$6,99.99)/5)=14,"●","")</f>
        <v/>
      </c>
      <c r="AG20" s="20" t="str">
        <f>IF(INT(MIN($AM$6,99.99)/5)=15,"●","")</f>
        <v/>
      </c>
      <c r="AH20" s="20" t="str">
        <f>IF(INT(MIN($AM$6,99.99)/5)=16,"●","")</f>
        <v/>
      </c>
      <c r="AI20" s="20" t="str">
        <f>IF(INT(MIN($AM$6,99.99)/5)=17,"●","")</f>
        <v/>
      </c>
      <c r="AJ20" s="20" t="str">
        <f>IF(INT(MIN($AM$6,99.99)/5)=18,"●","")</f>
        <v/>
      </c>
      <c r="AK20" s="20" t="str">
        <f>IF(INT(MIN($AM$6,99.99)/5)=19,"●","")</f>
        <v/>
      </c>
    </row>
    <row r="21" spans="18:37" ht="16" customHeight="1">
      <c r="R21" s="105" t="s">
        <v>172</v>
      </c>
      <c r="S21" s="28"/>
      <c r="T21" s="28"/>
      <c r="U21" s="28"/>
      <c r="V21" s="28"/>
      <c r="W21" s="28"/>
      <c r="AB21" s="105" t="s">
        <v>173</v>
      </c>
      <c r="AC21" s="28"/>
      <c r="AG21" s="107" t="s">
        <v>174</v>
      </c>
      <c r="AH21" s="28"/>
      <c r="AI21" s="28"/>
      <c r="AJ21" s="28"/>
      <c r="AK21" s="28"/>
    </row>
    <row r="22" spans="18:37" ht="14" customHeight="1"/>
    <row r="23" spans="18:37" ht="22" customHeight="1">
      <c r="R23" s="101" t="str">
        <f>d_선택!$B$26&amp;"  ("&amp;d_선택!$B$9&amp;")"</f>
        <v>같은 유형 7곳  (체험·문화 · 숙박일수)</v>
      </c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</row>
    <row r="24" spans="18:37" ht="18" customHeight="1">
      <c r="R24" s="99" t="s">
        <v>175</v>
      </c>
      <c r="S24" s="88"/>
      <c r="T24" s="88"/>
      <c r="U24" s="99" t="s">
        <v>176</v>
      </c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109" t="s">
        <v>177</v>
      </c>
      <c r="AH24" s="88"/>
      <c r="AI24" s="88"/>
      <c r="AJ24" s="109" t="s">
        <v>178</v>
      </c>
      <c r="AK24" s="88"/>
    </row>
    <row r="25" spans="18:37" ht="21" customHeight="1">
      <c r="R25" s="100" t="str">
        <f>d_선택!$B$32</f>
        <v>울진군</v>
      </c>
      <c r="S25" s="28"/>
      <c r="T25" s="28"/>
      <c r="U25" s="21" t="str">
        <f>IF(d_선택!$E$32=0,"●","")</f>
        <v>●</v>
      </c>
      <c r="V25" s="21" t="str">
        <f>IF(d_선택!$E$32=1,"●","")</f>
        <v/>
      </c>
      <c r="W25" s="21" t="str">
        <f>IF(d_선택!$E$32=2,"●","")</f>
        <v/>
      </c>
      <c r="X25" s="21" t="str">
        <f>IF(d_선택!$E$32=3,"●","")</f>
        <v/>
      </c>
      <c r="Y25" s="21" t="str">
        <f>IF(d_선택!$E$32=4,"●","")</f>
        <v/>
      </c>
      <c r="Z25" s="21" t="str">
        <f>IF(d_선택!$E$32=5,"●","")</f>
        <v/>
      </c>
      <c r="AA25" s="22" t="str">
        <f>IF(d_선택!$E$32=6,"●","")</f>
        <v/>
      </c>
      <c r="AB25" s="21" t="str">
        <f>IF(d_선택!$E$32=7,"●","")</f>
        <v/>
      </c>
      <c r="AC25" s="21" t="str">
        <f>IF(d_선택!$E$32=8,"●","")</f>
        <v/>
      </c>
      <c r="AD25" s="21" t="str">
        <f>IF(d_선택!$E$32=9,"●","")</f>
        <v/>
      </c>
      <c r="AE25" s="21" t="str">
        <f>IF(d_선택!$E$32=10,"●","")</f>
        <v/>
      </c>
      <c r="AF25" s="21" t="str">
        <f>IF(d_선택!$E$32=11,"●","")</f>
        <v/>
      </c>
      <c r="AG25" s="102">
        <f>d_선택!$C$32</f>
        <v>-0.53918032157257934</v>
      </c>
      <c r="AH25" s="28"/>
      <c r="AI25" s="28"/>
      <c r="AJ25" s="104">
        <f>d_선택!$D$32</f>
        <v>3.0575000000000001</v>
      </c>
      <c r="AK25" s="28"/>
    </row>
    <row r="26" spans="18:37" ht="21" customHeight="1">
      <c r="R26" s="100" t="str">
        <f>d_선택!$B$33</f>
        <v>남해군</v>
      </c>
      <c r="S26" s="28"/>
      <c r="T26" s="28"/>
      <c r="U26" s="21" t="str">
        <f>IF(d_선택!$E$33=0,"●","")</f>
        <v>●</v>
      </c>
      <c r="V26" s="21" t="str">
        <f>IF(d_선택!$E$33=1,"●","")</f>
        <v/>
      </c>
      <c r="W26" s="21" t="str">
        <f>IF(d_선택!$E$33=2,"●","")</f>
        <v/>
      </c>
      <c r="X26" s="21" t="str">
        <f>IF(d_선택!$E$33=3,"●","")</f>
        <v/>
      </c>
      <c r="Y26" s="21" t="str">
        <f>IF(d_선택!$E$33=4,"●","")</f>
        <v/>
      </c>
      <c r="Z26" s="21" t="str">
        <f>IF(d_선택!$E$33=5,"●","")</f>
        <v/>
      </c>
      <c r="AA26" s="22" t="str">
        <f>IF(d_선택!$E$33=6,"●","")</f>
        <v/>
      </c>
      <c r="AB26" s="21" t="str">
        <f>IF(d_선택!$E$33=7,"●","")</f>
        <v/>
      </c>
      <c r="AC26" s="21" t="str">
        <f>IF(d_선택!$E$33=8,"●","")</f>
        <v/>
      </c>
      <c r="AD26" s="21" t="str">
        <f>IF(d_선택!$E$33=9,"●","")</f>
        <v/>
      </c>
      <c r="AE26" s="21" t="str">
        <f>IF(d_선택!$E$33=10,"●","")</f>
        <v/>
      </c>
      <c r="AF26" s="21" t="str">
        <f>IF(d_선택!$E$33=11,"●","")</f>
        <v/>
      </c>
      <c r="AG26" s="102">
        <f>d_선택!$C$33</f>
        <v>-0.52077364435063067</v>
      </c>
      <c r="AH26" s="28"/>
      <c r="AI26" s="28"/>
      <c r="AJ26" s="104">
        <f>d_선택!$D$33</f>
        <v>2.624166666666667</v>
      </c>
      <c r="AK26" s="28"/>
    </row>
    <row r="27" spans="18:37" ht="21" customHeight="1">
      <c r="R27" s="100" t="str">
        <f>d_선택!$B$34</f>
        <v>양양군</v>
      </c>
      <c r="S27" s="28"/>
      <c r="T27" s="28"/>
      <c r="U27" s="21" t="str">
        <f>IF(d_선택!$E$34=0,"●","")</f>
        <v/>
      </c>
      <c r="V27" s="21" t="str">
        <f>IF(d_선택!$E$34=1,"●","")</f>
        <v/>
      </c>
      <c r="W27" s="21" t="str">
        <f>IF(d_선택!$E$34=2,"●","")</f>
        <v/>
      </c>
      <c r="X27" s="21" t="str">
        <f>IF(d_선택!$E$34=3,"●","")</f>
        <v>●</v>
      </c>
      <c r="Y27" s="21" t="str">
        <f>IF(d_선택!$E$34=4,"●","")</f>
        <v/>
      </c>
      <c r="Z27" s="21" t="str">
        <f>IF(d_선택!$E$34=5,"●","")</f>
        <v/>
      </c>
      <c r="AA27" s="22" t="str">
        <f>IF(d_선택!$E$34=6,"●","")</f>
        <v/>
      </c>
      <c r="AB27" s="21" t="str">
        <f>IF(d_선택!$E$34=7,"●","")</f>
        <v/>
      </c>
      <c r="AC27" s="21" t="str">
        <f>IF(d_선택!$E$34=8,"●","")</f>
        <v/>
      </c>
      <c r="AD27" s="21" t="str">
        <f>IF(d_선택!$E$34=9,"●","")</f>
        <v/>
      </c>
      <c r="AE27" s="21" t="str">
        <f>IF(d_선택!$E$34=10,"●","")</f>
        <v/>
      </c>
      <c r="AF27" s="21" t="str">
        <f>IF(d_선택!$E$34=11,"●","")</f>
        <v/>
      </c>
      <c r="AG27" s="102">
        <f>d_선택!$C$34</f>
        <v>-0.24593867936641889</v>
      </c>
      <c r="AH27" s="28"/>
      <c r="AI27" s="28"/>
      <c r="AJ27" s="104">
        <f>d_선택!$D$34</f>
        <v>2.5575000000000001</v>
      </c>
      <c r="AK27" s="28"/>
    </row>
    <row r="28" spans="18:37" ht="21" customHeight="1">
      <c r="R28" s="100" t="str">
        <f>d_선택!$B$35</f>
        <v>영덕군</v>
      </c>
      <c r="S28" s="28"/>
      <c r="T28" s="28"/>
      <c r="U28" s="21" t="str">
        <f>IF(d_선택!$E$35=0,"●","")</f>
        <v/>
      </c>
      <c r="V28" s="21" t="str">
        <f>IF(d_선택!$E$35=1,"●","")</f>
        <v/>
      </c>
      <c r="W28" s="21" t="str">
        <f>IF(d_선택!$E$35=2,"●","")</f>
        <v/>
      </c>
      <c r="X28" s="21" t="str">
        <f>IF(d_선택!$E$35=3,"●","")</f>
        <v>●</v>
      </c>
      <c r="Y28" s="21" t="str">
        <f>IF(d_선택!$E$35=4,"●","")</f>
        <v/>
      </c>
      <c r="Z28" s="21" t="str">
        <f>IF(d_선택!$E$35=5,"●","")</f>
        <v/>
      </c>
      <c r="AA28" s="22" t="str">
        <f>IF(d_선택!$E$35=6,"●","")</f>
        <v/>
      </c>
      <c r="AB28" s="21" t="str">
        <f>IF(d_선택!$E$35=7,"●","")</f>
        <v/>
      </c>
      <c r="AC28" s="21" t="str">
        <f>IF(d_선택!$E$35=8,"●","")</f>
        <v/>
      </c>
      <c r="AD28" s="21" t="str">
        <f>IF(d_선택!$E$35=9,"●","")</f>
        <v/>
      </c>
      <c r="AE28" s="21" t="str">
        <f>IF(d_선택!$E$35=10,"●","")</f>
        <v/>
      </c>
      <c r="AF28" s="21" t="str">
        <f>IF(d_선택!$E$35=11,"●","")</f>
        <v/>
      </c>
      <c r="AG28" s="102">
        <f>d_선택!$C$35</f>
        <v>-0.21094743120392631</v>
      </c>
      <c r="AH28" s="28"/>
      <c r="AI28" s="28"/>
      <c r="AJ28" s="104">
        <f>d_선택!$D$35</f>
        <v>2.9116666666666662</v>
      </c>
      <c r="AK28" s="28"/>
    </row>
    <row r="29" spans="18:37" ht="21" customHeight="1">
      <c r="R29" s="100" t="str">
        <f>d_선택!$B$36</f>
        <v>광명시</v>
      </c>
      <c r="S29" s="28"/>
      <c r="T29" s="28"/>
      <c r="U29" s="21" t="str">
        <f>IF(d_선택!$E$36=0,"●","")</f>
        <v/>
      </c>
      <c r="V29" s="21" t="str">
        <f>IF(d_선택!$E$36=1,"●","")</f>
        <v/>
      </c>
      <c r="W29" s="21" t="str">
        <f>IF(d_선택!$E$36=2,"●","")</f>
        <v/>
      </c>
      <c r="X29" s="21" t="str">
        <f>IF(d_선택!$E$36=3,"●","")</f>
        <v>●</v>
      </c>
      <c r="Y29" s="21" t="str">
        <f>IF(d_선택!$E$36=4,"●","")</f>
        <v/>
      </c>
      <c r="Z29" s="21" t="str">
        <f>IF(d_선택!$E$36=5,"●","")</f>
        <v/>
      </c>
      <c r="AA29" s="22" t="str">
        <f>IF(d_선택!$E$36=6,"●","")</f>
        <v/>
      </c>
      <c r="AB29" s="21" t="str">
        <f>IF(d_선택!$E$36=7,"●","")</f>
        <v/>
      </c>
      <c r="AC29" s="21" t="str">
        <f>IF(d_선택!$E$36=8,"●","")</f>
        <v/>
      </c>
      <c r="AD29" s="21" t="str">
        <f>IF(d_선택!$E$36=9,"●","")</f>
        <v/>
      </c>
      <c r="AE29" s="21" t="str">
        <f>IF(d_선택!$E$36=10,"●","")</f>
        <v/>
      </c>
      <c r="AF29" s="21" t="str">
        <f>IF(d_선택!$E$36=11,"●","")</f>
        <v/>
      </c>
      <c r="AG29" s="102">
        <f>d_선택!$C$36</f>
        <v>-0.20432088513410709</v>
      </c>
      <c r="AH29" s="28"/>
      <c r="AI29" s="28"/>
      <c r="AJ29" s="104">
        <f>d_선택!$D$36</f>
        <v>3.1891666666666669</v>
      </c>
      <c r="AK29" s="28"/>
    </row>
    <row r="30" spans="18:37" ht="21" customHeight="1">
      <c r="R30" s="100" t="str">
        <f>d_선택!$B$37</f>
        <v>안동시</v>
      </c>
      <c r="S30" s="28"/>
      <c r="T30" s="28"/>
      <c r="U30" s="21" t="str">
        <f>IF(d_선택!$E$37=0,"●","")</f>
        <v/>
      </c>
      <c r="V30" s="21" t="str">
        <f>IF(d_선택!$E$37=1,"●","")</f>
        <v/>
      </c>
      <c r="W30" s="21" t="str">
        <f>IF(d_선택!$E$37=2,"●","")</f>
        <v/>
      </c>
      <c r="X30" s="21" t="str">
        <f>IF(d_선택!$E$37=3,"●","")</f>
        <v/>
      </c>
      <c r="Y30" s="21" t="str">
        <f>IF(d_선택!$E$37=4,"●","")</f>
        <v>●</v>
      </c>
      <c r="Z30" s="21" t="str">
        <f>IF(d_선택!$E$37=5,"●","")</f>
        <v/>
      </c>
      <c r="AA30" s="22" t="str">
        <f>IF(d_선택!$E$37=6,"●","")</f>
        <v/>
      </c>
      <c r="AB30" s="21" t="str">
        <f>IF(d_선택!$E$37=7,"●","")</f>
        <v/>
      </c>
      <c r="AC30" s="21" t="str">
        <f>IF(d_선택!$E$37=8,"●","")</f>
        <v/>
      </c>
      <c r="AD30" s="21" t="str">
        <f>IF(d_선택!$E$37=9,"●","")</f>
        <v/>
      </c>
      <c r="AE30" s="21" t="str">
        <f>IF(d_선택!$E$37=10,"●","")</f>
        <v/>
      </c>
      <c r="AF30" s="21" t="str">
        <f>IF(d_선택!$E$37=11,"●","")</f>
        <v/>
      </c>
      <c r="AG30" s="102">
        <f>d_선택!$C$37</f>
        <v>-0.16790570949358949</v>
      </c>
      <c r="AH30" s="28"/>
      <c r="AI30" s="28"/>
      <c r="AJ30" s="104">
        <f>d_선택!$D$37</f>
        <v>3.065833333333333</v>
      </c>
      <c r="AK30" s="28"/>
    </row>
    <row r="31" spans="18:37" ht="21" customHeight="1">
      <c r="R31" s="100" t="str">
        <f>d_선택!$B$38</f>
        <v>강릉시</v>
      </c>
      <c r="S31" s="28"/>
      <c r="T31" s="28"/>
      <c r="U31" s="21" t="str">
        <f>IF(d_선택!$E$38=0,"●","")</f>
        <v/>
      </c>
      <c r="V31" s="21" t="str">
        <f>IF(d_선택!$E$38=1,"●","")</f>
        <v/>
      </c>
      <c r="W31" s="21" t="str">
        <f>IF(d_선택!$E$38=2,"●","")</f>
        <v/>
      </c>
      <c r="X31" s="21" t="str">
        <f>IF(d_선택!$E$38=3,"●","")</f>
        <v/>
      </c>
      <c r="Y31" s="21" t="str">
        <f>IF(d_선택!$E$38=4,"●","")</f>
        <v>●</v>
      </c>
      <c r="Z31" s="21" t="str">
        <f>IF(d_선택!$E$38=5,"●","")</f>
        <v/>
      </c>
      <c r="AA31" s="22" t="str">
        <f>IF(d_선택!$E$38=6,"●","")</f>
        <v/>
      </c>
      <c r="AB31" s="21" t="str">
        <f>IF(d_선택!$E$38=7,"●","")</f>
        <v/>
      </c>
      <c r="AC31" s="21" t="str">
        <f>IF(d_선택!$E$38=8,"●","")</f>
        <v/>
      </c>
      <c r="AD31" s="21" t="str">
        <f>IF(d_선택!$E$38=9,"●","")</f>
        <v/>
      </c>
      <c r="AE31" s="21" t="str">
        <f>IF(d_선택!$E$38=10,"●","")</f>
        <v/>
      </c>
      <c r="AF31" s="21" t="str">
        <f>IF(d_선택!$E$38=11,"●","")</f>
        <v/>
      </c>
      <c r="AG31" s="102">
        <f>d_선택!$C$38</f>
        <v>-0.14848000865295591</v>
      </c>
      <c r="AH31" s="28"/>
      <c r="AI31" s="28"/>
      <c r="AJ31" s="104">
        <f>d_선택!$D$38</f>
        <v>2.8658333333333328</v>
      </c>
      <c r="AK31" s="28"/>
    </row>
    <row r="32" spans="18:37" ht="21" customHeight="1">
      <c r="R32" s="100" t="str">
        <f>d_선택!$B$39</f>
        <v/>
      </c>
      <c r="S32" s="28"/>
      <c r="T32" s="28"/>
      <c r="U32" s="21" t="str">
        <f>IF(d_선택!$E$39=0,"●","")</f>
        <v/>
      </c>
      <c r="V32" s="21" t="str">
        <f>IF(d_선택!$E$39=1,"●","")</f>
        <v/>
      </c>
      <c r="W32" s="21" t="str">
        <f>IF(d_선택!$E$39=2,"●","")</f>
        <v/>
      </c>
      <c r="X32" s="21" t="str">
        <f>IF(d_선택!$E$39=3,"●","")</f>
        <v/>
      </c>
      <c r="Y32" s="21" t="str">
        <f>IF(d_선택!$E$39=4,"●","")</f>
        <v/>
      </c>
      <c r="Z32" s="21" t="str">
        <f>IF(d_선택!$E$39=5,"●","")</f>
        <v/>
      </c>
      <c r="AA32" s="22" t="str">
        <f>IF(d_선택!$E$39=6,"●","")</f>
        <v/>
      </c>
      <c r="AB32" s="21" t="str">
        <f>IF(d_선택!$E$39=7,"●","")</f>
        <v/>
      </c>
      <c r="AC32" s="21" t="str">
        <f>IF(d_선택!$E$39=8,"●","")</f>
        <v/>
      </c>
      <c r="AD32" s="21" t="str">
        <f>IF(d_선택!$E$39=9,"●","")</f>
        <v/>
      </c>
      <c r="AE32" s="21" t="str">
        <f>IF(d_선택!$E$39=10,"●","")</f>
        <v/>
      </c>
      <c r="AF32" s="21" t="str">
        <f>IF(d_선택!$E$39=11,"●","")</f>
        <v/>
      </c>
      <c r="AG32" s="102" t="str">
        <f>d_선택!$C$39</f>
        <v/>
      </c>
      <c r="AH32" s="28"/>
      <c r="AI32" s="28"/>
      <c r="AJ32" s="104" t="str">
        <f>d_선택!$D$39</f>
        <v/>
      </c>
      <c r="AK32" s="28"/>
    </row>
    <row r="33" spans="2:37" ht="18" customHeight="1">
      <c r="R33" s="42" t="str">
        <f>d_선택!$B$27</f>
        <v/>
      </c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</row>
    <row r="34" spans="2:37" ht="20" customHeight="1">
      <c r="R34" s="42" t="s">
        <v>179</v>
      </c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</row>
    <row r="35" spans="2:37" ht="20" customHeight="1"/>
    <row r="36" spans="2:37" ht="20" customHeight="1"/>
    <row r="37" spans="2:37" ht="16" customHeight="1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 spans="2:37" ht="10" customHeight="1"/>
    <row r="39" spans="2:37" ht="22" customHeight="1">
      <c r="B39" s="101" t="s">
        <v>180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</row>
    <row r="40" spans="2:37" ht="36" customHeight="1">
      <c r="B40" s="110" t="str">
        <f>d_선택!$B$29</f>
        <v>안동의 유형(체험·문화 · 숙박일수)은 144곳 중 7곳이 같다.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</row>
    <row r="41" spans="2:37" ht="64" customHeight="1">
      <c r="B41" s="58" t="s">
        <v>181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</row>
    <row r="42" spans="2:37" ht="20" customHeight="1"/>
    <row r="43" spans="2:37" ht="20" customHeight="1"/>
    <row r="44" spans="2:37" ht="20" customHeight="1"/>
    <row r="45" spans="2:37" ht="20" customHeight="1"/>
    <row r="46" spans="2:37" ht="20" customHeight="1"/>
    <row r="47" spans="2:37" ht="20" customHeight="1"/>
    <row r="48" spans="2:37" ht="20" customHeight="1"/>
    <row r="49" spans="2:37" ht="20" customHeight="1"/>
    <row r="50" spans="2:37" ht="18" customHeight="1"/>
    <row r="51" spans="2:37" ht="18" customHeight="1">
      <c r="B51" s="49" t="s">
        <v>182</v>
      </c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9" t="s">
        <v>183</v>
      </c>
      <c r="AD51" s="28"/>
      <c r="AE51" s="28"/>
      <c r="AF51" s="28"/>
      <c r="AG51" s="28"/>
      <c r="AH51" s="28"/>
      <c r="AI51" s="28"/>
      <c r="AJ51" s="28"/>
      <c r="AK51" s="28"/>
    </row>
    <row r="52" spans="2:37" ht="18" customHeight="1">
      <c r="B52" s="49" t="s">
        <v>184</v>
      </c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</row>
  </sheetData>
  <sheetProtection sheet="1"/>
  <mergeCells count="71">
    <mergeCell ref="AC51:AK51"/>
    <mergeCell ref="AC2:AK2"/>
    <mergeCell ref="AJ30:AK30"/>
    <mergeCell ref="X15:AK15"/>
    <mergeCell ref="AB4:AK4"/>
    <mergeCell ref="B51:AB51"/>
    <mergeCell ref="AJ24:AK24"/>
    <mergeCell ref="AG26:AI26"/>
    <mergeCell ref="B40:L40"/>
    <mergeCell ref="AC7:AK7"/>
    <mergeCell ref="B7:J7"/>
    <mergeCell ref="AG29:AI29"/>
    <mergeCell ref="R29:T29"/>
    <mergeCell ref="AG12:AK12"/>
    <mergeCell ref="AJ26:AK26"/>
    <mergeCell ref="AG25:AI25"/>
    <mergeCell ref="T8:AB8"/>
    <mergeCell ref="AC9:AK9"/>
    <mergeCell ref="B2:X2"/>
    <mergeCell ref="X19:AK19"/>
    <mergeCell ref="K7:S7"/>
    <mergeCell ref="T7:AB7"/>
    <mergeCell ref="AB12:AF12"/>
    <mergeCell ref="K9:S9"/>
    <mergeCell ref="R12:AA12"/>
    <mergeCell ref="R19:W19"/>
    <mergeCell ref="R13:W13"/>
    <mergeCell ref="B3:AB3"/>
    <mergeCell ref="AC3:AK3"/>
    <mergeCell ref="B39:L39"/>
    <mergeCell ref="B9:J9"/>
    <mergeCell ref="U24:AF24"/>
    <mergeCell ref="R34:AK34"/>
    <mergeCell ref="AJ28:AK28"/>
    <mergeCell ref="AG24:AI24"/>
    <mergeCell ref="AG30:AI30"/>
    <mergeCell ref="AB21:AC21"/>
    <mergeCell ref="AJ29:AK29"/>
    <mergeCell ref="R28:T28"/>
    <mergeCell ref="AJ25:AK25"/>
    <mergeCell ref="AG31:AI31"/>
    <mergeCell ref="AJ32:AK32"/>
    <mergeCell ref="R31:T31"/>
    <mergeCell ref="R25:T25"/>
    <mergeCell ref="AJ31:AK31"/>
    <mergeCell ref="B52:AK52"/>
    <mergeCell ref="B4:AA4"/>
    <mergeCell ref="AG32:AI32"/>
    <mergeCell ref="T9:AB9"/>
    <mergeCell ref="AC8:AK8"/>
    <mergeCell ref="B8:J8"/>
    <mergeCell ref="R26:T26"/>
    <mergeCell ref="R11:AK11"/>
    <mergeCell ref="AJ27:AK27"/>
    <mergeCell ref="R21:W21"/>
    <mergeCell ref="K8:S8"/>
    <mergeCell ref="X17:AK17"/>
    <mergeCell ref="B41:L41"/>
    <mergeCell ref="X13:AK13"/>
    <mergeCell ref="R32:T32"/>
    <mergeCell ref="AG21:AK21"/>
    <mergeCell ref="R24:T24"/>
    <mergeCell ref="R30:T30"/>
    <mergeCell ref="R33:AK33"/>
    <mergeCell ref="B11:P11"/>
    <mergeCell ref="R23:AK23"/>
    <mergeCell ref="R15:W15"/>
    <mergeCell ref="AG27:AI27"/>
    <mergeCell ref="R27:T27"/>
    <mergeCell ref="R17:W17"/>
    <mergeCell ref="AG28:AI28"/>
  </mergeCells>
  <phoneticPr fontId="44" type="noConversion"/>
  <conditionalFormatting sqref="B8">
    <cfRule type="expression" dxfId="5" priority="1">
      <formula>$AM$7&lt;-0.020488</formula>
    </cfRule>
  </conditionalFormatting>
  <conditionalFormatting sqref="R14:AK14">
    <cfRule type="expression" dxfId="4" priority="2">
      <formula>$AM$3&gt;=75</formula>
    </cfRule>
  </conditionalFormatting>
  <conditionalFormatting sqref="R16:AK16">
    <cfRule type="expression" dxfId="3" priority="3">
      <formula>$AM$4&gt;=75</formula>
    </cfRule>
  </conditionalFormatting>
  <conditionalFormatting sqref="R18:AK18">
    <cfRule type="expression" dxfId="2" priority="4">
      <formula>$AM$5&gt;=75</formula>
    </cfRule>
  </conditionalFormatting>
  <conditionalFormatting sqref="R20:AK20">
    <cfRule type="expression" dxfId="1" priority="5">
      <formula>$AM$6&gt;=75</formula>
    </cfRule>
  </conditionalFormatting>
  <conditionalFormatting sqref="R25:AK32">
    <cfRule type="expression" dxfId="0" priority="6">
      <formula>$R25=$AM$8</formula>
    </cfRule>
  </conditionalFormatting>
  <hyperlinks>
    <hyperlink ref="AC51" location="'한눈에'!A1" display="처음으로 → 한눈에" xr:uid="{00000000-0004-0000-0400-000000000000}"/>
  </hyperlinks>
  <pageMargins left="0.3" right="0.3" top="0.3" bottom="0.3" header="0.5" footer="0.5"/>
  <pageSetup paperSize="9" orientation="landscape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promptTitle="시·군" prompt="144개 시·군 중에서 고른다(가나다순)" xr:uid="{00000000-0002-0000-0400-000000000000}">
          <x14:formula1>
            <xm:f>d_목록!$A$2:$A$145</xm:f>
          </x14:formula1>
          <xm:sqref>AC3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5D9DC"/>
    <pageSetUpPr fitToPage="1"/>
  </sheetPr>
  <dimension ref="B2:E25"/>
  <sheetViews>
    <sheetView showGridLines="0" zoomScale="90" workbookViewId="0"/>
  </sheetViews>
  <sheetFormatPr baseColWidth="10" defaultColWidth="8.83203125" defaultRowHeight="17"/>
  <cols>
    <col min="1" max="1" width="2.5" customWidth="1"/>
    <col min="2" max="2" width="44" customWidth="1"/>
    <col min="3" max="3" width="30" customWidth="1"/>
    <col min="4" max="4" width="22" customWidth="1"/>
    <col min="5" max="5" width="30" customWidth="1"/>
  </cols>
  <sheetData>
    <row r="2" spans="2:5" ht="32" customHeight="1">
      <c r="B2" s="67" t="s">
        <v>185</v>
      </c>
      <c r="C2" s="28"/>
      <c r="D2" s="28"/>
      <c r="E2" s="28"/>
    </row>
    <row r="3" spans="2:5">
      <c r="B3" s="114" t="s">
        <v>186</v>
      </c>
      <c r="C3" s="28"/>
      <c r="D3" s="28"/>
      <c r="E3" s="28"/>
    </row>
    <row r="5" spans="2:5" ht="22" customHeight="1">
      <c r="B5" s="23" t="s">
        <v>187</v>
      </c>
      <c r="C5" s="23" t="s">
        <v>188</v>
      </c>
      <c r="D5" s="23" t="s">
        <v>189</v>
      </c>
      <c r="E5" s="23" t="s">
        <v>190</v>
      </c>
    </row>
    <row r="6" spans="2:5" ht="22" customHeight="1">
      <c r="B6" s="24" t="s">
        <v>191</v>
      </c>
      <c r="C6" s="24" t="s">
        <v>192</v>
      </c>
      <c r="D6" s="24" t="s">
        <v>193</v>
      </c>
      <c r="E6" s="24" t="s">
        <v>194</v>
      </c>
    </row>
    <row r="7" spans="2:5" ht="22" customHeight="1">
      <c r="B7" s="24" t="s">
        <v>195</v>
      </c>
      <c r="C7" s="24" t="s">
        <v>192</v>
      </c>
      <c r="D7" s="24" t="s">
        <v>193</v>
      </c>
      <c r="E7" s="24" t="s">
        <v>194</v>
      </c>
    </row>
    <row r="8" spans="2:5" ht="22" customHeight="1">
      <c r="B8" s="24" t="s">
        <v>196</v>
      </c>
      <c r="C8" s="24" t="s">
        <v>192</v>
      </c>
      <c r="D8" s="24" t="s">
        <v>197</v>
      </c>
      <c r="E8" s="24" t="s">
        <v>198</v>
      </c>
    </row>
    <row r="9" spans="2:5" ht="22" customHeight="1">
      <c r="B9" s="24" t="s">
        <v>199</v>
      </c>
      <c r="C9" s="24" t="s">
        <v>192</v>
      </c>
      <c r="D9" s="24" t="s">
        <v>200</v>
      </c>
      <c r="E9" s="24" t="s">
        <v>201</v>
      </c>
    </row>
    <row r="10" spans="2:5" ht="22" customHeight="1">
      <c r="B10" s="24" t="s">
        <v>202</v>
      </c>
      <c r="C10" s="24" t="s">
        <v>192</v>
      </c>
      <c r="D10" s="24" t="s">
        <v>197</v>
      </c>
      <c r="E10" s="24" t="s">
        <v>201</v>
      </c>
    </row>
    <row r="11" spans="2:5" ht="22" customHeight="1">
      <c r="B11" s="24" t="s">
        <v>203</v>
      </c>
      <c r="C11" s="24" t="s">
        <v>192</v>
      </c>
      <c r="D11" s="24" t="s">
        <v>204</v>
      </c>
      <c r="E11" s="24" t="s">
        <v>205</v>
      </c>
    </row>
    <row r="12" spans="2:5" ht="22" customHeight="1">
      <c r="B12" s="24" t="s">
        <v>206</v>
      </c>
      <c r="C12" s="24" t="s">
        <v>207</v>
      </c>
      <c r="D12" s="24" t="s">
        <v>208</v>
      </c>
      <c r="E12" s="24" t="s">
        <v>198</v>
      </c>
    </row>
    <row r="13" spans="2:5" ht="22" customHeight="1">
      <c r="B13" s="24" t="s">
        <v>209</v>
      </c>
      <c r="C13" s="24" t="s">
        <v>210</v>
      </c>
      <c r="D13" s="24" t="s">
        <v>211</v>
      </c>
      <c r="E13" s="24" t="s">
        <v>212</v>
      </c>
    </row>
    <row r="14" spans="2:5" ht="22" customHeight="1">
      <c r="B14" s="24" t="s">
        <v>213</v>
      </c>
      <c r="C14" s="24" t="s">
        <v>214</v>
      </c>
      <c r="D14" s="24" t="s">
        <v>215</v>
      </c>
      <c r="E14" s="24" t="s">
        <v>198</v>
      </c>
    </row>
    <row r="15" spans="2:5" ht="22" customHeight="1">
      <c r="B15" s="24" t="s">
        <v>216</v>
      </c>
      <c r="C15" s="24" t="s">
        <v>217</v>
      </c>
      <c r="D15" s="24" t="s">
        <v>218</v>
      </c>
      <c r="E15" s="24" t="s">
        <v>212</v>
      </c>
    </row>
    <row r="16" spans="2:5" ht="22" customHeight="1">
      <c r="B16" s="24" t="s">
        <v>219</v>
      </c>
      <c r="C16" s="24" t="s">
        <v>220</v>
      </c>
      <c r="D16" s="24" t="s">
        <v>221</v>
      </c>
      <c r="E16" s="24" t="s">
        <v>198</v>
      </c>
    </row>
    <row r="17" spans="2:5" ht="22" customHeight="1">
      <c r="B17" s="24" t="s">
        <v>222</v>
      </c>
      <c r="C17" s="24" t="s">
        <v>223</v>
      </c>
      <c r="D17" s="24" t="s">
        <v>224</v>
      </c>
      <c r="E17" s="24" t="s">
        <v>198</v>
      </c>
    </row>
    <row r="18" spans="2:5" ht="22" customHeight="1">
      <c r="B18" s="24" t="s">
        <v>225</v>
      </c>
      <c r="C18" s="24" t="s">
        <v>226</v>
      </c>
      <c r="D18" s="24" t="s">
        <v>227</v>
      </c>
      <c r="E18" s="24" t="s">
        <v>228</v>
      </c>
    </row>
    <row r="19" spans="2:5" ht="22" customHeight="1">
      <c r="B19" s="24" t="s">
        <v>229</v>
      </c>
      <c r="C19" s="24" t="s">
        <v>230</v>
      </c>
      <c r="D19" s="24" t="s">
        <v>231</v>
      </c>
      <c r="E19" s="24" t="s">
        <v>232</v>
      </c>
    </row>
    <row r="20" spans="2:5" ht="22" customHeight="1">
      <c r="B20" s="24" t="s">
        <v>233</v>
      </c>
      <c r="C20" s="24" t="s">
        <v>234</v>
      </c>
      <c r="D20" s="24" t="s">
        <v>235</v>
      </c>
      <c r="E20" s="24" t="s">
        <v>232</v>
      </c>
    </row>
    <row r="21" spans="2:5" ht="22" customHeight="1">
      <c r="B21" s="24" t="s">
        <v>236</v>
      </c>
      <c r="C21" s="24" t="s">
        <v>237</v>
      </c>
      <c r="D21" s="24" t="s">
        <v>238</v>
      </c>
      <c r="E21" s="24" t="s">
        <v>201</v>
      </c>
    </row>
    <row r="22" spans="2:5" ht="22" customHeight="1">
      <c r="B22" s="24" t="s">
        <v>239</v>
      </c>
      <c r="C22" s="24" t="s">
        <v>240</v>
      </c>
      <c r="D22" s="24" t="s">
        <v>241</v>
      </c>
      <c r="E22" s="24" t="s">
        <v>242</v>
      </c>
    </row>
    <row r="24" spans="2:5" ht="30" customHeight="1">
      <c r="B24" s="79" t="s">
        <v>243</v>
      </c>
      <c r="C24" s="28"/>
      <c r="D24" s="28"/>
      <c r="E24" s="28"/>
    </row>
    <row r="25" spans="2:5">
      <c r="B25" s="113" t="s">
        <v>183</v>
      </c>
      <c r="C25" s="28"/>
    </row>
  </sheetData>
  <sheetProtection sheet="1"/>
  <mergeCells count="4">
    <mergeCell ref="B25:C25"/>
    <mergeCell ref="B24:E24"/>
    <mergeCell ref="B3:E3"/>
    <mergeCell ref="B2:E2"/>
  </mergeCells>
  <phoneticPr fontId="44" type="noConversion"/>
  <hyperlinks>
    <hyperlink ref="B25" location="'한눈에'!A1" display="처음으로 → 한눈에" xr:uid="{00000000-0004-0000-0500-000000000000}"/>
  </hyperlinks>
  <pageMargins left="0.3" right="0.3" top="0.3" bottom="0.3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47"/>
  <sheetViews>
    <sheetView workbookViewId="0"/>
  </sheetViews>
  <sheetFormatPr baseColWidth="10" defaultColWidth="8.83203125" defaultRowHeight="17"/>
  <sheetData>
    <row r="1" spans="1:6">
      <c r="A1" t="s">
        <v>244</v>
      </c>
      <c r="B1" t="s">
        <v>245</v>
      </c>
      <c r="C1" t="s">
        <v>246</v>
      </c>
      <c r="D1" t="s">
        <v>247</v>
      </c>
      <c r="E1" t="s">
        <v>248</v>
      </c>
      <c r="F1" t="s">
        <v>249</v>
      </c>
    </row>
    <row r="2" spans="1:6">
      <c r="A2" t="s">
        <v>250</v>
      </c>
      <c r="B2">
        <v>8.2158703452793899E-2</v>
      </c>
      <c r="C2">
        <v>267.89713086074181</v>
      </c>
      <c r="D2">
        <v>123.4522696948756</v>
      </c>
      <c r="E2">
        <v>-0.53918032157257934</v>
      </c>
      <c r="F2">
        <v>1</v>
      </c>
    </row>
    <row r="3" spans="1:6">
      <c r="A3" t="s">
        <v>251</v>
      </c>
      <c r="B3">
        <v>7.8962407533765794E-2</v>
      </c>
      <c r="C3">
        <v>242.1229730095896</v>
      </c>
      <c r="D3">
        <v>116.0317099743763</v>
      </c>
      <c r="E3">
        <v>-0.52077364435063067</v>
      </c>
      <c r="F3">
        <v>2</v>
      </c>
    </row>
    <row r="4" spans="1:6">
      <c r="A4" t="s">
        <v>252</v>
      </c>
      <c r="B4">
        <v>4.0084417273265699E-2</v>
      </c>
      <c r="C4">
        <v>37.726123291834973</v>
      </c>
      <c r="D4">
        <v>22.088984400208361</v>
      </c>
      <c r="E4">
        <v>-0.41449100854237347</v>
      </c>
      <c r="F4">
        <v>3</v>
      </c>
    </row>
    <row r="5" spans="1:6">
      <c r="A5" t="s">
        <v>253</v>
      </c>
      <c r="B5">
        <v>3.37000672204264E-2</v>
      </c>
      <c r="C5">
        <v>86.683131235124804</v>
      </c>
      <c r="D5">
        <v>51.228057812456441</v>
      </c>
      <c r="E5">
        <v>-0.40901929726670561</v>
      </c>
      <c r="F5">
        <v>4</v>
      </c>
    </row>
    <row r="6" spans="1:6">
      <c r="A6" t="s">
        <v>254</v>
      </c>
      <c r="B6">
        <v>0.38327367601817253</v>
      </c>
      <c r="C6">
        <v>161.75180250132081</v>
      </c>
      <c r="D6">
        <v>100.13313501219351</v>
      </c>
      <c r="E6">
        <v>-0.38094578568065218</v>
      </c>
      <c r="F6">
        <v>5</v>
      </c>
    </row>
    <row r="7" spans="1:6">
      <c r="A7" t="s">
        <v>255</v>
      </c>
      <c r="B7">
        <v>1.0202645880523001E-3</v>
      </c>
      <c r="C7">
        <v>205.9976485169295</v>
      </c>
      <c r="D7">
        <v>134.12995872455249</v>
      </c>
      <c r="E7">
        <v>-0.34887626295632568</v>
      </c>
      <c r="F7">
        <v>6</v>
      </c>
    </row>
    <row r="8" spans="1:6">
      <c r="A8" t="s">
        <v>256</v>
      </c>
      <c r="B8">
        <v>3.3585661410535803E-2</v>
      </c>
      <c r="C8">
        <v>128.06300596596191</v>
      </c>
      <c r="D8">
        <v>90.944781913469825</v>
      </c>
      <c r="E8">
        <v>-0.28984345457545951</v>
      </c>
      <c r="F8">
        <v>7</v>
      </c>
    </row>
    <row r="9" spans="1:6">
      <c r="A9" t="s">
        <v>257</v>
      </c>
      <c r="B9">
        <v>8.7082391732133002E-2</v>
      </c>
      <c r="C9">
        <v>249.52188448145009</v>
      </c>
      <c r="D9">
        <v>179.68018739632279</v>
      </c>
      <c r="E9">
        <v>-0.279902090473028</v>
      </c>
      <c r="F9">
        <v>8</v>
      </c>
    </row>
    <row r="10" spans="1:6">
      <c r="A10" t="s">
        <v>258</v>
      </c>
      <c r="B10">
        <v>0.11813224378953199</v>
      </c>
      <c r="C10">
        <v>155.63039964046601</v>
      </c>
      <c r="D10">
        <v>112.1890107596616</v>
      </c>
      <c r="E10">
        <v>-0.27913176976453069</v>
      </c>
      <c r="F10">
        <v>9</v>
      </c>
    </row>
    <row r="11" spans="1:6">
      <c r="A11" t="s">
        <v>259</v>
      </c>
      <c r="B11">
        <v>-2.4444037112121099E-2</v>
      </c>
      <c r="C11">
        <v>32.782300508079999</v>
      </c>
      <c r="D11">
        <v>23.823180430928389</v>
      </c>
      <c r="E11">
        <v>-0.27329137791728231</v>
      </c>
      <c r="F11">
        <v>10</v>
      </c>
    </row>
    <row r="12" spans="1:6">
      <c r="A12" t="s">
        <v>260</v>
      </c>
      <c r="B12">
        <v>2.6429654216712801E-2</v>
      </c>
      <c r="C12">
        <v>265.7380952973312</v>
      </c>
      <c r="D12">
        <v>200.382819082558</v>
      </c>
      <c r="E12">
        <v>-0.24593867936641889</v>
      </c>
      <c r="F12">
        <v>11</v>
      </c>
    </row>
    <row r="13" spans="1:6">
      <c r="A13" t="s">
        <v>261</v>
      </c>
      <c r="B13">
        <v>0.20296377184044401</v>
      </c>
      <c r="C13">
        <v>405.68374057792039</v>
      </c>
      <c r="D13">
        <v>306.84291122795122</v>
      </c>
      <c r="E13">
        <v>-0.24364010548996759</v>
      </c>
      <c r="F13">
        <v>12</v>
      </c>
    </row>
    <row r="14" spans="1:6">
      <c r="A14" t="s">
        <v>262</v>
      </c>
      <c r="B14">
        <v>1.8902973420304101E-2</v>
      </c>
      <c r="C14">
        <v>54.478489272363191</v>
      </c>
      <c r="D14">
        <v>41.371959946751304</v>
      </c>
      <c r="E14">
        <v>-0.24058173236203881</v>
      </c>
      <c r="F14">
        <v>13</v>
      </c>
    </row>
    <row r="15" spans="1:6">
      <c r="A15" t="s">
        <v>263</v>
      </c>
      <c r="B15">
        <v>2.5670936046517701E-2</v>
      </c>
      <c r="C15">
        <v>149.84575988100991</v>
      </c>
      <c r="D15">
        <v>115.32018910543781</v>
      </c>
      <c r="E15">
        <v>-0.23040739226113821</v>
      </c>
      <c r="F15">
        <v>14</v>
      </c>
    </row>
    <row r="16" spans="1:6">
      <c r="A16" t="s">
        <v>264</v>
      </c>
      <c r="B16">
        <v>9.4297399105139901E-2</v>
      </c>
      <c r="C16">
        <v>215.67996794808479</v>
      </c>
      <c r="D16">
        <v>169.04773155268899</v>
      </c>
      <c r="E16">
        <v>-0.21621032699068449</v>
      </c>
      <c r="F16">
        <v>15</v>
      </c>
    </row>
    <row r="17" spans="1:6">
      <c r="A17" t="s">
        <v>265</v>
      </c>
      <c r="B17">
        <v>4.5373763175044803E-2</v>
      </c>
      <c r="C17">
        <v>36.721621109645859</v>
      </c>
      <c r="D17">
        <v>28.975289466922192</v>
      </c>
      <c r="E17">
        <v>-0.21094743120392631</v>
      </c>
      <c r="F17">
        <v>16</v>
      </c>
    </row>
    <row r="18" spans="1:6">
      <c r="A18" t="s">
        <v>266</v>
      </c>
      <c r="B18">
        <v>2.0880439037369102E-2</v>
      </c>
      <c r="C18">
        <v>323.95256276038373</v>
      </c>
      <c r="D18">
        <v>257.61051388307681</v>
      </c>
      <c r="E18">
        <v>-0.2047893935828432</v>
      </c>
      <c r="F18">
        <v>17</v>
      </c>
    </row>
    <row r="19" spans="1:6">
      <c r="A19" t="s">
        <v>267</v>
      </c>
      <c r="B19">
        <v>0.1555014273226305</v>
      </c>
      <c r="C19">
        <v>351.42896880538427</v>
      </c>
      <c r="D19">
        <v>279.62469083730173</v>
      </c>
      <c r="E19">
        <v>-0.2043208851341069</v>
      </c>
      <c r="F19">
        <v>18</v>
      </c>
    </row>
    <row r="20" spans="1:6">
      <c r="A20" t="s">
        <v>268</v>
      </c>
      <c r="B20">
        <v>6.7987110208497598E-2</v>
      </c>
      <c r="C20">
        <v>184.8750491652508</v>
      </c>
      <c r="D20">
        <v>150.48595442186749</v>
      </c>
      <c r="E20">
        <v>-0.18601263339026641</v>
      </c>
      <c r="F20">
        <v>19</v>
      </c>
    </row>
    <row r="21" spans="1:6">
      <c r="A21" t="s">
        <v>269</v>
      </c>
      <c r="B21">
        <v>4.1048266954868802E-2</v>
      </c>
      <c r="C21">
        <v>340.17438283229558</v>
      </c>
      <c r="D21">
        <v>278.47061478030378</v>
      </c>
      <c r="E21">
        <v>-0.1813886381985779</v>
      </c>
      <c r="F21">
        <v>20</v>
      </c>
    </row>
    <row r="22" spans="1:6">
      <c r="A22" t="s">
        <v>270</v>
      </c>
      <c r="B22">
        <v>5.7003511968667597E-2</v>
      </c>
      <c r="C22">
        <v>340.72944964601322</v>
      </c>
      <c r="D22">
        <v>282.56824405107341</v>
      </c>
      <c r="E22">
        <v>-0.170696151023529</v>
      </c>
      <c r="F22">
        <v>21</v>
      </c>
    </row>
    <row r="23" spans="1:6">
      <c r="A23" t="s">
        <v>157</v>
      </c>
      <c r="B23">
        <v>5.64163196573432E-2</v>
      </c>
      <c r="C23">
        <v>183.47290282255469</v>
      </c>
      <c r="D23">
        <v>152.6667549012852</v>
      </c>
      <c r="E23">
        <v>-0.16790570949358971</v>
      </c>
      <c r="F23">
        <v>22</v>
      </c>
    </row>
    <row r="24" spans="1:6">
      <c r="A24" t="s">
        <v>271</v>
      </c>
      <c r="B24">
        <v>2.61757040517736E-2</v>
      </c>
      <c r="C24">
        <v>177.68044486718449</v>
      </c>
      <c r="D24">
        <v>148.55310497510629</v>
      </c>
      <c r="E24">
        <v>-0.1639310387468397</v>
      </c>
      <c r="F24">
        <v>23</v>
      </c>
    </row>
    <row r="25" spans="1:6">
      <c r="A25" t="s">
        <v>272</v>
      </c>
      <c r="B25">
        <v>0.1040637964814075</v>
      </c>
      <c r="C25">
        <v>374.31917656254592</v>
      </c>
      <c r="D25">
        <v>315.98920432904731</v>
      </c>
      <c r="E25">
        <v>-0.15582950563515161</v>
      </c>
      <c r="F25">
        <v>24</v>
      </c>
    </row>
    <row r="26" spans="1:6">
      <c r="A26" t="s">
        <v>273</v>
      </c>
      <c r="B26">
        <v>1.00775286164795E-2</v>
      </c>
      <c r="C26">
        <v>875.31277554035705</v>
      </c>
      <c r="D26">
        <v>739.02015857218714</v>
      </c>
      <c r="E26">
        <v>-0.15570733202658019</v>
      </c>
      <c r="F26">
        <v>25</v>
      </c>
    </row>
    <row r="27" spans="1:6">
      <c r="A27" t="s">
        <v>274</v>
      </c>
      <c r="B27">
        <v>5.3750661193657699E-2</v>
      </c>
      <c r="C27">
        <v>777.05752229607549</v>
      </c>
      <c r="D27">
        <v>661.68001466170949</v>
      </c>
      <c r="E27">
        <v>-0.1484800086529561</v>
      </c>
      <c r="F27">
        <v>26</v>
      </c>
    </row>
    <row r="28" spans="1:6">
      <c r="A28" t="s">
        <v>275</v>
      </c>
      <c r="B28">
        <v>2.40864447792987E-2</v>
      </c>
      <c r="C28">
        <v>66.717140234714364</v>
      </c>
      <c r="D28">
        <v>57.193031393620629</v>
      </c>
      <c r="E28">
        <v>-0.14275355339853329</v>
      </c>
      <c r="F28">
        <v>27</v>
      </c>
    </row>
    <row r="29" spans="1:6">
      <c r="A29" t="s">
        <v>276</v>
      </c>
      <c r="B29">
        <v>0.16938374672583789</v>
      </c>
      <c r="C29">
        <v>307.46412512774822</v>
      </c>
      <c r="D29">
        <v>266.03060653984721</v>
      </c>
      <c r="E29">
        <v>-0.13475887169173251</v>
      </c>
      <c r="F29">
        <v>28</v>
      </c>
    </row>
    <row r="30" spans="1:6">
      <c r="A30" t="s">
        <v>277</v>
      </c>
      <c r="B30">
        <v>8.6213096963042996E-2</v>
      </c>
      <c r="C30">
        <v>220.99237626974261</v>
      </c>
      <c r="D30">
        <v>192.7686601750608</v>
      </c>
      <c r="E30">
        <v>-0.12771352827226959</v>
      </c>
      <c r="F30">
        <v>29</v>
      </c>
    </row>
    <row r="31" spans="1:6">
      <c r="A31" t="s">
        <v>278</v>
      </c>
      <c r="B31">
        <v>8.2691536137425997E-3</v>
      </c>
      <c r="C31">
        <v>194.7625091090714</v>
      </c>
      <c r="D31">
        <v>169.92807914704551</v>
      </c>
      <c r="E31">
        <v>-0.12751134741295631</v>
      </c>
      <c r="F31">
        <v>30</v>
      </c>
    </row>
    <row r="32" spans="1:6">
      <c r="A32" t="s">
        <v>279</v>
      </c>
      <c r="B32">
        <v>7.38313181551086E-2</v>
      </c>
      <c r="C32">
        <v>121.5511224970604</v>
      </c>
      <c r="D32">
        <v>106.0659870381381</v>
      </c>
      <c r="E32">
        <v>-0.12739607122342131</v>
      </c>
      <c r="F32">
        <v>31</v>
      </c>
    </row>
    <row r="33" spans="1:6">
      <c r="A33" t="s">
        <v>280</v>
      </c>
      <c r="B33">
        <v>7.9774023616011602E-2</v>
      </c>
      <c r="C33">
        <v>383.99709080105168</v>
      </c>
      <c r="D33">
        <v>335.89867481178629</v>
      </c>
      <c r="E33">
        <v>-0.12525724059244281</v>
      </c>
      <c r="F33">
        <v>32</v>
      </c>
    </row>
    <row r="34" spans="1:6">
      <c r="A34" t="s">
        <v>281</v>
      </c>
      <c r="B34">
        <v>0.1100319074647666</v>
      </c>
      <c r="C34">
        <v>179.84378973846921</v>
      </c>
      <c r="D34">
        <v>158.43263493058001</v>
      </c>
      <c r="E34">
        <v>-0.1190541794021663</v>
      </c>
      <c r="F34">
        <v>33</v>
      </c>
    </row>
    <row r="35" spans="1:6">
      <c r="A35" t="s">
        <v>282</v>
      </c>
      <c r="B35">
        <v>0.15880335796355749</v>
      </c>
      <c r="C35">
        <v>51.155247785214129</v>
      </c>
      <c r="D35">
        <v>45.090076393370772</v>
      </c>
      <c r="E35">
        <v>-0.1185640116007107</v>
      </c>
      <c r="F35">
        <v>34</v>
      </c>
    </row>
    <row r="36" spans="1:6">
      <c r="A36" t="s">
        <v>283</v>
      </c>
      <c r="B36">
        <v>2.2171356715256999E-2</v>
      </c>
      <c r="C36">
        <v>65.616846436737688</v>
      </c>
      <c r="D36">
        <v>57.843210171860548</v>
      </c>
      <c r="E36">
        <v>-0.1184701290448609</v>
      </c>
      <c r="F36">
        <v>35</v>
      </c>
    </row>
    <row r="37" spans="1:6">
      <c r="A37" t="s">
        <v>284</v>
      </c>
      <c r="B37">
        <v>3.5059598291151899E-2</v>
      </c>
      <c r="C37">
        <v>129.33221273998711</v>
      </c>
      <c r="D37">
        <v>114.0607283887533</v>
      </c>
      <c r="E37">
        <v>-0.1180795103377381</v>
      </c>
      <c r="F37">
        <v>36</v>
      </c>
    </row>
    <row r="38" spans="1:6">
      <c r="A38" t="s">
        <v>285</v>
      </c>
      <c r="B38">
        <v>1.33049955604833E-2</v>
      </c>
      <c r="C38">
        <v>61.620644438115569</v>
      </c>
      <c r="D38">
        <v>54.475529846359549</v>
      </c>
      <c r="E38">
        <v>-0.1159532597704608</v>
      </c>
      <c r="F38">
        <v>37</v>
      </c>
    </row>
    <row r="39" spans="1:6">
      <c r="A39" t="s">
        <v>286</v>
      </c>
      <c r="B39">
        <v>3.3956865212343798E-2</v>
      </c>
      <c r="C39">
        <v>240.29164549764531</v>
      </c>
      <c r="D39">
        <v>212.78564127109809</v>
      </c>
      <c r="E39">
        <v>-0.1144692491059443</v>
      </c>
      <c r="F39">
        <v>38</v>
      </c>
    </row>
    <row r="40" spans="1:6">
      <c r="A40" t="s">
        <v>287</v>
      </c>
      <c r="B40">
        <v>1.20223698166894E-2</v>
      </c>
      <c r="C40">
        <v>241.79636071831791</v>
      </c>
      <c r="D40">
        <v>215.6229321487485</v>
      </c>
      <c r="E40">
        <v>-0.1082457506465959</v>
      </c>
      <c r="F40">
        <v>39</v>
      </c>
    </row>
    <row r="41" spans="1:6">
      <c r="A41" t="s">
        <v>288</v>
      </c>
      <c r="B41">
        <v>1.0315482795552699E-2</v>
      </c>
      <c r="C41">
        <v>128.14388621613489</v>
      </c>
      <c r="D41">
        <v>114.5792483556779</v>
      </c>
      <c r="E41">
        <v>-0.1058547407995581</v>
      </c>
      <c r="F41">
        <v>40</v>
      </c>
    </row>
    <row r="42" spans="1:6">
      <c r="A42" t="s">
        <v>289</v>
      </c>
      <c r="B42">
        <v>4.8595409376370503E-2</v>
      </c>
      <c r="C42">
        <v>65.168594613574314</v>
      </c>
      <c r="D42">
        <v>58.79588345681988</v>
      </c>
      <c r="E42">
        <v>-9.7788070995580803E-2</v>
      </c>
      <c r="F42">
        <v>41</v>
      </c>
    </row>
    <row r="43" spans="1:6">
      <c r="A43" t="s">
        <v>290</v>
      </c>
      <c r="B43">
        <v>-3.14168707655594E-2</v>
      </c>
      <c r="C43">
        <v>265.07310164361542</v>
      </c>
      <c r="D43">
        <v>239.43089735515451</v>
      </c>
      <c r="E43">
        <v>-9.67363498199688E-2</v>
      </c>
      <c r="F43">
        <v>42</v>
      </c>
    </row>
    <row r="44" spans="1:6">
      <c r="A44" t="s">
        <v>291</v>
      </c>
      <c r="B44">
        <v>6.1165339423319802E-2</v>
      </c>
      <c r="C44">
        <v>202.82500352848999</v>
      </c>
      <c r="D44">
        <v>183.38312175714739</v>
      </c>
      <c r="E44">
        <v>-9.5855448949180799E-2</v>
      </c>
      <c r="F44">
        <v>43</v>
      </c>
    </row>
    <row r="45" spans="1:6">
      <c r="A45" t="s">
        <v>292</v>
      </c>
      <c r="B45">
        <v>7.67421814572668E-2</v>
      </c>
      <c r="C45">
        <v>369.09297407025122</v>
      </c>
      <c r="D45">
        <v>333.73445869731262</v>
      </c>
      <c r="E45">
        <v>-9.5798397306280494E-2</v>
      </c>
      <c r="F45">
        <v>44</v>
      </c>
    </row>
    <row r="46" spans="1:6">
      <c r="A46" t="s">
        <v>293</v>
      </c>
      <c r="B46">
        <v>3.1688577163618802E-2</v>
      </c>
      <c r="C46">
        <v>128.65408378778079</v>
      </c>
      <c r="D46">
        <v>117.6042869706185</v>
      </c>
      <c r="E46">
        <v>-8.5887649205052694E-2</v>
      </c>
      <c r="F46">
        <v>45</v>
      </c>
    </row>
    <row r="47" spans="1:6">
      <c r="A47" t="s">
        <v>294</v>
      </c>
      <c r="B47">
        <v>4.7375724591036797E-2</v>
      </c>
      <c r="C47">
        <v>110.562467687206</v>
      </c>
      <c r="D47">
        <v>101.4803114420385</v>
      </c>
      <c r="E47">
        <v>-8.2145021137390001E-2</v>
      </c>
      <c r="F47">
        <v>46</v>
      </c>
    </row>
    <row r="48" spans="1:6">
      <c r="A48" t="s">
        <v>295</v>
      </c>
      <c r="B48">
        <v>-2.0459817007899002E-3</v>
      </c>
      <c r="C48">
        <v>239.4268225017733</v>
      </c>
      <c r="D48">
        <v>221.00866443735799</v>
      </c>
      <c r="E48">
        <v>-7.6926043088922799E-2</v>
      </c>
      <c r="F48">
        <v>47</v>
      </c>
    </row>
    <row r="49" spans="1:6">
      <c r="A49" t="s">
        <v>296</v>
      </c>
      <c r="B49">
        <v>8.8100864061171999E-2</v>
      </c>
      <c r="C49">
        <v>205.85600488732331</v>
      </c>
      <c r="D49">
        <v>190.5661268044617</v>
      </c>
      <c r="E49">
        <v>-7.4274627505913904E-2</v>
      </c>
      <c r="F49">
        <v>48</v>
      </c>
    </row>
    <row r="50" spans="1:6">
      <c r="A50" t="s">
        <v>297</v>
      </c>
      <c r="B50">
        <v>5.7484409559583602E-2</v>
      </c>
      <c r="C50">
        <v>377.64669886872622</v>
      </c>
      <c r="D50">
        <v>350.5411371082572</v>
      </c>
      <c r="E50">
        <v>-7.1774920426065106E-2</v>
      </c>
      <c r="F50">
        <v>49</v>
      </c>
    </row>
    <row r="51" spans="1:6">
      <c r="A51" t="s">
        <v>298</v>
      </c>
      <c r="B51">
        <v>-6.6061695387036002E-3</v>
      </c>
      <c r="C51">
        <v>137.6989662877472</v>
      </c>
      <c r="D51">
        <v>128.97567382107721</v>
      </c>
      <c r="E51">
        <v>-6.3350457173665803E-2</v>
      </c>
      <c r="F51">
        <v>50</v>
      </c>
    </row>
    <row r="52" spans="1:6">
      <c r="A52" t="s">
        <v>299</v>
      </c>
      <c r="B52">
        <v>5.8642973129226797E-2</v>
      </c>
      <c r="C52">
        <v>302.49650632667669</v>
      </c>
      <c r="D52">
        <v>283.52542514989608</v>
      </c>
      <c r="E52">
        <v>-6.2715042256696399E-2</v>
      </c>
      <c r="F52">
        <v>51</v>
      </c>
    </row>
    <row r="53" spans="1:6">
      <c r="A53" t="s">
        <v>300</v>
      </c>
      <c r="B53">
        <v>0.1067981172792815</v>
      </c>
      <c r="C53">
        <v>178.83782273161171</v>
      </c>
      <c r="D53">
        <v>167.71560779403339</v>
      </c>
      <c r="E53">
        <v>-6.2191625729361703E-2</v>
      </c>
      <c r="F53">
        <v>52</v>
      </c>
    </row>
    <row r="54" spans="1:6">
      <c r="A54" t="s">
        <v>301</v>
      </c>
      <c r="B54">
        <v>-4.3240573801685998E-3</v>
      </c>
      <c r="C54">
        <v>930.77271397446395</v>
      </c>
      <c r="D54">
        <v>875.25533030234124</v>
      </c>
      <c r="E54">
        <v>-5.9646552631586802E-2</v>
      </c>
      <c r="F54">
        <v>53</v>
      </c>
    </row>
    <row r="55" spans="1:6">
      <c r="A55" t="s">
        <v>302</v>
      </c>
      <c r="B55">
        <v>2.76143801478709E-2</v>
      </c>
      <c r="C55">
        <v>126.6965288176696</v>
      </c>
      <c r="D55">
        <v>119.30161548389189</v>
      </c>
      <c r="E55">
        <v>-5.83671344652213E-2</v>
      </c>
      <c r="F55">
        <v>54</v>
      </c>
    </row>
    <row r="56" spans="1:6">
      <c r="A56" t="s">
        <v>303</v>
      </c>
      <c r="B56">
        <v>0.1505746191165768</v>
      </c>
      <c r="C56">
        <v>322.36723084967798</v>
      </c>
      <c r="D56">
        <v>306.24537919623731</v>
      </c>
      <c r="E56">
        <v>-5.0010826506613697E-2</v>
      </c>
      <c r="F56">
        <v>55</v>
      </c>
    </row>
    <row r="57" spans="1:6">
      <c r="A57" t="s">
        <v>304</v>
      </c>
      <c r="B57">
        <v>5.5133068427100002E-2</v>
      </c>
      <c r="C57">
        <v>354.34795868589339</v>
      </c>
      <c r="D57">
        <v>336.90822731051708</v>
      </c>
      <c r="E57">
        <v>-4.9216401415297997E-2</v>
      </c>
      <c r="F57">
        <v>56</v>
      </c>
    </row>
    <row r="58" spans="1:6">
      <c r="A58" t="s">
        <v>305</v>
      </c>
      <c r="B58">
        <v>-1.0487348897164499E-2</v>
      </c>
      <c r="C58">
        <v>310.15105173213362</v>
      </c>
      <c r="D58">
        <v>295.23291544940042</v>
      </c>
      <c r="E58">
        <v>-4.8099583088363998E-2</v>
      </c>
      <c r="F58">
        <v>57</v>
      </c>
    </row>
    <row r="59" spans="1:6">
      <c r="A59" t="s">
        <v>306</v>
      </c>
      <c r="B59">
        <v>0.1573678745761688</v>
      </c>
      <c r="C59">
        <v>270.62117845973711</v>
      </c>
      <c r="D59">
        <v>257.79045087736603</v>
      </c>
      <c r="E59">
        <v>-4.7412134022171502E-2</v>
      </c>
      <c r="F59">
        <v>58</v>
      </c>
    </row>
    <row r="60" spans="1:6">
      <c r="A60" t="s">
        <v>307</v>
      </c>
      <c r="B60">
        <v>6.8756367884978298E-2</v>
      </c>
      <c r="C60">
        <v>123.7204432239091</v>
      </c>
      <c r="D60">
        <v>117.85743564518771</v>
      </c>
      <c r="E60">
        <v>-4.7389157571239099E-2</v>
      </c>
      <c r="F60">
        <v>59</v>
      </c>
    </row>
    <row r="61" spans="1:6">
      <c r="A61" t="s">
        <v>308</v>
      </c>
      <c r="B61">
        <v>-6.1112837105682999E-3</v>
      </c>
      <c r="C61">
        <v>124.3122031905761</v>
      </c>
      <c r="D61">
        <v>118.631468598113</v>
      </c>
      <c r="E61">
        <v>-4.5697320509670999E-2</v>
      </c>
      <c r="F61">
        <v>60</v>
      </c>
    </row>
    <row r="62" spans="1:6">
      <c r="A62" t="s">
        <v>309</v>
      </c>
      <c r="B62">
        <v>1.48028035343124E-2</v>
      </c>
      <c r="C62">
        <v>295.30962469473133</v>
      </c>
      <c r="D62">
        <v>282.33320648346728</v>
      </c>
      <c r="E62">
        <v>-4.3941738183027698E-2</v>
      </c>
      <c r="F62">
        <v>61</v>
      </c>
    </row>
    <row r="63" spans="1:6">
      <c r="A63" t="s">
        <v>310</v>
      </c>
      <c r="B63">
        <v>4.1929041239245401E-2</v>
      </c>
      <c r="C63">
        <v>77.576938148302872</v>
      </c>
      <c r="D63">
        <v>74.293260762324167</v>
      </c>
      <c r="E63">
        <v>-4.2328009642522098E-2</v>
      </c>
      <c r="F63">
        <v>62</v>
      </c>
    </row>
    <row r="64" spans="1:6">
      <c r="A64" t="s">
        <v>311</v>
      </c>
      <c r="B64">
        <v>8.0742452699998898E-2</v>
      </c>
      <c r="C64">
        <v>756.58420766691609</v>
      </c>
      <c r="D64">
        <v>728.11016268519734</v>
      </c>
      <c r="E64">
        <v>-3.7634997787654501E-2</v>
      </c>
      <c r="F64">
        <v>63</v>
      </c>
    </row>
    <row r="65" spans="1:6">
      <c r="A65" t="s">
        <v>312</v>
      </c>
      <c r="B65">
        <v>8.3665611361414705E-2</v>
      </c>
      <c r="C65">
        <v>311.91206319309151</v>
      </c>
      <c r="D65">
        <v>300.45882967512023</v>
      </c>
      <c r="E65">
        <v>-3.6719431113765702E-2</v>
      </c>
      <c r="F65">
        <v>64</v>
      </c>
    </row>
    <row r="66" spans="1:6">
      <c r="A66" t="s">
        <v>313</v>
      </c>
      <c r="B66">
        <v>-1.7243138247771701E-2</v>
      </c>
      <c r="C66">
        <v>182.20074300555609</v>
      </c>
      <c r="D66">
        <v>175.92377363019531</v>
      </c>
      <c r="E66">
        <v>-3.4450844007641403E-2</v>
      </c>
      <c r="F66">
        <v>65</v>
      </c>
    </row>
    <row r="67" spans="1:6">
      <c r="A67" t="s">
        <v>314</v>
      </c>
      <c r="B67">
        <v>-0.20175844516427571</v>
      </c>
      <c r="C67">
        <v>378.88977191182289</v>
      </c>
      <c r="D67">
        <v>365.99978996009241</v>
      </c>
      <c r="E67">
        <v>-3.4020400937954803E-2</v>
      </c>
      <c r="F67">
        <v>66</v>
      </c>
    </row>
    <row r="68" spans="1:6">
      <c r="A68" t="s">
        <v>315</v>
      </c>
      <c r="B68">
        <v>2.5547627460390299E-2</v>
      </c>
      <c r="C68">
        <v>142.75036344427389</v>
      </c>
      <c r="D68">
        <v>137.97281126836469</v>
      </c>
      <c r="E68">
        <v>-3.3467880996143999E-2</v>
      </c>
      <c r="F68">
        <v>67</v>
      </c>
    </row>
    <row r="69" spans="1:6">
      <c r="A69" t="s">
        <v>316</v>
      </c>
      <c r="B69">
        <v>2.6076693579052401E-2</v>
      </c>
      <c r="C69">
        <v>189.85751743425931</v>
      </c>
      <c r="D69">
        <v>184.0843571269375</v>
      </c>
      <c r="E69">
        <v>-3.0407857351873398E-2</v>
      </c>
      <c r="F69">
        <v>68</v>
      </c>
    </row>
    <row r="70" spans="1:6">
      <c r="A70" t="s">
        <v>317</v>
      </c>
      <c r="B70">
        <v>3.6164519194005401E-2</v>
      </c>
      <c r="C70">
        <v>308.09016846802922</v>
      </c>
      <c r="D70">
        <v>298.73187367761352</v>
      </c>
      <c r="E70">
        <v>-3.0375181515689201E-2</v>
      </c>
      <c r="F70">
        <v>69</v>
      </c>
    </row>
    <row r="71" spans="1:6">
      <c r="A71" t="s">
        <v>318</v>
      </c>
      <c r="B71">
        <v>2.9636658629325998E-3</v>
      </c>
      <c r="C71">
        <v>347.49983885180308</v>
      </c>
      <c r="D71">
        <v>337.53218461373848</v>
      </c>
      <c r="E71">
        <v>-2.86839103897122E-2</v>
      </c>
      <c r="F71">
        <v>70</v>
      </c>
    </row>
    <row r="72" spans="1:6">
      <c r="A72" t="s">
        <v>319</v>
      </c>
      <c r="B72">
        <v>5.8597437648276199E-2</v>
      </c>
      <c r="C72">
        <v>474.65888136464002</v>
      </c>
      <c r="D72">
        <v>462.80466929031581</v>
      </c>
      <c r="E72">
        <v>-2.4974171009385399E-2</v>
      </c>
      <c r="F72">
        <v>71</v>
      </c>
    </row>
    <row r="73" spans="1:6">
      <c r="A73" t="s">
        <v>320</v>
      </c>
      <c r="B73">
        <v>7.8617776755312396E-2</v>
      </c>
      <c r="C73">
        <v>309.27555539405381</v>
      </c>
      <c r="D73">
        <v>302.3160783427299</v>
      </c>
      <c r="E73">
        <v>-2.25025125004032E-2</v>
      </c>
      <c r="F73">
        <v>72</v>
      </c>
    </row>
    <row r="74" spans="1:6">
      <c r="A74" t="s">
        <v>321</v>
      </c>
      <c r="B74">
        <v>-8.8756494870190009E-3</v>
      </c>
      <c r="C74">
        <v>278.53594097414981</v>
      </c>
      <c r="D74">
        <v>272.76655589979453</v>
      </c>
      <c r="E74">
        <v>-2.0713251777050402E-2</v>
      </c>
      <c r="F74">
        <v>73</v>
      </c>
    </row>
    <row r="75" spans="1:6">
      <c r="A75" t="s">
        <v>322</v>
      </c>
      <c r="B75">
        <v>-8.5338600430976998E-3</v>
      </c>
      <c r="C75">
        <v>190.91812942996859</v>
      </c>
      <c r="D75">
        <v>187.04977220135049</v>
      </c>
      <c r="E75">
        <v>-2.0261864287943701E-2</v>
      </c>
      <c r="F75">
        <v>74</v>
      </c>
    </row>
    <row r="76" spans="1:6">
      <c r="A76" t="s">
        <v>323</v>
      </c>
      <c r="B76">
        <v>7.1485413978435705E-2</v>
      </c>
      <c r="C76">
        <v>204.4640221395407</v>
      </c>
      <c r="D76">
        <v>201.00546018976931</v>
      </c>
      <c r="E76">
        <v>-1.6915259289045199E-2</v>
      </c>
      <c r="F76">
        <v>75</v>
      </c>
    </row>
    <row r="77" spans="1:6">
      <c r="A77" t="s">
        <v>324</v>
      </c>
      <c r="B77">
        <v>8.5814102372704995E-2</v>
      </c>
      <c r="C77">
        <v>195.39596978677881</v>
      </c>
      <c r="D77">
        <v>192.1802551948102</v>
      </c>
      <c r="E77">
        <v>-1.6457425378208601E-2</v>
      </c>
      <c r="F77">
        <v>76</v>
      </c>
    </row>
    <row r="78" spans="1:6">
      <c r="A78" t="s">
        <v>325</v>
      </c>
      <c r="B78">
        <v>0.15588213779405691</v>
      </c>
      <c r="C78">
        <v>90.884728639846287</v>
      </c>
      <c r="D78">
        <v>89.488382747782495</v>
      </c>
      <c r="E78">
        <v>-1.53639221127804E-2</v>
      </c>
      <c r="F78">
        <v>77</v>
      </c>
    </row>
    <row r="79" spans="1:6">
      <c r="A79" t="s">
        <v>326</v>
      </c>
      <c r="B79">
        <v>1.6139112575176098E-2</v>
      </c>
      <c r="C79">
        <v>150.71234746037001</v>
      </c>
      <c r="D79">
        <v>148.60356448146561</v>
      </c>
      <c r="E79">
        <v>-1.39921049233137E-2</v>
      </c>
      <c r="F79">
        <v>78</v>
      </c>
    </row>
    <row r="80" spans="1:6">
      <c r="A80" t="s">
        <v>327</v>
      </c>
      <c r="B80">
        <v>-5.1269446047428703E-2</v>
      </c>
      <c r="C80">
        <v>1078.929589106971</v>
      </c>
      <c r="D80">
        <v>1063.8502440098721</v>
      </c>
      <c r="E80">
        <v>-1.3976208688075999E-2</v>
      </c>
      <c r="F80">
        <v>79</v>
      </c>
    </row>
    <row r="81" spans="1:6">
      <c r="A81" t="s">
        <v>328</v>
      </c>
      <c r="B81">
        <v>3.4045048935981301E-2</v>
      </c>
      <c r="C81">
        <v>141.36242653793889</v>
      </c>
      <c r="D81">
        <v>140.02548009486421</v>
      </c>
      <c r="E81">
        <v>-9.4575798945825996E-3</v>
      </c>
      <c r="F81">
        <v>80</v>
      </c>
    </row>
    <row r="82" spans="1:6">
      <c r="A82" t="s">
        <v>329</v>
      </c>
      <c r="B82">
        <v>7.1033878205761999E-2</v>
      </c>
      <c r="C82">
        <v>385.01793988350101</v>
      </c>
      <c r="D82">
        <v>383.20634574131941</v>
      </c>
      <c r="E82">
        <v>-4.7052200807311002E-3</v>
      </c>
      <c r="F82">
        <v>81</v>
      </c>
    </row>
    <row r="83" spans="1:6">
      <c r="A83" t="s">
        <v>330</v>
      </c>
      <c r="B83">
        <v>5.0928657778446601E-2</v>
      </c>
      <c r="C83">
        <v>428.30861672032751</v>
      </c>
      <c r="D83">
        <v>429.42280532800402</v>
      </c>
      <c r="E83">
        <v>2.6013686491019E-3</v>
      </c>
      <c r="F83">
        <v>82</v>
      </c>
    </row>
    <row r="84" spans="1:6">
      <c r="A84" t="s">
        <v>331</v>
      </c>
      <c r="B84">
        <v>-2.7983290182827501E-2</v>
      </c>
      <c r="C84">
        <v>124.59059941125309</v>
      </c>
      <c r="D84">
        <v>125.19993673732721</v>
      </c>
      <c r="E84">
        <v>4.8907167069869003E-3</v>
      </c>
      <c r="F84">
        <v>83</v>
      </c>
    </row>
    <row r="85" spans="1:6">
      <c r="A85" t="s">
        <v>332</v>
      </c>
      <c r="B85">
        <v>0.166454585168166</v>
      </c>
      <c r="C85">
        <v>28.68365263968516</v>
      </c>
      <c r="D85">
        <v>28.905489501552601</v>
      </c>
      <c r="E85">
        <v>7.7339125757129E-3</v>
      </c>
      <c r="F85">
        <v>84</v>
      </c>
    </row>
    <row r="86" spans="1:6">
      <c r="A86" t="s">
        <v>333</v>
      </c>
      <c r="B86">
        <v>0.13069211268161449</v>
      </c>
      <c r="C86">
        <v>239.52818281515641</v>
      </c>
      <c r="D86">
        <v>243.50761203695279</v>
      </c>
      <c r="E86">
        <v>1.6613615880296501E-2</v>
      </c>
      <c r="F86">
        <v>85</v>
      </c>
    </row>
    <row r="87" spans="1:6">
      <c r="A87" t="s">
        <v>334</v>
      </c>
      <c r="B87">
        <v>-7.3036982914548104E-2</v>
      </c>
      <c r="C87">
        <v>335.49155447111963</v>
      </c>
      <c r="D87">
        <v>341.13473262606988</v>
      </c>
      <c r="E87">
        <v>1.6820626569411901E-2</v>
      </c>
      <c r="F87">
        <v>86</v>
      </c>
    </row>
    <row r="88" spans="1:6">
      <c r="A88" t="s">
        <v>335</v>
      </c>
      <c r="B88">
        <v>1.21925732564314E-2</v>
      </c>
      <c r="C88">
        <v>537.4907637288552</v>
      </c>
      <c r="D88">
        <v>547.70383795481428</v>
      </c>
      <c r="E88">
        <v>1.90013948427794E-2</v>
      </c>
      <c r="F88">
        <v>87</v>
      </c>
    </row>
    <row r="89" spans="1:6">
      <c r="A89" t="s">
        <v>336</v>
      </c>
      <c r="B89">
        <v>1.89065498589156E-2</v>
      </c>
      <c r="C89">
        <v>321.92967088089671</v>
      </c>
      <c r="D89">
        <v>328.46380816005228</v>
      </c>
      <c r="E89">
        <v>2.0296784888687899E-2</v>
      </c>
      <c r="F89">
        <v>88</v>
      </c>
    </row>
    <row r="90" spans="1:6">
      <c r="A90" t="s">
        <v>337</v>
      </c>
      <c r="B90">
        <v>3.9924884280115203E-2</v>
      </c>
      <c r="C90">
        <v>66.237309345876042</v>
      </c>
      <c r="D90">
        <v>67.783150794302117</v>
      </c>
      <c r="E90">
        <v>2.33379263694732E-2</v>
      </c>
      <c r="F90">
        <v>89</v>
      </c>
    </row>
    <row r="91" spans="1:6">
      <c r="A91" t="s">
        <v>338</v>
      </c>
      <c r="B91">
        <v>4.02658634062147E-2</v>
      </c>
      <c r="C91">
        <v>1610.923473977673</v>
      </c>
      <c r="D91">
        <v>1651.264781951093</v>
      </c>
      <c r="E91">
        <v>2.50423490780784E-2</v>
      </c>
      <c r="F91">
        <v>90</v>
      </c>
    </row>
    <row r="92" spans="1:6">
      <c r="A92" t="s">
        <v>339</v>
      </c>
      <c r="B92">
        <v>2.66315412604596E-2</v>
      </c>
      <c r="C92">
        <v>320.39569484966319</v>
      </c>
      <c r="D92">
        <v>329.04573500158972</v>
      </c>
      <c r="E92">
        <v>2.6997991205797101E-2</v>
      </c>
      <c r="F92">
        <v>91</v>
      </c>
    </row>
    <row r="93" spans="1:6">
      <c r="A93" t="s">
        <v>340</v>
      </c>
      <c r="B93">
        <v>2.7587478784814899E-2</v>
      </c>
      <c r="C93">
        <v>130.6042910130154</v>
      </c>
      <c r="D93">
        <v>134.67272606331241</v>
      </c>
      <c r="E93">
        <v>3.1150852845191299E-2</v>
      </c>
      <c r="F93">
        <v>92</v>
      </c>
    </row>
    <row r="94" spans="1:6">
      <c r="A94" t="s">
        <v>341</v>
      </c>
      <c r="B94">
        <v>9.0553554371909595E-2</v>
      </c>
      <c r="C94">
        <v>287.18308304354912</v>
      </c>
      <c r="D94">
        <v>299.67521166018082</v>
      </c>
      <c r="E94">
        <v>4.3498831770454299E-2</v>
      </c>
      <c r="F94">
        <v>93</v>
      </c>
    </row>
    <row r="95" spans="1:6">
      <c r="A95" t="s">
        <v>342</v>
      </c>
      <c r="B95">
        <v>2.6514788057745799E-2</v>
      </c>
      <c r="C95">
        <v>269.57392161493772</v>
      </c>
      <c r="D95">
        <v>282.69810088131283</v>
      </c>
      <c r="E95">
        <v>4.8684899443358597E-2</v>
      </c>
      <c r="F95">
        <v>94</v>
      </c>
    </row>
    <row r="96" spans="1:6">
      <c r="A96" t="s">
        <v>343</v>
      </c>
      <c r="B96">
        <v>9.5287900411220004E-3</v>
      </c>
      <c r="C96">
        <v>149.08742212016429</v>
      </c>
      <c r="D96">
        <v>157.76210404432231</v>
      </c>
      <c r="E96">
        <v>5.8185203022466901E-2</v>
      </c>
      <c r="F96">
        <v>95</v>
      </c>
    </row>
    <row r="97" spans="1:6">
      <c r="A97" t="s">
        <v>344</v>
      </c>
      <c r="B97">
        <v>8.2418278096088898E-2</v>
      </c>
      <c r="C97">
        <v>97.724737088635862</v>
      </c>
      <c r="D97">
        <v>103.8417117330501</v>
      </c>
      <c r="E97">
        <v>6.25939227533161E-2</v>
      </c>
      <c r="F97">
        <v>96</v>
      </c>
    </row>
    <row r="98" spans="1:6">
      <c r="A98" t="s">
        <v>345</v>
      </c>
      <c r="B98">
        <v>2.6445657670320699E-2</v>
      </c>
      <c r="C98">
        <v>157.16765086520911</v>
      </c>
      <c r="D98">
        <v>168.27269114063989</v>
      </c>
      <c r="E98">
        <v>7.0657289934012907E-2</v>
      </c>
      <c r="F98">
        <v>97</v>
      </c>
    </row>
    <row r="99" spans="1:6">
      <c r="A99" t="s">
        <v>346</v>
      </c>
      <c r="B99">
        <v>3.8030192944843402E-2</v>
      </c>
      <c r="C99">
        <v>143.7114298418532</v>
      </c>
      <c r="D99">
        <v>154.37439396320389</v>
      </c>
      <c r="E99">
        <v>7.4197049831629294E-2</v>
      </c>
      <c r="F99">
        <v>98</v>
      </c>
    </row>
    <row r="100" spans="1:6">
      <c r="A100" t="s">
        <v>347</v>
      </c>
      <c r="B100">
        <v>-4.37903736174729E-2</v>
      </c>
      <c r="C100">
        <v>693.3328393380574</v>
      </c>
      <c r="D100">
        <v>747.04041131745078</v>
      </c>
      <c r="E100">
        <v>7.7462899392836099E-2</v>
      </c>
      <c r="F100">
        <v>99</v>
      </c>
    </row>
    <row r="101" spans="1:6">
      <c r="A101" t="s">
        <v>348</v>
      </c>
      <c r="B101">
        <v>4.5287901514040997E-3</v>
      </c>
      <c r="C101">
        <v>988.80902829852675</v>
      </c>
      <c r="D101">
        <v>1065.7367396308</v>
      </c>
      <c r="E101">
        <v>7.7798350470813696E-2</v>
      </c>
      <c r="F101">
        <v>100</v>
      </c>
    </row>
    <row r="102" spans="1:6">
      <c r="A102" t="s">
        <v>349</v>
      </c>
      <c r="B102">
        <v>3.5086994451518402E-2</v>
      </c>
      <c r="C102">
        <v>458.52399067405042</v>
      </c>
      <c r="D102">
        <v>496.94805193414669</v>
      </c>
      <c r="E102">
        <v>8.3799456607736605E-2</v>
      </c>
      <c r="F102">
        <v>101</v>
      </c>
    </row>
    <row r="103" spans="1:6">
      <c r="A103" t="s">
        <v>350</v>
      </c>
      <c r="B103">
        <v>-8.8591094623548996E-3</v>
      </c>
      <c r="C103">
        <v>558.45774043274173</v>
      </c>
      <c r="D103">
        <v>609.8690641822684</v>
      </c>
      <c r="E103">
        <v>9.2059470264820295E-2</v>
      </c>
      <c r="F103">
        <v>102</v>
      </c>
    </row>
    <row r="104" spans="1:6">
      <c r="A104" t="s">
        <v>351</v>
      </c>
      <c r="B104">
        <v>9.0798122431576797E-2</v>
      </c>
      <c r="C104">
        <v>72.287386193426514</v>
      </c>
      <c r="D104">
        <v>79.059858499110845</v>
      </c>
      <c r="E104">
        <v>9.3688161411211501E-2</v>
      </c>
      <c r="F104">
        <v>103</v>
      </c>
    </row>
    <row r="105" spans="1:6">
      <c r="A105" t="s">
        <v>352</v>
      </c>
      <c r="B105">
        <v>2.507449993313E-2</v>
      </c>
      <c r="C105">
        <v>77.203534846079194</v>
      </c>
      <c r="D105">
        <v>84.514741254436757</v>
      </c>
      <c r="E105">
        <v>9.4700410064564006E-2</v>
      </c>
      <c r="F105">
        <v>104</v>
      </c>
    </row>
    <row r="106" spans="1:6">
      <c r="A106" t="s">
        <v>353</v>
      </c>
      <c r="B106">
        <v>1.9925592152035998E-3</v>
      </c>
      <c r="C106">
        <v>43.513371467103909</v>
      </c>
      <c r="D106">
        <v>47.897364910205482</v>
      </c>
      <c r="E106">
        <v>0.100750488764491</v>
      </c>
      <c r="F106">
        <v>105</v>
      </c>
    </row>
    <row r="107" spans="1:6">
      <c r="A107" t="s">
        <v>354</v>
      </c>
      <c r="B107">
        <v>7.1920048064732095E-2</v>
      </c>
      <c r="C107">
        <v>316.29644617429972</v>
      </c>
      <c r="D107">
        <v>348.39728976791838</v>
      </c>
      <c r="E107">
        <v>0.1014897384459674</v>
      </c>
      <c r="F107">
        <v>106</v>
      </c>
    </row>
    <row r="108" spans="1:6">
      <c r="A108" t="s">
        <v>355</v>
      </c>
      <c r="B108">
        <v>0.106483009229426</v>
      </c>
      <c r="C108">
        <v>48.417460037000851</v>
      </c>
      <c r="D108">
        <v>53.372875102041768</v>
      </c>
      <c r="E108">
        <v>0.1023476874097479</v>
      </c>
      <c r="F108">
        <v>107</v>
      </c>
    </row>
    <row r="109" spans="1:6">
      <c r="A109" t="s">
        <v>356</v>
      </c>
      <c r="B109">
        <v>6.9826460573874496E-2</v>
      </c>
      <c r="C109">
        <v>118.4163542863776</v>
      </c>
      <c r="D109">
        <v>131.77205218612971</v>
      </c>
      <c r="E109">
        <v>0.1127859237031798</v>
      </c>
      <c r="F109">
        <v>108</v>
      </c>
    </row>
    <row r="110" spans="1:6">
      <c r="A110" t="s">
        <v>357</v>
      </c>
      <c r="B110">
        <v>6.3307879209434301E-2</v>
      </c>
      <c r="C110">
        <v>176.491725207819</v>
      </c>
      <c r="D110">
        <v>197.03513031190619</v>
      </c>
      <c r="E110">
        <v>0.1163986871333333</v>
      </c>
      <c r="F110">
        <v>109</v>
      </c>
    </row>
    <row r="111" spans="1:6">
      <c r="A111" t="s">
        <v>358</v>
      </c>
      <c r="B111">
        <v>7.9507006515109006E-3</v>
      </c>
      <c r="C111">
        <v>146.18235644126921</v>
      </c>
      <c r="D111">
        <v>164.5614450077604</v>
      </c>
      <c r="E111">
        <v>0.1257271329722697</v>
      </c>
      <c r="F111">
        <v>110</v>
      </c>
    </row>
    <row r="112" spans="1:6">
      <c r="A112" t="s">
        <v>359</v>
      </c>
      <c r="B112">
        <v>7.9403528063162407E-2</v>
      </c>
      <c r="C112">
        <v>71.444665402534369</v>
      </c>
      <c r="D112">
        <v>80.542041268209573</v>
      </c>
      <c r="E112">
        <v>0.12733457164952289</v>
      </c>
      <c r="F112">
        <v>111</v>
      </c>
    </row>
    <row r="113" spans="1:6">
      <c r="A113" t="s">
        <v>360</v>
      </c>
      <c r="B113">
        <v>1.7928924537393202E-2</v>
      </c>
      <c r="C113">
        <v>49.241234363478092</v>
      </c>
      <c r="D113">
        <v>55.595855277976007</v>
      </c>
      <c r="E113">
        <v>0.12905080460799939</v>
      </c>
      <c r="F113">
        <v>112</v>
      </c>
    </row>
    <row r="114" spans="1:6">
      <c r="A114" t="s">
        <v>361</v>
      </c>
      <c r="B114">
        <v>3.4121934116659598E-2</v>
      </c>
      <c r="C114">
        <v>107.5805183616777</v>
      </c>
      <c r="D114">
        <v>122.31641343379179</v>
      </c>
      <c r="E114">
        <v>0.13697549794818009</v>
      </c>
      <c r="F114">
        <v>113</v>
      </c>
    </row>
    <row r="115" spans="1:6">
      <c r="A115" t="s">
        <v>362</v>
      </c>
      <c r="B115">
        <v>-8.2899356020504009E-3</v>
      </c>
      <c r="C115">
        <v>151.17811326450891</v>
      </c>
      <c r="D115">
        <v>172.91158012954341</v>
      </c>
      <c r="E115">
        <v>0.14376067008462101</v>
      </c>
      <c r="F115">
        <v>114</v>
      </c>
    </row>
    <row r="116" spans="1:6">
      <c r="A116" t="s">
        <v>363</v>
      </c>
      <c r="B116">
        <v>7.4768968036872094E-2</v>
      </c>
      <c r="C116">
        <v>262.56582817343462</v>
      </c>
      <c r="D116">
        <v>300.68962536438249</v>
      </c>
      <c r="E116">
        <v>0.14519710145131959</v>
      </c>
      <c r="F116">
        <v>115</v>
      </c>
    </row>
    <row r="117" spans="1:6">
      <c r="A117" t="s">
        <v>364</v>
      </c>
      <c r="B117">
        <v>3.6866021694517803E-2</v>
      </c>
      <c r="C117">
        <v>85.351569708453368</v>
      </c>
      <c r="D117">
        <v>98.566510748105202</v>
      </c>
      <c r="E117">
        <v>0.15482950207936241</v>
      </c>
      <c r="F117">
        <v>116</v>
      </c>
    </row>
    <row r="118" spans="1:6">
      <c r="A118" t="s">
        <v>365</v>
      </c>
      <c r="B118">
        <v>5.34946134333385E-2</v>
      </c>
      <c r="C118">
        <v>122.5112699948932</v>
      </c>
      <c r="D118">
        <v>142.65243658289279</v>
      </c>
      <c r="E118">
        <v>0.16440256140385351</v>
      </c>
      <c r="F118">
        <v>117</v>
      </c>
    </row>
    <row r="119" spans="1:6">
      <c r="A119" t="s">
        <v>366</v>
      </c>
      <c r="B119">
        <v>0.1085042769832065</v>
      </c>
      <c r="C119">
        <v>238.21504179561671</v>
      </c>
      <c r="D119">
        <v>279.59911819068412</v>
      </c>
      <c r="E119">
        <v>0.17372570633291051</v>
      </c>
      <c r="F119">
        <v>118</v>
      </c>
    </row>
    <row r="120" spans="1:6">
      <c r="A120" t="s">
        <v>367</v>
      </c>
      <c r="B120">
        <v>3.6971854148201999E-3</v>
      </c>
      <c r="C120">
        <v>195.2548949957482</v>
      </c>
      <c r="D120">
        <v>230.06457636303139</v>
      </c>
      <c r="E120">
        <v>0.17827814953392671</v>
      </c>
      <c r="F120">
        <v>119</v>
      </c>
    </row>
    <row r="121" spans="1:6">
      <c r="A121" t="s">
        <v>368</v>
      </c>
      <c r="B121">
        <v>1.8026222781973598E-2</v>
      </c>
      <c r="C121">
        <v>422.22894356777891</v>
      </c>
      <c r="D121">
        <v>504.83926247850422</v>
      </c>
      <c r="E121">
        <v>0.195652903878827</v>
      </c>
      <c r="F121">
        <v>120</v>
      </c>
    </row>
    <row r="122" spans="1:6">
      <c r="A122" t="s">
        <v>369</v>
      </c>
      <c r="B122">
        <v>-1.9730079472533898E-2</v>
      </c>
      <c r="C122">
        <v>818.25578882210903</v>
      </c>
      <c r="D122">
        <v>991.06759906098716</v>
      </c>
      <c r="E122">
        <v>0.21119534086968489</v>
      </c>
      <c r="F122">
        <v>121</v>
      </c>
    </row>
    <row r="123" spans="1:6">
      <c r="A123" t="s">
        <v>370</v>
      </c>
      <c r="B123">
        <v>3.0549962025216001E-3</v>
      </c>
      <c r="C123">
        <v>152.2936809715294</v>
      </c>
      <c r="D123">
        <v>185.3585837490381</v>
      </c>
      <c r="E123">
        <v>0.21711276900379081</v>
      </c>
      <c r="F123">
        <v>122</v>
      </c>
    </row>
    <row r="124" spans="1:6">
      <c r="A124" t="s">
        <v>371</v>
      </c>
      <c r="B124">
        <v>-6.2075363178581401E-2</v>
      </c>
      <c r="C124">
        <v>81.750657398966084</v>
      </c>
      <c r="D124">
        <v>100.7152553358209</v>
      </c>
      <c r="E124">
        <v>0.23198098388741051</v>
      </c>
      <c r="F124">
        <v>123</v>
      </c>
    </row>
    <row r="125" spans="1:6">
      <c r="A125" t="s">
        <v>372</v>
      </c>
      <c r="B125">
        <v>0.1263041928054755</v>
      </c>
      <c r="C125">
        <v>170.47595450394061</v>
      </c>
      <c r="D125">
        <v>211.37319011506071</v>
      </c>
      <c r="E125">
        <v>0.2399003174971206</v>
      </c>
      <c r="F125">
        <v>124</v>
      </c>
    </row>
    <row r="126" spans="1:6">
      <c r="A126" t="s">
        <v>373</v>
      </c>
      <c r="B126">
        <v>-1.60921684989292E-2</v>
      </c>
      <c r="C126">
        <v>350.32402777650071</v>
      </c>
      <c r="D126">
        <v>442.86980491091663</v>
      </c>
      <c r="E126">
        <v>0.26417193739693529</v>
      </c>
      <c r="F126">
        <v>125</v>
      </c>
    </row>
    <row r="127" spans="1:6">
      <c r="A127" t="s">
        <v>374</v>
      </c>
      <c r="B127">
        <v>3.5739531389073299E-2</v>
      </c>
      <c r="C127">
        <v>155.55550393164049</v>
      </c>
      <c r="D127">
        <v>198.91808167929</v>
      </c>
      <c r="E127">
        <v>0.27875952088911871</v>
      </c>
      <c r="F127">
        <v>126</v>
      </c>
    </row>
    <row r="128" spans="1:6">
      <c r="A128" t="s">
        <v>375</v>
      </c>
      <c r="B128">
        <v>7.2079809257763004E-3</v>
      </c>
      <c r="C128">
        <v>375.80322244461922</v>
      </c>
      <c r="D128">
        <v>494.40446806459829</v>
      </c>
      <c r="E128">
        <v>0.31559400914252927</v>
      </c>
      <c r="F128">
        <v>127</v>
      </c>
    </row>
    <row r="129" spans="1:6">
      <c r="A129" t="s">
        <v>376</v>
      </c>
      <c r="B129">
        <v>1.8055779413873999E-2</v>
      </c>
      <c r="C129">
        <v>94.692808060673926</v>
      </c>
      <c r="D129">
        <v>125.4993597505002</v>
      </c>
      <c r="E129">
        <v>0.32533148314798299</v>
      </c>
      <c r="F129">
        <v>128</v>
      </c>
    </row>
    <row r="130" spans="1:6">
      <c r="A130" t="s">
        <v>377</v>
      </c>
      <c r="B130">
        <v>1.9205778658778999E-3</v>
      </c>
      <c r="C130">
        <v>41.907898322685767</v>
      </c>
      <c r="D130">
        <v>56.000286317597798</v>
      </c>
      <c r="E130">
        <v>0.3362704539941932</v>
      </c>
      <c r="F130">
        <v>129</v>
      </c>
    </row>
    <row r="131" spans="1:6">
      <c r="A131" t="s">
        <v>378</v>
      </c>
      <c r="B131">
        <v>4.1411788130726698E-2</v>
      </c>
      <c r="C131">
        <v>248.82373574106231</v>
      </c>
      <c r="D131">
        <v>333.95425453296667</v>
      </c>
      <c r="E131">
        <v>0.34213182491760041</v>
      </c>
      <c r="F131">
        <v>130</v>
      </c>
    </row>
    <row r="132" spans="1:6">
      <c r="A132" t="s">
        <v>379</v>
      </c>
      <c r="B132">
        <v>2.3018847578226202E-2</v>
      </c>
      <c r="C132">
        <v>119.71779208354479</v>
      </c>
      <c r="D132">
        <v>163.67906180757279</v>
      </c>
      <c r="E132">
        <v>0.36720748820150079</v>
      </c>
      <c r="F132">
        <v>131</v>
      </c>
    </row>
    <row r="133" spans="1:6">
      <c r="A133" t="s">
        <v>380</v>
      </c>
      <c r="B133">
        <v>-8.6708366992852993E-3</v>
      </c>
      <c r="C133">
        <v>253.3415903669478</v>
      </c>
      <c r="D133">
        <v>346.82224808052689</v>
      </c>
      <c r="E133">
        <v>0.36899056952385417</v>
      </c>
      <c r="F133">
        <v>132</v>
      </c>
    </row>
    <row r="134" spans="1:6">
      <c r="A134" t="s">
        <v>381</v>
      </c>
      <c r="B134">
        <v>-4.5787803660997002E-3</v>
      </c>
      <c r="C134">
        <v>71.935849766442786</v>
      </c>
      <c r="D134">
        <v>98.79249903250556</v>
      </c>
      <c r="E134">
        <v>0.37334165584002132</v>
      </c>
      <c r="F134">
        <v>133</v>
      </c>
    </row>
    <row r="135" spans="1:6">
      <c r="A135" t="s">
        <v>382</v>
      </c>
      <c r="B135">
        <v>2.2668990198509702E-2</v>
      </c>
      <c r="C135">
        <v>46.713682172864267</v>
      </c>
      <c r="D135">
        <v>66.774009555213979</v>
      </c>
      <c r="E135">
        <v>0.42943151661897128</v>
      </c>
      <c r="F135">
        <v>134</v>
      </c>
    </row>
    <row r="136" spans="1:6">
      <c r="A136" t="s">
        <v>383</v>
      </c>
      <c r="B136">
        <v>5.2820520988655598E-2</v>
      </c>
      <c r="C136">
        <v>41.756465187170953</v>
      </c>
      <c r="D136">
        <v>60.819979285223837</v>
      </c>
      <c r="E136">
        <v>0.45654041865377709</v>
      </c>
      <c r="F136">
        <v>135</v>
      </c>
    </row>
    <row r="137" spans="1:6">
      <c r="A137" t="s">
        <v>384</v>
      </c>
      <c r="B137">
        <v>-1.62458295921575E-2</v>
      </c>
      <c r="C137">
        <v>129.78268641196161</v>
      </c>
      <c r="D137">
        <v>198.54156451492901</v>
      </c>
      <c r="E137">
        <v>0.52980008353895602</v>
      </c>
      <c r="F137">
        <v>136</v>
      </c>
    </row>
    <row r="138" spans="1:6">
      <c r="A138" t="s">
        <v>385</v>
      </c>
      <c r="B138">
        <v>5.9673682004134998E-3</v>
      </c>
      <c r="C138">
        <v>75.62400651899695</v>
      </c>
      <c r="D138">
        <v>123.5962506345352</v>
      </c>
      <c r="E138">
        <v>0.63435205728603572</v>
      </c>
      <c r="F138">
        <v>137</v>
      </c>
    </row>
    <row r="139" spans="1:6">
      <c r="A139" t="s">
        <v>386</v>
      </c>
      <c r="B139">
        <v>0.13672361355700799</v>
      </c>
      <c r="C139">
        <v>76.144199044644665</v>
      </c>
      <c r="D139">
        <v>125.1917374189857</v>
      </c>
      <c r="E139">
        <v>0.64414018388431171</v>
      </c>
      <c r="F139">
        <v>138</v>
      </c>
    </row>
    <row r="140" spans="1:6">
      <c r="A140" t="s">
        <v>387</v>
      </c>
      <c r="B140">
        <v>4.6615466120034997E-2</v>
      </c>
      <c r="C140">
        <v>17.46803139900069</v>
      </c>
      <c r="D140">
        <v>28.979873387778461</v>
      </c>
      <c r="E140">
        <v>0.65902343119421825</v>
      </c>
      <c r="F140">
        <v>139</v>
      </c>
    </row>
    <row r="141" spans="1:6">
      <c r="A141" t="s">
        <v>388</v>
      </c>
      <c r="B141">
        <v>-4.5140894306471002E-3</v>
      </c>
      <c r="C141">
        <v>25.069353489349499</v>
      </c>
      <c r="D141">
        <v>42.73478174572881</v>
      </c>
      <c r="E141">
        <v>0.70466229868609576</v>
      </c>
      <c r="F141">
        <v>140</v>
      </c>
    </row>
    <row r="142" spans="1:6">
      <c r="A142" t="s">
        <v>389</v>
      </c>
      <c r="B142">
        <v>4.0956210058202297E-2</v>
      </c>
      <c r="C142">
        <v>91.343180602639706</v>
      </c>
      <c r="D142">
        <v>163.8550717998703</v>
      </c>
      <c r="E142">
        <v>0.79384022670144594</v>
      </c>
      <c r="F142">
        <v>141</v>
      </c>
    </row>
    <row r="143" spans="1:6">
      <c r="A143" t="s">
        <v>390</v>
      </c>
      <c r="B143">
        <v>6.9723552784792794E-2</v>
      </c>
      <c r="C143">
        <v>41.780399836677908</v>
      </c>
      <c r="D143">
        <v>76.924249321932919</v>
      </c>
      <c r="E143">
        <v>0.84115637051427061</v>
      </c>
      <c r="F143">
        <v>142</v>
      </c>
    </row>
    <row r="144" spans="1:6">
      <c r="A144" t="s">
        <v>391</v>
      </c>
      <c r="B144">
        <v>-1.3277777322997001E-3</v>
      </c>
      <c r="C144">
        <v>118.86939698807841</v>
      </c>
      <c r="D144">
        <v>244.7998636029798</v>
      </c>
      <c r="E144">
        <v>1.059401913408639</v>
      </c>
      <c r="F144">
        <v>143</v>
      </c>
    </row>
    <row r="145" spans="1:6">
      <c r="A145" t="s">
        <v>392</v>
      </c>
      <c r="B145">
        <v>5.3517156707577999E-3</v>
      </c>
      <c r="C145">
        <v>61.665343018450592</v>
      </c>
      <c r="D145">
        <v>179.78480829324721</v>
      </c>
      <c r="E145">
        <v>1.9154919034416891</v>
      </c>
      <c r="F145">
        <v>144</v>
      </c>
    </row>
    <row r="146" spans="1:6">
      <c r="A146" t="s">
        <v>393</v>
      </c>
      <c r="B146">
        <v>-0.87552508871281376</v>
      </c>
      <c r="C146">
        <v>448.26797335220459</v>
      </c>
      <c r="D146">
        <v>4008.4981277699981</v>
      </c>
      <c r="E146">
        <v>7.9421916488789996</v>
      </c>
      <c r="F146">
        <v>145</v>
      </c>
    </row>
    <row r="147" spans="1:6">
      <c r="A147" t="s">
        <v>394</v>
      </c>
      <c r="B147">
        <v>6.5266031349314899E-2</v>
      </c>
      <c r="C147">
        <v>68.903598513551188</v>
      </c>
      <c r="D147">
        <v>994.18780005988845</v>
      </c>
      <c r="E147">
        <v>13.428677478497191</v>
      </c>
      <c r="F147">
        <v>146</v>
      </c>
    </row>
  </sheetData>
  <phoneticPr fontId="4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"/>
  <sheetViews>
    <sheetView workbookViewId="0"/>
  </sheetViews>
  <sheetFormatPr baseColWidth="10" defaultColWidth="8.83203125" defaultRowHeight="17"/>
  <sheetData>
    <row r="1" spans="1:2">
      <c r="A1" t="s">
        <v>395</v>
      </c>
      <c r="B1" t="s">
        <v>177</v>
      </c>
    </row>
    <row r="2" spans="1:2">
      <c r="A2" t="s">
        <v>157</v>
      </c>
      <c r="B2" s="25">
        <f>INDEX(d_시군!$E$2:$E$147,MATCH("안동시",d_시군!$A$2:$A$147,0))</f>
        <v>-0.16790570949358971</v>
      </c>
    </row>
    <row r="3" spans="1:2">
      <c r="A3" t="s">
        <v>396</v>
      </c>
      <c r="B3" s="25">
        <f>MEDIAN(d_시군!$E$2:$E$147)</f>
        <v>-2.048755803249705E-2</v>
      </c>
    </row>
  </sheetData>
  <phoneticPr fontId="44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/>
  </sheetViews>
  <sheetFormatPr baseColWidth="10" defaultColWidth="8.83203125" defaultRowHeight="17"/>
  <sheetData>
    <row r="1" spans="1:9">
      <c r="A1" t="s">
        <v>397</v>
      </c>
      <c r="B1" t="s">
        <v>398</v>
      </c>
      <c r="C1" t="s">
        <v>399</v>
      </c>
      <c r="D1" t="s">
        <v>400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</row>
    <row r="2" spans="1:9">
      <c r="A2" t="s">
        <v>128</v>
      </c>
      <c r="B2">
        <v>0.02</v>
      </c>
      <c r="C2">
        <v>2</v>
      </c>
      <c r="D2">
        <v>109.86190552588189</v>
      </c>
      <c r="E2">
        <v>157.9524557357708</v>
      </c>
      <c r="F2">
        <v>-0.13909654610668001</v>
      </c>
      <c r="G2">
        <v>27</v>
      </c>
      <c r="H2">
        <v>1.560766739781877</v>
      </c>
      <c r="I2">
        <v>5452.3177777777773</v>
      </c>
    </row>
    <row r="3" spans="1:9">
      <c r="A3" t="s">
        <v>406</v>
      </c>
      <c r="B3">
        <v>0.04</v>
      </c>
      <c r="C3">
        <v>4</v>
      </c>
      <c r="D3">
        <v>217.32314360094841</v>
      </c>
      <c r="E3">
        <v>163.1219979376454</v>
      </c>
      <c r="F3">
        <v>-0.11092049328173351</v>
      </c>
      <c r="G3">
        <v>38</v>
      </c>
      <c r="H3">
        <v>2.8612292036987239</v>
      </c>
      <c r="I3">
        <v>10904.635555555549</v>
      </c>
    </row>
    <row r="4" spans="1:9">
      <c r="A4" t="s">
        <v>407</v>
      </c>
      <c r="B4">
        <v>0.1</v>
      </c>
      <c r="C4">
        <v>10</v>
      </c>
      <c r="D4">
        <v>549.31153367433046</v>
      </c>
      <c r="E4">
        <v>178.9512234242151</v>
      </c>
      <c r="F4">
        <v>-2.464494390603689E-2</v>
      </c>
      <c r="G4">
        <v>71</v>
      </c>
      <c r="H4">
        <v>6.9072725800548627</v>
      </c>
      <c r="I4">
        <v>27261.588888888891</v>
      </c>
    </row>
    <row r="6" spans="1:9">
      <c r="A6" t="s">
        <v>408</v>
      </c>
      <c r="B6">
        <f>MATCH('3 기대효과'!$AC$3,$A$2:$A$4,0)</f>
        <v>1</v>
      </c>
    </row>
    <row r="7" spans="1:9">
      <c r="A7" t="s">
        <v>399</v>
      </c>
      <c r="B7">
        <f>INDEX($C$2:$C$4,$B$6)</f>
        <v>2</v>
      </c>
    </row>
    <row r="8" spans="1:9">
      <c r="A8" t="s">
        <v>400</v>
      </c>
      <c r="B8">
        <f>INDEX($D$2:$D$4,$B$6)</f>
        <v>109.86190552588189</v>
      </c>
    </row>
    <row r="9" spans="1:9">
      <c r="A9" t="s">
        <v>401</v>
      </c>
      <c r="B9">
        <f>INDEX($E$2:$E$4,$B$6)</f>
        <v>157.9524557357708</v>
      </c>
    </row>
    <row r="10" spans="1:9">
      <c r="A10" t="s">
        <v>402</v>
      </c>
      <c r="B10">
        <f>INDEX($F$2:$F$4,$B$6)</f>
        <v>-0.13909654610668001</v>
      </c>
    </row>
    <row r="11" spans="1:9">
      <c r="A11" t="s">
        <v>403</v>
      </c>
      <c r="B11">
        <f>INDEX($G$2:$G$4,$B$6)</f>
        <v>27</v>
      </c>
    </row>
    <row r="12" spans="1:9">
      <c r="A12" t="s">
        <v>404</v>
      </c>
      <c r="B12">
        <f>INDEX($H$2:$H$4,$B$6)</f>
        <v>1.560766739781877</v>
      </c>
    </row>
    <row r="13" spans="1:9">
      <c r="A13" t="s">
        <v>409</v>
      </c>
      <c r="B13" t="str">
        <f>"시행 후 "&amp;B11&amp;"위"</f>
        <v>시행 후 27위</v>
      </c>
    </row>
    <row r="14" spans="1:9">
      <c r="A14" t="s">
        <v>410</v>
      </c>
      <c r="B14" t="str">
        <f>"시행 후 "&amp;TEXT(B9,"0.0")&amp;"원"</f>
        <v>시행 후 158.0원</v>
      </c>
    </row>
  </sheetData>
  <phoneticPr fontId="44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47"/>
  <sheetViews>
    <sheetView workbookViewId="0"/>
  </sheetViews>
  <sheetFormatPr baseColWidth="10" defaultColWidth="8.83203125" defaultRowHeight="17"/>
  <sheetData>
    <row r="1" spans="1:11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</row>
    <row r="2" spans="1:11">
      <c r="A2">
        <v>1</v>
      </c>
      <c r="B2" t="e">
        <f>NA()</f>
        <v>#N/A</v>
      </c>
      <c r="C2">
        <v>1</v>
      </c>
      <c r="D2" t="e">
        <f>NA()</f>
        <v>#N/A</v>
      </c>
      <c r="E2" t="e">
        <f>NA()</f>
        <v>#N/A</v>
      </c>
      <c r="F2" t="e">
        <f>IF(A2=d_시나리오!$B$11,2.4,NA())</f>
        <v>#N/A</v>
      </c>
      <c r="G2">
        <v>1</v>
      </c>
      <c r="I2" t="str">
        <f>IF(A2=d_시나리오!$B$11,"시행 후 "&amp;A2&amp;"위","")</f>
        <v/>
      </c>
      <c r="J2">
        <v>0</v>
      </c>
      <c r="K2">
        <f>IF(A2=d_시나리오!$B$11,3.1,0)</f>
        <v>0</v>
      </c>
    </row>
    <row r="3" spans="1:11">
      <c r="A3">
        <v>2</v>
      </c>
      <c r="B3" t="e">
        <f>NA()</f>
        <v>#N/A</v>
      </c>
      <c r="C3">
        <v>1</v>
      </c>
      <c r="D3" t="e">
        <f>NA()</f>
        <v>#N/A</v>
      </c>
      <c r="E3" t="e">
        <f>NA()</f>
        <v>#N/A</v>
      </c>
      <c r="F3" t="e">
        <f>IF(A3=d_시나리오!$B$11,2.4,NA())</f>
        <v>#N/A</v>
      </c>
      <c r="G3">
        <v>1</v>
      </c>
      <c r="I3" t="str">
        <f>IF(A3=d_시나리오!$B$11,"시행 후 "&amp;A3&amp;"위","")</f>
        <v/>
      </c>
      <c r="J3">
        <v>0</v>
      </c>
      <c r="K3">
        <f>IF(A3=d_시나리오!$B$11,3.1,0)</f>
        <v>0</v>
      </c>
    </row>
    <row r="4" spans="1:11">
      <c r="A4">
        <v>3</v>
      </c>
      <c r="B4" t="e">
        <f>NA()</f>
        <v>#N/A</v>
      </c>
      <c r="C4">
        <v>1</v>
      </c>
      <c r="D4" t="e">
        <f>NA()</f>
        <v>#N/A</v>
      </c>
      <c r="E4" t="e">
        <f>NA()</f>
        <v>#N/A</v>
      </c>
      <c r="F4" t="e">
        <f>IF(A4=d_시나리오!$B$11,2.4,NA())</f>
        <v>#N/A</v>
      </c>
      <c r="G4">
        <v>1</v>
      </c>
      <c r="I4" t="str">
        <f>IF(A4=d_시나리오!$B$11,"시행 후 "&amp;A4&amp;"위","")</f>
        <v/>
      </c>
      <c r="J4">
        <v>0</v>
      </c>
      <c r="K4">
        <f>IF(A4=d_시나리오!$B$11,3.1,0)</f>
        <v>0</v>
      </c>
    </row>
    <row r="5" spans="1:11">
      <c r="A5">
        <v>4</v>
      </c>
      <c r="B5" t="e">
        <f>NA()</f>
        <v>#N/A</v>
      </c>
      <c r="C5">
        <v>1</v>
      </c>
      <c r="D5" t="e">
        <f>NA()</f>
        <v>#N/A</v>
      </c>
      <c r="E5" t="e">
        <f>NA()</f>
        <v>#N/A</v>
      </c>
      <c r="F5" t="e">
        <f>IF(A5=d_시나리오!$B$11,2.4,NA())</f>
        <v>#N/A</v>
      </c>
      <c r="G5">
        <v>1</v>
      </c>
      <c r="I5" t="str">
        <f>IF(A5=d_시나리오!$B$11,"시행 후 "&amp;A5&amp;"위","")</f>
        <v/>
      </c>
      <c r="J5">
        <v>0</v>
      </c>
      <c r="K5">
        <f>IF(A5=d_시나리오!$B$11,3.1,0)</f>
        <v>0</v>
      </c>
    </row>
    <row r="6" spans="1:11">
      <c r="A6">
        <v>5</v>
      </c>
      <c r="B6" t="e">
        <f>NA()</f>
        <v>#N/A</v>
      </c>
      <c r="C6">
        <v>1</v>
      </c>
      <c r="D6" t="e">
        <f>NA()</f>
        <v>#N/A</v>
      </c>
      <c r="E6" t="e">
        <f>NA()</f>
        <v>#N/A</v>
      </c>
      <c r="F6" t="e">
        <f>IF(A6=d_시나리오!$B$11,2.4,NA())</f>
        <v>#N/A</v>
      </c>
      <c r="G6">
        <v>1</v>
      </c>
      <c r="I6" t="str">
        <f>IF(A6=d_시나리오!$B$11,"시행 후 "&amp;A6&amp;"위","")</f>
        <v/>
      </c>
      <c r="J6">
        <v>0</v>
      </c>
      <c r="K6">
        <f>IF(A6=d_시나리오!$B$11,3.1,0)</f>
        <v>0</v>
      </c>
    </row>
    <row r="7" spans="1:11">
      <c r="A7">
        <v>6</v>
      </c>
      <c r="B7" t="e">
        <f>NA()</f>
        <v>#N/A</v>
      </c>
      <c r="C7">
        <v>1</v>
      </c>
      <c r="D7" t="e">
        <f>NA()</f>
        <v>#N/A</v>
      </c>
      <c r="E7" t="e">
        <f>NA()</f>
        <v>#N/A</v>
      </c>
      <c r="F7" t="e">
        <f>IF(A7=d_시나리오!$B$11,2.4,NA())</f>
        <v>#N/A</v>
      </c>
      <c r="G7">
        <v>1</v>
      </c>
      <c r="I7" t="str">
        <f>IF(A7=d_시나리오!$B$11,"시행 후 "&amp;A7&amp;"위","")</f>
        <v/>
      </c>
      <c r="J7">
        <v>0</v>
      </c>
      <c r="K7">
        <f>IF(A7=d_시나리오!$B$11,3.1,0)</f>
        <v>0</v>
      </c>
    </row>
    <row r="8" spans="1:11">
      <c r="A8">
        <v>7</v>
      </c>
      <c r="B8" t="e">
        <f>NA()</f>
        <v>#N/A</v>
      </c>
      <c r="C8">
        <v>1</v>
      </c>
      <c r="D8" t="e">
        <f>NA()</f>
        <v>#N/A</v>
      </c>
      <c r="E8" t="e">
        <f>NA()</f>
        <v>#N/A</v>
      </c>
      <c r="F8" t="e">
        <f>IF(A8=d_시나리오!$B$11,2.4,NA())</f>
        <v>#N/A</v>
      </c>
      <c r="G8">
        <v>1</v>
      </c>
      <c r="I8" t="str">
        <f>IF(A8=d_시나리오!$B$11,"시행 후 "&amp;A8&amp;"위","")</f>
        <v/>
      </c>
      <c r="J8">
        <v>0</v>
      </c>
      <c r="K8">
        <f>IF(A8=d_시나리오!$B$11,3.1,0)</f>
        <v>0</v>
      </c>
    </row>
    <row r="9" spans="1:11">
      <c r="A9">
        <v>8</v>
      </c>
      <c r="B9" t="e">
        <f>NA()</f>
        <v>#N/A</v>
      </c>
      <c r="C9">
        <v>1</v>
      </c>
      <c r="D9" t="e">
        <f>NA()</f>
        <v>#N/A</v>
      </c>
      <c r="E9" t="e">
        <f>NA()</f>
        <v>#N/A</v>
      </c>
      <c r="F9" t="e">
        <f>IF(A9=d_시나리오!$B$11,2.4,NA())</f>
        <v>#N/A</v>
      </c>
      <c r="G9">
        <v>1</v>
      </c>
      <c r="I9" t="str">
        <f>IF(A9=d_시나리오!$B$11,"시행 후 "&amp;A9&amp;"위","")</f>
        <v/>
      </c>
      <c r="J9">
        <v>0</v>
      </c>
      <c r="K9">
        <f>IF(A9=d_시나리오!$B$11,3.1,0)</f>
        <v>0</v>
      </c>
    </row>
    <row r="10" spans="1:11">
      <c r="A10">
        <v>9</v>
      </c>
      <c r="B10" t="e">
        <f>NA()</f>
        <v>#N/A</v>
      </c>
      <c r="C10">
        <v>1</v>
      </c>
      <c r="D10" t="e">
        <f>NA()</f>
        <v>#N/A</v>
      </c>
      <c r="E10" t="e">
        <f>NA()</f>
        <v>#N/A</v>
      </c>
      <c r="F10" t="e">
        <f>IF(A10=d_시나리오!$B$11,2.4,NA())</f>
        <v>#N/A</v>
      </c>
      <c r="G10">
        <v>1</v>
      </c>
      <c r="I10" t="str">
        <f>IF(A10=d_시나리오!$B$11,"시행 후 "&amp;A10&amp;"위","")</f>
        <v/>
      </c>
      <c r="J10">
        <v>0</v>
      </c>
      <c r="K10">
        <f>IF(A10=d_시나리오!$B$11,3.1,0)</f>
        <v>0</v>
      </c>
    </row>
    <row r="11" spans="1:11">
      <c r="A11">
        <v>10</v>
      </c>
      <c r="B11" t="e">
        <f>NA()</f>
        <v>#N/A</v>
      </c>
      <c r="C11">
        <v>1</v>
      </c>
      <c r="D11" t="e">
        <f>NA()</f>
        <v>#N/A</v>
      </c>
      <c r="E11" t="e">
        <f>NA()</f>
        <v>#N/A</v>
      </c>
      <c r="F11" t="e">
        <f>IF(A11=d_시나리오!$B$11,2.4,NA())</f>
        <v>#N/A</v>
      </c>
      <c r="G11">
        <v>1</v>
      </c>
      <c r="I11" t="str">
        <f>IF(A11=d_시나리오!$B$11,"시행 후 "&amp;A11&amp;"위","")</f>
        <v/>
      </c>
      <c r="J11">
        <v>0</v>
      </c>
      <c r="K11">
        <f>IF(A11=d_시나리오!$B$11,3.1,0)</f>
        <v>0</v>
      </c>
    </row>
    <row r="12" spans="1:11">
      <c r="A12">
        <v>11</v>
      </c>
      <c r="B12" t="e">
        <f>NA()</f>
        <v>#N/A</v>
      </c>
      <c r="C12">
        <v>1</v>
      </c>
      <c r="D12" t="e">
        <f>NA()</f>
        <v>#N/A</v>
      </c>
      <c r="E12" t="e">
        <f>NA()</f>
        <v>#N/A</v>
      </c>
      <c r="F12" t="e">
        <f>IF(A12=d_시나리오!$B$11,2.4,NA())</f>
        <v>#N/A</v>
      </c>
      <c r="G12">
        <v>1</v>
      </c>
      <c r="I12" t="str">
        <f>IF(A12=d_시나리오!$B$11,"시행 후 "&amp;A12&amp;"위","")</f>
        <v/>
      </c>
      <c r="J12">
        <v>0</v>
      </c>
      <c r="K12">
        <f>IF(A12=d_시나리오!$B$11,3.1,0)</f>
        <v>0</v>
      </c>
    </row>
    <row r="13" spans="1:11">
      <c r="A13">
        <v>12</v>
      </c>
      <c r="B13" t="e">
        <f>NA()</f>
        <v>#N/A</v>
      </c>
      <c r="C13">
        <v>1</v>
      </c>
      <c r="D13" t="e">
        <f>NA()</f>
        <v>#N/A</v>
      </c>
      <c r="E13" t="e">
        <f>NA()</f>
        <v>#N/A</v>
      </c>
      <c r="F13" t="e">
        <f>IF(A13=d_시나리오!$B$11,2.4,NA())</f>
        <v>#N/A</v>
      </c>
      <c r="G13">
        <v>1</v>
      </c>
      <c r="I13" t="str">
        <f>IF(A13=d_시나리오!$B$11,"시행 후 "&amp;A13&amp;"위","")</f>
        <v/>
      </c>
      <c r="J13">
        <v>0</v>
      </c>
      <c r="K13">
        <f>IF(A13=d_시나리오!$B$11,3.1,0)</f>
        <v>0</v>
      </c>
    </row>
    <row r="14" spans="1:11">
      <c r="A14">
        <v>13</v>
      </c>
      <c r="B14" t="e">
        <f>NA()</f>
        <v>#N/A</v>
      </c>
      <c r="C14">
        <v>1</v>
      </c>
      <c r="D14" t="e">
        <f>NA()</f>
        <v>#N/A</v>
      </c>
      <c r="E14" t="e">
        <f>NA()</f>
        <v>#N/A</v>
      </c>
      <c r="F14" t="e">
        <f>IF(A14=d_시나리오!$B$11,2.4,NA())</f>
        <v>#N/A</v>
      </c>
      <c r="G14">
        <v>1</v>
      </c>
      <c r="I14" t="str">
        <f>IF(A14=d_시나리오!$B$11,"시행 후 "&amp;A14&amp;"위","")</f>
        <v/>
      </c>
      <c r="J14">
        <v>0</v>
      </c>
      <c r="K14">
        <f>IF(A14=d_시나리오!$B$11,3.1,0)</f>
        <v>0</v>
      </c>
    </row>
    <row r="15" spans="1:11">
      <c r="A15">
        <v>14</v>
      </c>
      <c r="B15" t="e">
        <f>NA()</f>
        <v>#N/A</v>
      </c>
      <c r="C15">
        <v>1</v>
      </c>
      <c r="D15" t="e">
        <f>NA()</f>
        <v>#N/A</v>
      </c>
      <c r="E15" t="e">
        <f>NA()</f>
        <v>#N/A</v>
      </c>
      <c r="F15" t="e">
        <f>IF(A15=d_시나리오!$B$11,2.4,NA())</f>
        <v>#N/A</v>
      </c>
      <c r="G15">
        <v>1</v>
      </c>
      <c r="I15" t="str">
        <f>IF(A15=d_시나리오!$B$11,"시행 후 "&amp;A15&amp;"위","")</f>
        <v/>
      </c>
      <c r="J15">
        <v>0</v>
      </c>
      <c r="K15">
        <f>IF(A15=d_시나리오!$B$11,3.1,0)</f>
        <v>0</v>
      </c>
    </row>
    <row r="16" spans="1:11">
      <c r="A16">
        <v>15</v>
      </c>
      <c r="B16" t="e">
        <f>NA()</f>
        <v>#N/A</v>
      </c>
      <c r="C16">
        <v>1</v>
      </c>
      <c r="D16" t="e">
        <f>NA()</f>
        <v>#N/A</v>
      </c>
      <c r="E16" t="e">
        <f>NA()</f>
        <v>#N/A</v>
      </c>
      <c r="F16" t="e">
        <f>IF(A16=d_시나리오!$B$11,2.4,NA())</f>
        <v>#N/A</v>
      </c>
      <c r="G16">
        <v>1</v>
      </c>
      <c r="I16" t="str">
        <f>IF(A16=d_시나리오!$B$11,"시행 후 "&amp;A16&amp;"위","")</f>
        <v/>
      </c>
      <c r="J16">
        <v>0</v>
      </c>
      <c r="K16">
        <f>IF(A16=d_시나리오!$B$11,3.1,0)</f>
        <v>0</v>
      </c>
    </row>
    <row r="17" spans="1:11">
      <c r="A17">
        <v>16</v>
      </c>
      <c r="B17" t="e">
        <f>NA()</f>
        <v>#N/A</v>
      </c>
      <c r="C17">
        <v>1</v>
      </c>
      <c r="D17" t="e">
        <f>NA()</f>
        <v>#N/A</v>
      </c>
      <c r="E17" t="e">
        <f>NA()</f>
        <v>#N/A</v>
      </c>
      <c r="F17" t="e">
        <f>IF(A17=d_시나리오!$B$11,2.4,NA())</f>
        <v>#N/A</v>
      </c>
      <c r="G17">
        <v>1</v>
      </c>
      <c r="I17" t="str">
        <f>IF(A17=d_시나리오!$B$11,"시행 후 "&amp;A17&amp;"위","")</f>
        <v/>
      </c>
      <c r="J17">
        <v>0</v>
      </c>
      <c r="K17">
        <f>IF(A17=d_시나리오!$B$11,3.1,0)</f>
        <v>0</v>
      </c>
    </row>
    <row r="18" spans="1:11">
      <c r="A18">
        <v>17</v>
      </c>
      <c r="B18" t="e">
        <f>NA()</f>
        <v>#N/A</v>
      </c>
      <c r="C18">
        <v>1</v>
      </c>
      <c r="D18" t="e">
        <f>NA()</f>
        <v>#N/A</v>
      </c>
      <c r="E18" t="e">
        <f>NA()</f>
        <v>#N/A</v>
      </c>
      <c r="F18" t="e">
        <f>IF(A18=d_시나리오!$B$11,2.4,NA())</f>
        <v>#N/A</v>
      </c>
      <c r="G18">
        <v>1</v>
      </c>
      <c r="I18" t="str">
        <f>IF(A18=d_시나리오!$B$11,"시행 후 "&amp;A18&amp;"위","")</f>
        <v/>
      </c>
      <c r="J18">
        <v>0</v>
      </c>
      <c r="K18">
        <f>IF(A18=d_시나리오!$B$11,3.1,0)</f>
        <v>0</v>
      </c>
    </row>
    <row r="19" spans="1:11">
      <c r="A19">
        <v>18</v>
      </c>
      <c r="B19" t="e">
        <f>NA()</f>
        <v>#N/A</v>
      </c>
      <c r="C19">
        <v>1</v>
      </c>
      <c r="D19" t="e">
        <f>NA()</f>
        <v>#N/A</v>
      </c>
      <c r="E19" t="e">
        <f>NA()</f>
        <v>#N/A</v>
      </c>
      <c r="F19" t="e">
        <f>IF(A19=d_시나리오!$B$11,2.4,NA())</f>
        <v>#N/A</v>
      </c>
      <c r="G19">
        <v>1</v>
      </c>
      <c r="I19" t="str">
        <f>IF(A19=d_시나리오!$B$11,"시행 후 "&amp;A19&amp;"위","")</f>
        <v/>
      </c>
      <c r="J19">
        <v>0</v>
      </c>
      <c r="K19">
        <f>IF(A19=d_시나리오!$B$11,3.1,0)</f>
        <v>0</v>
      </c>
    </row>
    <row r="20" spans="1:11">
      <c r="A20">
        <v>19</v>
      </c>
      <c r="B20" t="e">
        <f>NA()</f>
        <v>#N/A</v>
      </c>
      <c r="C20">
        <v>1</v>
      </c>
      <c r="D20" t="e">
        <f>NA()</f>
        <v>#N/A</v>
      </c>
      <c r="E20" t="e">
        <f>NA()</f>
        <v>#N/A</v>
      </c>
      <c r="F20" t="e">
        <f>IF(A20=d_시나리오!$B$11,2.4,NA())</f>
        <v>#N/A</v>
      </c>
      <c r="G20">
        <v>1</v>
      </c>
      <c r="I20" t="str">
        <f>IF(A20=d_시나리오!$B$11,"시행 후 "&amp;A20&amp;"위","")</f>
        <v/>
      </c>
      <c r="J20">
        <v>0</v>
      </c>
      <c r="K20">
        <f>IF(A20=d_시나리오!$B$11,3.1,0)</f>
        <v>0</v>
      </c>
    </row>
    <row r="21" spans="1:11">
      <c r="A21">
        <v>20</v>
      </c>
      <c r="B21" t="e">
        <f>NA()</f>
        <v>#N/A</v>
      </c>
      <c r="C21">
        <v>1</v>
      </c>
      <c r="D21" t="e">
        <f>NA()</f>
        <v>#N/A</v>
      </c>
      <c r="E21" t="e">
        <f>NA()</f>
        <v>#N/A</v>
      </c>
      <c r="F21" t="e">
        <f>IF(A21=d_시나리오!$B$11,2.4,NA())</f>
        <v>#N/A</v>
      </c>
      <c r="G21">
        <v>1</v>
      </c>
      <c r="I21" t="str">
        <f>IF(A21=d_시나리오!$B$11,"시행 후 "&amp;A21&amp;"위","")</f>
        <v/>
      </c>
      <c r="J21">
        <v>0</v>
      </c>
      <c r="K21">
        <f>IF(A21=d_시나리오!$B$11,3.1,0)</f>
        <v>0</v>
      </c>
    </row>
    <row r="22" spans="1:11">
      <c r="A22">
        <v>21</v>
      </c>
      <c r="B22" t="e">
        <f>NA()</f>
        <v>#N/A</v>
      </c>
      <c r="C22">
        <v>1</v>
      </c>
      <c r="D22" t="e">
        <f>NA()</f>
        <v>#N/A</v>
      </c>
      <c r="E22" t="e">
        <f>NA()</f>
        <v>#N/A</v>
      </c>
      <c r="F22" t="e">
        <f>IF(A22=d_시나리오!$B$11,2.4,NA())</f>
        <v>#N/A</v>
      </c>
      <c r="G22">
        <v>1</v>
      </c>
      <c r="I22" t="str">
        <f>IF(A22=d_시나리오!$B$11,"시행 후 "&amp;A22&amp;"위","")</f>
        <v/>
      </c>
      <c r="J22">
        <v>0</v>
      </c>
      <c r="K22">
        <f>IF(A22=d_시나리오!$B$11,3.1,0)</f>
        <v>0</v>
      </c>
    </row>
    <row r="23" spans="1:11">
      <c r="A23">
        <v>22</v>
      </c>
      <c r="B23" t="e">
        <f>NA()</f>
        <v>#N/A</v>
      </c>
      <c r="C23" t="e">
        <f>NA()</f>
        <v>#N/A</v>
      </c>
      <c r="D23">
        <v>2.2000000000000002</v>
      </c>
      <c r="E23" t="e">
        <f>NA()</f>
        <v>#N/A</v>
      </c>
      <c r="F23" t="e">
        <f>IF(A23=d_시나리오!$B$11,2.4,NA())</f>
        <v>#N/A</v>
      </c>
      <c r="G23">
        <v>1</v>
      </c>
      <c r="H23" t="s">
        <v>422</v>
      </c>
      <c r="I23" t="str">
        <f>IF(A23=d_시나리오!$B$11,"시행 후 "&amp;A23&amp;"위","지금 22위")</f>
        <v>지금 22위</v>
      </c>
      <c r="J23">
        <v>2.2000000000000002</v>
      </c>
      <c r="K23">
        <f>IF(A23=d_시나리오!$B$11,3.1,2.2)</f>
        <v>2.2000000000000002</v>
      </c>
    </row>
    <row r="24" spans="1:11">
      <c r="A24">
        <v>23</v>
      </c>
      <c r="B24">
        <v>1</v>
      </c>
      <c r="C24" t="e">
        <f>NA()</f>
        <v>#N/A</v>
      </c>
      <c r="D24" t="e">
        <f>NA()</f>
        <v>#N/A</v>
      </c>
      <c r="E24" t="e">
        <f>NA()</f>
        <v>#N/A</v>
      </c>
      <c r="F24" t="e">
        <f>IF(A24=d_시나리오!$B$11,2.4,NA())</f>
        <v>#N/A</v>
      </c>
      <c r="G24">
        <v>1</v>
      </c>
      <c r="I24" t="str">
        <f>IF(A24=d_시나리오!$B$11,"시행 후 "&amp;A24&amp;"위","")</f>
        <v/>
      </c>
      <c r="J24">
        <v>0</v>
      </c>
      <c r="K24">
        <f>IF(A24=d_시나리오!$B$11,3.1,0)</f>
        <v>0</v>
      </c>
    </row>
    <row r="25" spans="1:11">
      <c r="A25">
        <v>24</v>
      </c>
      <c r="B25">
        <v>1</v>
      </c>
      <c r="C25" t="e">
        <f>NA()</f>
        <v>#N/A</v>
      </c>
      <c r="D25" t="e">
        <f>NA()</f>
        <v>#N/A</v>
      </c>
      <c r="E25" t="e">
        <f>NA()</f>
        <v>#N/A</v>
      </c>
      <c r="F25" t="e">
        <f>IF(A25=d_시나리오!$B$11,2.4,NA())</f>
        <v>#N/A</v>
      </c>
      <c r="G25">
        <v>1</v>
      </c>
      <c r="I25" t="str">
        <f>IF(A25=d_시나리오!$B$11,"시행 후 "&amp;A25&amp;"위","")</f>
        <v/>
      </c>
      <c r="J25">
        <v>0</v>
      </c>
      <c r="K25">
        <f>IF(A25=d_시나리오!$B$11,3.1,0)</f>
        <v>0</v>
      </c>
    </row>
    <row r="26" spans="1:11">
      <c r="A26">
        <v>25</v>
      </c>
      <c r="B26">
        <v>1</v>
      </c>
      <c r="C26" t="e">
        <f>NA()</f>
        <v>#N/A</v>
      </c>
      <c r="D26" t="e">
        <f>NA()</f>
        <v>#N/A</v>
      </c>
      <c r="E26" t="e">
        <f>NA()</f>
        <v>#N/A</v>
      </c>
      <c r="F26" t="e">
        <f>IF(A26=d_시나리오!$B$11,2.4,NA())</f>
        <v>#N/A</v>
      </c>
      <c r="G26">
        <v>1</v>
      </c>
      <c r="I26" t="str">
        <f>IF(A26=d_시나리오!$B$11,"시행 후 "&amp;A26&amp;"위","")</f>
        <v/>
      </c>
      <c r="J26">
        <v>0</v>
      </c>
      <c r="K26">
        <f>IF(A26=d_시나리오!$B$11,3.1,0)</f>
        <v>0</v>
      </c>
    </row>
    <row r="27" spans="1:11">
      <c r="A27">
        <v>26</v>
      </c>
      <c r="B27">
        <v>1</v>
      </c>
      <c r="C27" t="e">
        <f>NA()</f>
        <v>#N/A</v>
      </c>
      <c r="D27" t="e">
        <f>NA()</f>
        <v>#N/A</v>
      </c>
      <c r="E27" t="e">
        <f>NA()</f>
        <v>#N/A</v>
      </c>
      <c r="F27" t="e">
        <f>IF(A27=d_시나리오!$B$11,2.4,NA())</f>
        <v>#N/A</v>
      </c>
      <c r="G27">
        <v>1</v>
      </c>
      <c r="I27" t="str">
        <f>IF(A27=d_시나리오!$B$11,"시행 후 "&amp;A27&amp;"위","")</f>
        <v/>
      </c>
      <c r="J27">
        <v>0</v>
      </c>
      <c r="K27">
        <f>IF(A27=d_시나리오!$B$11,3.1,0)</f>
        <v>0</v>
      </c>
    </row>
    <row r="28" spans="1:11">
      <c r="A28">
        <v>27</v>
      </c>
      <c r="B28">
        <v>1</v>
      </c>
      <c r="C28" t="e">
        <f>NA()</f>
        <v>#N/A</v>
      </c>
      <c r="D28" t="e">
        <f>NA()</f>
        <v>#N/A</v>
      </c>
      <c r="E28" t="e">
        <f>NA()</f>
        <v>#N/A</v>
      </c>
      <c r="F28">
        <f>IF(A28=d_시나리오!$B$11,2.4,NA())</f>
        <v>2.4</v>
      </c>
      <c r="G28">
        <v>1</v>
      </c>
      <c r="I28" t="str">
        <f>IF(A28=d_시나리오!$B$11,"시행 후 "&amp;A28&amp;"위","")</f>
        <v>시행 후 27위</v>
      </c>
      <c r="J28">
        <v>0</v>
      </c>
      <c r="K28">
        <f>IF(A28=d_시나리오!$B$11,3.1,0)</f>
        <v>3.1</v>
      </c>
    </row>
    <row r="29" spans="1:11">
      <c r="A29">
        <v>28</v>
      </c>
      <c r="B29">
        <v>1</v>
      </c>
      <c r="C29" t="e">
        <f>NA()</f>
        <v>#N/A</v>
      </c>
      <c r="D29" t="e">
        <f>NA()</f>
        <v>#N/A</v>
      </c>
      <c r="E29" t="e">
        <f>NA()</f>
        <v>#N/A</v>
      </c>
      <c r="F29" t="e">
        <f>IF(A29=d_시나리오!$B$11,2.4,NA())</f>
        <v>#N/A</v>
      </c>
      <c r="G29">
        <v>1</v>
      </c>
      <c r="I29" t="str">
        <f>IF(A29=d_시나리오!$B$11,"시행 후 "&amp;A29&amp;"위","")</f>
        <v/>
      </c>
      <c r="J29">
        <v>0</v>
      </c>
      <c r="K29">
        <f>IF(A29=d_시나리오!$B$11,3.1,0)</f>
        <v>0</v>
      </c>
    </row>
    <row r="30" spans="1:11">
      <c r="A30">
        <v>29</v>
      </c>
      <c r="B30">
        <v>1</v>
      </c>
      <c r="C30" t="e">
        <f>NA()</f>
        <v>#N/A</v>
      </c>
      <c r="D30" t="e">
        <f>NA()</f>
        <v>#N/A</v>
      </c>
      <c r="E30" t="e">
        <f>NA()</f>
        <v>#N/A</v>
      </c>
      <c r="F30" t="e">
        <f>IF(A30=d_시나리오!$B$11,2.4,NA())</f>
        <v>#N/A</v>
      </c>
      <c r="G30">
        <v>1</v>
      </c>
      <c r="I30" t="str">
        <f>IF(A30=d_시나리오!$B$11,"시행 후 "&amp;A30&amp;"위","")</f>
        <v/>
      </c>
      <c r="J30">
        <v>0</v>
      </c>
      <c r="K30">
        <f>IF(A30=d_시나리오!$B$11,3.1,0)</f>
        <v>0</v>
      </c>
    </row>
    <row r="31" spans="1:11">
      <c r="A31">
        <v>30</v>
      </c>
      <c r="B31">
        <v>1</v>
      </c>
      <c r="C31" t="e">
        <f>NA()</f>
        <v>#N/A</v>
      </c>
      <c r="D31" t="e">
        <f>NA()</f>
        <v>#N/A</v>
      </c>
      <c r="E31" t="e">
        <f>NA()</f>
        <v>#N/A</v>
      </c>
      <c r="F31" t="e">
        <f>IF(A31=d_시나리오!$B$11,2.4,NA())</f>
        <v>#N/A</v>
      </c>
      <c r="G31">
        <v>1</v>
      </c>
      <c r="I31" t="str">
        <f>IF(A31=d_시나리오!$B$11,"시행 후 "&amp;A31&amp;"위","")</f>
        <v/>
      </c>
      <c r="J31">
        <v>0</v>
      </c>
      <c r="K31">
        <f>IF(A31=d_시나리오!$B$11,3.1,0)</f>
        <v>0</v>
      </c>
    </row>
    <row r="32" spans="1:11">
      <c r="A32">
        <v>31</v>
      </c>
      <c r="B32">
        <v>1</v>
      </c>
      <c r="C32" t="e">
        <f>NA()</f>
        <v>#N/A</v>
      </c>
      <c r="D32" t="e">
        <f>NA()</f>
        <v>#N/A</v>
      </c>
      <c r="E32" t="e">
        <f>NA()</f>
        <v>#N/A</v>
      </c>
      <c r="F32" t="e">
        <f>IF(A32=d_시나리오!$B$11,2.4,NA())</f>
        <v>#N/A</v>
      </c>
      <c r="G32">
        <v>1</v>
      </c>
      <c r="I32" t="str">
        <f>IF(A32=d_시나리오!$B$11,"시행 후 "&amp;A32&amp;"위","")</f>
        <v/>
      </c>
      <c r="J32">
        <v>0</v>
      </c>
      <c r="K32">
        <f>IF(A32=d_시나리오!$B$11,3.1,0)</f>
        <v>0</v>
      </c>
    </row>
    <row r="33" spans="1:11">
      <c r="A33">
        <v>32</v>
      </c>
      <c r="B33">
        <v>1</v>
      </c>
      <c r="C33" t="e">
        <f>NA()</f>
        <v>#N/A</v>
      </c>
      <c r="D33" t="e">
        <f>NA()</f>
        <v>#N/A</v>
      </c>
      <c r="E33" t="e">
        <f>NA()</f>
        <v>#N/A</v>
      </c>
      <c r="F33" t="e">
        <f>IF(A33=d_시나리오!$B$11,2.4,NA())</f>
        <v>#N/A</v>
      </c>
      <c r="G33">
        <v>1</v>
      </c>
      <c r="I33" t="str">
        <f>IF(A33=d_시나리오!$B$11,"시행 후 "&amp;A33&amp;"위","")</f>
        <v/>
      </c>
      <c r="J33">
        <v>0</v>
      </c>
      <c r="K33">
        <f>IF(A33=d_시나리오!$B$11,3.1,0)</f>
        <v>0</v>
      </c>
    </row>
    <row r="34" spans="1:11">
      <c r="A34">
        <v>33</v>
      </c>
      <c r="B34">
        <v>1</v>
      </c>
      <c r="C34" t="e">
        <f>NA()</f>
        <v>#N/A</v>
      </c>
      <c r="D34" t="e">
        <f>NA()</f>
        <v>#N/A</v>
      </c>
      <c r="E34" t="e">
        <f>NA()</f>
        <v>#N/A</v>
      </c>
      <c r="F34" t="e">
        <f>IF(A34=d_시나리오!$B$11,2.4,NA())</f>
        <v>#N/A</v>
      </c>
      <c r="G34">
        <v>1</v>
      </c>
      <c r="I34" t="str">
        <f>IF(A34=d_시나리오!$B$11,"시행 후 "&amp;A34&amp;"위","")</f>
        <v/>
      </c>
      <c r="J34">
        <v>0</v>
      </c>
      <c r="K34">
        <f>IF(A34=d_시나리오!$B$11,3.1,0)</f>
        <v>0</v>
      </c>
    </row>
    <row r="35" spans="1:11">
      <c r="A35">
        <v>34</v>
      </c>
      <c r="B35">
        <v>1</v>
      </c>
      <c r="C35" t="e">
        <f>NA()</f>
        <v>#N/A</v>
      </c>
      <c r="D35" t="e">
        <f>NA()</f>
        <v>#N/A</v>
      </c>
      <c r="E35" t="e">
        <f>NA()</f>
        <v>#N/A</v>
      </c>
      <c r="F35" t="e">
        <f>IF(A35=d_시나리오!$B$11,2.4,NA())</f>
        <v>#N/A</v>
      </c>
      <c r="G35">
        <v>1</v>
      </c>
      <c r="I35" t="str">
        <f>IF(A35=d_시나리오!$B$11,"시행 후 "&amp;A35&amp;"위","")</f>
        <v/>
      </c>
      <c r="J35">
        <v>0</v>
      </c>
      <c r="K35">
        <f>IF(A35=d_시나리오!$B$11,3.1,0)</f>
        <v>0</v>
      </c>
    </row>
    <row r="36" spans="1:11">
      <c r="A36">
        <v>35</v>
      </c>
      <c r="B36">
        <v>1</v>
      </c>
      <c r="C36" t="e">
        <f>NA()</f>
        <v>#N/A</v>
      </c>
      <c r="D36" t="e">
        <f>NA()</f>
        <v>#N/A</v>
      </c>
      <c r="E36" t="e">
        <f>NA()</f>
        <v>#N/A</v>
      </c>
      <c r="F36" t="e">
        <f>IF(A36=d_시나리오!$B$11,2.4,NA())</f>
        <v>#N/A</v>
      </c>
      <c r="G36">
        <v>1</v>
      </c>
      <c r="I36" t="str">
        <f>IF(A36=d_시나리오!$B$11,"시행 후 "&amp;A36&amp;"위","")</f>
        <v/>
      </c>
      <c r="J36">
        <v>0</v>
      </c>
      <c r="K36">
        <f>IF(A36=d_시나리오!$B$11,3.1,0)</f>
        <v>0</v>
      </c>
    </row>
    <row r="37" spans="1:11">
      <c r="A37">
        <v>36</v>
      </c>
      <c r="B37">
        <v>1</v>
      </c>
      <c r="C37" t="e">
        <f>NA()</f>
        <v>#N/A</v>
      </c>
      <c r="D37" t="e">
        <f>NA()</f>
        <v>#N/A</v>
      </c>
      <c r="E37" t="e">
        <f>NA()</f>
        <v>#N/A</v>
      </c>
      <c r="F37" t="e">
        <f>IF(A37=d_시나리오!$B$11,2.4,NA())</f>
        <v>#N/A</v>
      </c>
      <c r="G37">
        <v>1</v>
      </c>
      <c r="I37" t="str">
        <f>IF(A37=d_시나리오!$B$11,"시행 후 "&amp;A37&amp;"위","")</f>
        <v/>
      </c>
      <c r="J37">
        <v>0</v>
      </c>
      <c r="K37">
        <f>IF(A37=d_시나리오!$B$11,3.1,0)</f>
        <v>0</v>
      </c>
    </row>
    <row r="38" spans="1:11">
      <c r="A38">
        <v>37</v>
      </c>
      <c r="B38">
        <v>1</v>
      </c>
      <c r="C38" t="e">
        <f>NA()</f>
        <v>#N/A</v>
      </c>
      <c r="D38" t="e">
        <f>NA()</f>
        <v>#N/A</v>
      </c>
      <c r="E38" t="e">
        <f>NA()</f>
        <v>#N/A</v>
      </c>
      <c r="F38" t="e">
        <f>IF(A38=d_시나리오!$B$11,2.4,NA())</f>
        <v>#N/A</v>
      </c>
      <c r="G38">
        <v>1</v>
      </c>
      <c r="I38" t="str">
        <f>IF(A38=d_시나리오!$B$11,"시행 후 "&amp;A38&amp;"위","")</f>
        <v/>
      </c>
      <c r="J38">
        <v>0</v>
      </c>
      <c r="K38">
        <f>IF(A38=d_시나리오!$B$11,3.1,0)</f>
        <v>0</v>
      </c>
    </row>
    <row r="39" spans="1:11">
      <c r="A39">
        <v>38</v>
      </c>
      <c r="B39">
        <v>1</v>
      </c>
      <c r="C39" t="e">
        <f>NA()</f>
        <v>#N/A</v>
      </c>
      <c r="D39" t="e">
        <f>NA()</f>
        <v>#N/A</v>
      </c>
      <c r="E39" t="e">
        <f>NA()</f>
        <v>#N/A</v>
      </c>
      <c r="F39" t="e">
        <f>IF(A39=d_시나리오!$B$11,2.4,NA())</f>
        <v>#N/A</v>
      </c>
      <c r="G39">
        <v>1</v>
      </c>
      <c r="I39" t="str">
        <f>IF(A39=d_시나리오!$B$11,"시행 후 "&amp;A39&amp;"위","")</f>
        <v/>
      </c>
      <c r="J39">
        <v>0</v>
      </c>
      <c r="K39">
        <f>IF(A39=d_시나리오!$B$11,3.1,0)</f>
        <v>0</v>
      </c>
    </row>
    <row r="40" spans="1:11">
      <c r="A40">
        <v>39</v>
      </c>
      <c r="B40">
        <v>1</v>
      </c>
      <c r="C40" t="e">
        <f>NA()</f>
        <v>#N/A</v>
      </c>
      <c r="D40" t="e">
        <f>NA()</f>
        <v>#N/A</v>
      </c>
      <c r="E40" t="e">
        <f>NA()</f>
        <v>#N/A</v>
      </c>
      <c r="F40" t="e">
        <f>IF(A40=d_시나리오!$B$11,2.4,NA())</f>
        <v>#N/A</v>
      </c>
      <c r="G40">
        <v>1</v>
      </c>
      <c r="I40" t="str">
        <f>IF(A40=d_시나리오!$B$11,"시행 후 "&amp;A40&amp;"위","")</f>
        <v/>
      </c>
      <c r="J40">
        <v>0</v>
      </c>
      <c r="K40">
        <f>IF(A40=d_시나리오!$B$11,3.1,0)</f>
        <v>0</v>
      </c>
    </row>
    <row r="41" spans="1:11">
      <c r="A41">
        <v>40</v>
      </c>
      <c r="B41">
        <v>1</v>
      </c>
      <c r="C41" t="e">
        <f>NA()</f>
        <v>#N/A</v>
      </c>
      <c r="D41" t="e">
        <f>NA()</f>
        <v>#N/A</v>
      </c>
      <c r="E41" t="e">
        <f>NA()</f>
        <v>#N/A</v>
      </c>
      <c r="F41" t="e">
        <f>IF(A41=d_시나리오!$B$11,2.4,NA())</f>
        <v>#N/A</v>
      </c>
      <c r="G41">
        <v>1</v>
      </c>
      <c r="I41" t="str">
        <f>IF(A41=d_시나리오!$B$11,"시행 후 "&amp;A41&amp;"위","")</f>
        <v/>
      </c>
      <c r="J41">
        <v>0</v>
      </c>
      <c r="K41">
        <f>IF(A41=d_시나리오!$B$11,3.1,0)</f>
        <v>0</v>
      </c>
    </row>
    <row r="42" spans="1:11">
      <c r="A42">
        <v>41</v>
      </c>
      <c r="B42">
        <v>1</v>
      </c>
      <c r="C42" t="e">
        <f>NA()</f>
        <v>#N/A</v>
      </c>
      <c r="D42" t="e">
        <f>NA()</f>
        <v>#N/A</v>
      </c>
      <c r="E42" t="e">
        <f>NA()</f>
        <v>#N/A</v>
      </c>
      <c r="F42" t="e">
        <f>IF(A42=d_시나리오!$B$11,2.4,NA())</f>
        <v>#N/A</v>
      </c>
      <c r="G42">
        <v>1</v>
      </c>
      <c r="I42" t="str">
        <f>IF(A42=d_시나리오!$B$11,"시행 후 "&amp;A42&amp;"위","")</f>
        <v/>
      </c>
      <c r="J42">
        <v>0</v>
      </c>
      <c r="K42">
        <f>IF(A42=d_시나리오!$B$11,3.1,0)</f>
        <v>0</v>
      </c>
    </row>
    <row r="43" spans="1:11">
      <c r="A43">
        <v>42</v>
      </c>
      <c r="B43">
        <v>1</v>
      </c>
      <c r="C43" t="e">
        <f>NA()</f>
        <v>#N/A</v>
      </c>
      <c r="D43" t="e">
        <f>NA()</f>
        <v>#N/A</v>
      </c>
      <c r="E43" t="e">
        <f>NA()</f>
        <v>#N/A</v>
      </c>
      <c r="F43" t="e">
        <f>IF(A43=d_시나리오!$B$11,2.4,NA())</f>
        <v>#N/A</v>
      </c>
      <c r="G43">
        <v>1</v>
      </c>
      <c r="I43" t="str">
        <f>IF(A43=d_시나리오!$B$11,"시행 후 "&amp;A43&amp;"위","")</f>
        <v/>
      </c>
      <c r="J43">
        <v>0</v>
      </c>
      <c r="K43">
        <f>IF(A43=d_시나리오!$B$11,3.1,0)</f>
        <v>0</v>
      </c>
    </row>
    <row r="44" spans="1:11">
      <c r="A44">
        <v>43</v>
      </c>
      <c r="B44">
        <v>1</v>
      </c>
      <c r="C44" t="e">
        <f>NA()</f>
        <v>#N/A</v>
      </c>
      <c r="D44" t="e">
        <f>NA()</f>
        <v>#N/A</v>
      </c>
      <c r="E44" t="e">
        <f>NA()</f>
        <v>#N/A</v>
      </c>
      <c r="F44" t="e">
        <f>IF(A44=d_시나리오!$B$11,2.4,NA())</f>
        <v>#N/A</v>
      </c>
      <c r="G44">
        <v>1</v>
      </c>
      <c r="I44" t="str">
        <f>IF(A44=d_시나리오!$B$11,"시행 후 "&amp;A44&amp;"위","")</f>
        <v/>
      </c>
      <c r="J44">
        <v>0</v>
      </c>
      <c r="K44">
        <f>IF(A44=d_시나리오!$B$11,3.1,0)</f>
        <v>0</v>
      </c>
    </row>
    <row r="45" spans="1:11">
      <c r="A45">
        <v>44</v>
      </c>
      <c r="B45">
        <v>1</v>
      </c>
      <c r="C45" t="e">
        <f>NA()</f>
        <v>#N/A</v>
      </c>
      <c r="D45" t="e">
        <f>NA()</f>
        <v>#N/A</v>
      </c>
      <c r="E45" t="e">
        <f>NA()</f>
        <v>#N/A</v>
      </c>
      <c r="F45" t="e">
        <f>IF(A45=d_시나리오!$B$11,2.4,NA())</f>
        <v>#N/A</v>
      </c>
      <c r="G45">
        <v>1</v>
      </c>
      <c r="I45" t="str">
        <f>IF(A45=d_시나리오!$B$11,"시행 후 "&amp;A45&amp;"위","")</f>
        <v/>
      </c>
      <c r="J45">
        <v>0</v>
      </c>
      <c r="K45">
        <f>IF(A45=d_시나리오!$B$11,3.1,0)</f>
        <v>0</v>
      </c>
    </row>
    <row r="46" spans="1:11">
      <c r="A46">
        <v>45</v>
      </c>
      <c r="B46">
        <v>1</v>
      </c>
      <c r="C46" t="e">
        <f>NA()</f>
        <v>#N/A</v>
      </c>
      <c r="D46" t="e">
        <f>NA()</f>
        <v>#N/A</v>
      </c>
      <c r="E46" t="e">
        <f>NA()</f>
        <v>#N/A</v>
      </c>
      <c r="F46" t="e">
        <f>IF(A46=d_시나리오!$B$11,2.4,NA())</f>
        <v>#N/A</v>
      </c>
      <c r="G46">
        <v>1</v>
      </c>
      <c r="I46" t="str">
        <f>IF(A46=d_시나리오!$B$11,"시행 후 "&amp;A46&amp;"위","")</f>
        <v/>
      </c>
      <c r="J46">
        <v>0</v>
      </c>
      <c r="K46">
        <f>IF(A46=d_시나리오!$B$11,3.1,0)</f>
        <v>0</v>
      </c>
    </row>
    <row r="47" spans="1:11">
      <c r="A47">
        <v>46</v>
      </c>
      <c r="B47">
        <v>1</v>
      </c>
      <c r="C47" t="e">
        <f>NA()</f>
        <v>#N/A</v>
      </c>
      <c r="D47" t="e">
        <f>NA()</f>
        <v>#N/A</v>
      </c>
      <c r="E47" t="e">
        <f>NA()</f>
        <v>#N/A</v>
      </c>
      <c r="F47" t="e">
        <f>IF(A47=d_시나리오!$B$11,2.4,NA())</f>
        <v>#N/A</v>
      </c>
      <c r="G47">
        <v>1</v>
      </c>
      <c r="I47" t="str">
        <f>IF(A47=d_시나리오!$B$11,"시행 후 "&amp;A47&amp;"위","")</f>
        <v/>
      </c>
      <c r="J47">
        <v>0</v>
      </c>
      <c r="K47">
        <f>IF(A47=d_시나리오!$B$11,3.1,0)</f>
        <v>0</v>
      </c>
    </row>
    <row r="48" spans="1:11">
      <c r="A48">
        <v>47</v>
      </c>
      <c r="B48">
        <v>1</v>
      </c>
      <c r="C48" t="e">
        <f>NA()</f>
        <v>#N/A</v>
      </c>
      <c r="D48" t="e">
        <f>NA()</f>
        <v>#N/A</v>
      </c>
      <c r="E48" t="e">
        <f>NA()</f>
        <v>#N/A</v>
      </c>
      <c r="F48" t="e">
        <f>IF(A48=d_시나리오!$B$11,2.4,NA())</f>
        <v>#N/A</v>
      </c>
      <c r="G48">
        <v>1</v>
      </c>
      <c r="I48" t="str">
        <f>IF(A48=d_시나리오!$B$11,"시행 후 "&amp;A48&amp;"위","")</f>
        <v/>
      </c>
      <c r="J48">
        <v>0</v>
      </c>
      <c r="K48">
        <f>IF(A48=d_시나리오!$B$11,3.1,0)</f>
        <v>0</v>
      </c>
    </row>
    <row r="49" spans="1:11">
      <c r="A49">
        <v>48</v>
      </c>
      <c r="B49">
        <v>1</v>
      </c>
      <c r="C49" t="e">
        <f>NA()</f>
        <v>#N/A</v>
      </c>
      <c r="D49" t="e">
        <f>NA()</f>
        <v>#N/A</v>
      </c>
      <c r="E49" t="e">
        <f>NA()</f>
        <v>#N/A</v>
      </c>
      <c r="F49" t="e">
        <f>IF(A49=d_시나리오!$B$11,2.4,NA())</f>
        <v>#N/A</v>
      </c>
      <c r="G49">
        <v>1</v>
      </c>
      <c r="I49" t="str">
        <f>IF(A49=d_시나리오!$B$11,"시행 후 "&amp;A49&amp;"위","")</f>
        <v/>
      </c>
      <c r="J49">
        <v>0</v>
      </c>
      <c r="K49">
        <f>IF(A49=d_시나리오!$B$11,3.1,0)</f>
        <v>0</v>
      </c>
    </row>
    <row r="50" spans="1:11">
      <c r="A50">
        <v>49</v>
      </c>
      <c r="B50">
        <v>1</v>
      </c>
      <c r="C50" t="e">
        <f>NA()</f>
        <v>#N/A</v>
      </c>
      <c r="D50" t="e">
        <f>NA()</f>
        <v>#N/A</v>
      </c>
      <c r="E50" t="e">
        <f>NA()</f>
        <v>#N/A</v>
      </c>
      <c r="F50" t="e">
        <f>IF(A50=d_시나리오!$B$11,2.4,NA())</f>
        <v>#N/A</v>
      </c>
      <c r="G50">
        <v>1</v>
      </c>
      <c r="I50" t="str">
        <f>IF(A50=d_시나리오!$B$11,"시행 후 "&amp;A50&amp;"위","")</f>
        <v/>
      </c>
      <c r="J50">
        <v>0</v>
      </c>
      <c r="K50">
        <f>IF(A50=d_시나리오!$B$11,3.1,0)</f>
        <v>0</v>
      </c>
    </row>
    <row r="51" spans="1:11">
      <c r="A51">
        <v>50</v>
      </c>
      <c r="B51">
        <v>1</v>
      </c>
      <c r="C51" t="e">
        <f>NA()</f>
        <v>#N/A</v>
      </c>
      <c r="D51" t="e">
        <f>NA()</f>
        <v>#N/A</v>
      </c>
      <c r="E51" t="e">
        <f>NA()</f>
        <v>#N/A</v>
      </c>
      <c r="F51" t="e">
        <f>IF(A51=d_시나리오!$B$11,2.4,NA())</f>
        <v>#N/A</v>
      </c>
      <c r="G51">
        <v>1</v>
      </c>
      <c r="I51" t="str">
        <f>IF(A51=d_시나리오!$B$11,"시행 후 "&amp;A51&amp;"위","")</f>
        <v/>
      </c>
      <c r="J51">
        <v>0</v>
      </c>
      <c r="K51">
        <f>IF(A51=d_시나리오!$B$11,3.1,0)</f>
        <v>0</v>
      </c>
    </row>
    <row r="52" spans="1:11">
      <c r="A52">
        <v>51</v>
      </c>
      <c r="B52">
        <v>1</v>
      </c>
      <c r="C52" t="e">
        <f>NA()</f>
        <v>#N/A</v>
      </c>
      <c r="D52" t="e">
        <f>NA()</f>
        <v>#N/A</v>
      </c>
      <c r="E52" t="e">
        <f>NA()</f>
        <v>#N/A</v>
      </c>
      <c r="F52" t="e">
        <f>IF(A52=d_시나리오!$B$11,2.4,NA())</f>
        <v>#N/A</v>
      </c>
      <c r="G52">
        <v>1</v>
      </c>
      <c r="I52" t="str">
        <f>IF(A52=d_시나리오!$B$11,"시행 후 "&amp;A52&amp;"위","")</f>
        <v/>
      </c>
      <c r="J52">
        <v>0</v>
      </c>
      <c r="K52">
        <f>IF(A52=d_시나리오!$B$11,3.1,0)</f>
        <v>0</v>
      </c>
    </row>
    <row r="53" spans="1:11">
      <c r="A53">
        <v>52</v>
      </c>
      <c r="B53">
        <v>1</v>
      </c>
      <c r="C53" t="e">
        <f>NA()</f>
        <v>#N/A</v>
      </c>
      <c r="D53" t="e">
        <f>NA()</f>
        <v>#N/A</v>
      </c>
      <c r="E53" t="e">
        <f>NA()</f>
        <v>#N/A</v>
      </c>
      <c r="F53" t="e">
        <f>IF(A53=d_시나리오!$B$11,2.4,NA())</f>
        <v>#N/A</v>
      </c>
      <c r="G53">
        <v>1</v>
      </c>
      <c r="I53" t="str">
        <f>IF(A53=d_시나리오!$B$11,"시행 후 "&amp;A53&amp;"위","")</f>
        <v/>
      </c>
      <c r="J53">
        <v>0</v>
      </c>
      <c r="K53">
        <f>IF(A53=d_시나리오!$B$11,3.1,0)</f>
        <v>0</v>
      </c>
    </row>
    <row r="54" spans="1:11">
      <c r="A54">
        <v>53</v>
      </c>
      <c r="B54">
        <v>1</v>
      </c>
      <c r="C54" t="e">
        <f>NA()</f>
        <v>#N/A</v>
      </c>
      <c r="D54" t="e">
        <f>NA()</f>
        <v>#N/A</v>
      </c>
      <c r="E54" t="e">
        <f>NA()</f>
        <v>#N/A</v>
      </c>
      <c r="F54" t="e">
        <f>IF(A54=d_시나리오!$B$11,2.4,NA())</f>
        <v>#N/A</v>
      </c>
      <c r="G54">
        <v>1</v>
      </c>
      <c r="I54" t="str">
        <f>IF(A54=d_시나리오!$B$11,"시행 후 "&amp;A54&amp;"위","")</f>
        <v/>
      </c>
      <c r="J54">
        <v>0</v>
      </c>
      <c r="K54">
        <f>IF(A54=d_시나리오!$B$11,3.1,0)</f>
        <v>0</v>
      </c>
    </row>
    <row r="55" spans="1:11">
      <c r="A55">
        <v>54</v>
      </c>
      <c r="B55">
        <v>1</v>
      </c>
      <c r="C55" t="e">
        <f>NA()</f>
        <v>#N/A</v>
      </c>
      <c r="D55" t="e">
        <f>NA()</f>
        <v>#N/A</v>
      </c>
      <c r="E55" t="e">
        <f>NA()</f>
        <v>#N/A</v>
      </c>
      <c r="F55" t="e">
        <f>IF(A55=d_시나리오!$B$11,2.4,NA())</f>
        <v>#N/A</v>
      </c>
      <c r="G55">
        <v>1</v>
      </c>
      <c r="I55" t="str">
        <f>IF(A55=d_시나리오!$B$11,"시행 후 "&amp;A55&amp;"위","")</f>
        <v/>
      </c>
      <c r="J55">
        <v>0</v>
      </c>
      <c r="K55">
        <f>IF(A55=d_시나리오!$B$11,3.1,0)</f>
        <v>0</v>
      </c>
    </row>
    <row r="56" spans="1:11">
      <c r="A56">
        <v>55</v>
      </c>
      <c r="B56">
        <v>1</v>
      </c>
      <c r="C56" t="e">
        <f>NA()</f>
        <v>#N/A</v>
      </c>
      <c r="D56" t="e">
        <f>NA()</f>
        <v>#N/A</v>
      </c>
      <c r="E56" t="e">
        <f>NA()</f>
        <v>#N/A</v>
      </c>
      <c r="F56" t="e">
        <f>IF(A56=d_시나리오!$B$11,2.4,NA())</f>
        <v>#N/A</v>
      </c>
      <c r="G56">
        <v>1</v>
      </c>
      <c r="I56" t="str">
        <f>IF(A56=d_시나리오!$B$11,"시행 후 "&amp;A56&amp;"위","")</f>
        <v/>
      </c>
      <c r="J56">
        <v>0</v>
      </c>
      <c r="K56">
        <f>IF(A56=d_시나리오!$B$11,3.1,0)</f>
        <v>0</v>
      </c>
    </row>
    <row r="57" spans="1:11">
      <c r="A57">
        <v>56</v>
      </c>
      <c r="B57">
        <v>1</v>
      </c>
      <c r="C57" t="e">
        <f>NA()</f>
        <v>#N/A</v>
      </c>
      <c r="D57" t="e">
        <f>NA()</f>
        <v>#N/A</v>
      </c>
      <c r="E57" t="e">
        <f>NA()</f>
        <v>#N/A</v>
      </c>
      <c r="F57" t="e">
        <f>IF(A57=d_시나리오!$B$11,2.4,NA())</f>
        <v>#N/A</v>
      </c>
      <c r="G57">
        <v>1</v>
      </c>
      <c r="I57" t="str">
        <f>IF(A57=d_시나리오!$B$11,"시행 후 "&amp;A57&amp;"위","")</f>
        <v/>
      </c>
      <c r="J57">
        <v>0</v>
      </c>
      <c r="K57">
        <f>IF(A57=d_시나리오!$B$11,3.1,0)</f>
        <v>0</v>
      </c>
    </row>
    <row r="58" spans="1:11">
      <c r="A58">
        <v>57</v>
      </c>
      <c r="B58">
        <v>1</v>
      </c>
      <c r="C58" t="e">
        <f>NA()</f>
        <v>#N/A</v>
      </c>
      <c r="D58" t="e">
        <f>NA()</f>
        <v>#N/A</v>
      </c>
      <c r="E58" t="e">
        <f>NA()</f>
        <v>#N/A</v>
      </c>
      <c r="F58" t="e">
        <f>IF(A58=d_시나리오!$B$11,2.4,NA())</f>
        <v>#N/A</v>
      </c>
      <c r="G58">
        <v>1</v>
      </c>
      <c r="I58" t="str">
        <f>IF(A58=d_시나리오!$B$11,"시행 후 "&amp;A58&amp;"위","")</f>
        <v/>
      </c>
      <c r="J58">
        <v>0</v>
      </c>
      <c r="K58">
        <f>IF(A58=d_시나리오!$B$11,3.1,0)</f>
        <v>0</v>
      </c>
    </row>
    <row r="59" spans="1:11">
      <c r="A59">
        <v>58</v>
      </c>
      <c r="B59">
        <v>1</v>
      </c>
      <c r="C59" t="e">
        <f>NA()</f>
        <v>#N/A</v>
      </c>
      <c r="D59" t="e">
        <f>NA()</f>
        <v>#N/A</v>
      </c>
      <c r="E59" t="e">
        <f>NA()</f>
        <v>#N/A</v>
      </c>
      <c r="F59" t="e">
        <f>IF(A59=d_시나리오!$B$11,2.4,NA())</f>
        <v>#N/A</v>
      </c>
      <c r="G59">
        <v>1</v>
      </c>
      <c r="I59" t="str">
        <f>IF(A59=d_시나리오!$B$11,"시행 후 "&amp;A59&amp;"위","")</f>
        <v/>
      </c>
      <c r="J59">
        <v>0</v>
      </c>
      <c r="K59">
        <f>IF(A59=d_시나리오!$B$11,3.1,0)</f>
        <v>0</v>
      </c>
    </row>
    <row r="60" spans="1:11">
      <c r="A60">
        <v>59</v>
      </c>
      <c r="B60">
        <v>1</v>
      </c>
      <c r="C60" t="e">
        <f>NA()</f>
        <v>#N/A</v>
      </c>
      <c r="D60" t="e">
        <f>NA()</f>
        <v>#N/A</v>
      </c>
      <c r="E60" t="e">
        <f>NA()</f>
        <v>#N/A</v>
      </c>
      <c r="F60" t="e">
        <f>IF(A60=d_시나리오!$B$11,2.4,NA())</f>
        <v>#N/A</v>
      </c>
      <c r="G60">
        <v>1</v>
      </c>
      <c r="I60" t="str">
        <f>IF(A60=d_시나리오!$B$11,"시행 후 "&amp;A60&amp;"위","")</f>
        <v/>
      </c>
      <c r="J60">
        <v>0</v>
      </c>
      <c r="K60">
        <f>IF(A60=d_시나리오!$B$11,3.1,0)</f>
        <v>0</v>
      </c>
    </row>
    <row r="61" spans="1:11">
      <c r="A61">
        <v>60</v>
      </c>
      <c r="B61">
        <v>1</v>
      </c>
      <c r="C61" t="e">
        <f>NA()</f>
        <v>#N/A</v>
      </c>
      <c r="D61" t="e">
        <f>NA()</f>
        <v>#N/A</v>
      </c>
      <c r="E61" t="e">
        <f>NA()</f>
        <v>#N/A</v>
      </c>
      <c r="F61" t="e">
        <f>IF(A61=d_시나리오!$B$11,2.4,NA())</f>
        <v>#N/A</v>
      </c>
      <c r="G61">
        <v>1</v>
      </c>
      <c r="I61" t="str">
        <f>IF(A61=d_시나리오!$B$11,"시행 후 "&amp;A61&amp;"위","")</f>
        <v/>
      </c>
      <c r="J61">
        <v>0</v>
      </c>
      <c r="K61">
        <f>IF(A61=d_시나리오!$B$11,3.1,0)</f>
        <v>0</v>
      </c>
    </row>
    <row r="62" spans="1:11">
      <c r="A62">
        <v>61</v>
      </c>
      <c r="B62">
        <v>1</v>
      </c>
      <c r="C62" t="e">
        <f>NA()</f>
        <v>#N/A</v>
      </c>
      <c r="D62" t="e">
        <f>NA()</f>
        <v>#N/A</v>
      </c>
      <c r="E62" t="e">
        <f>NA()</f>
        <v>#N/A</v>
      </c>
      <c r="F62" t="e">
        <f>IF(A62=d_시나리오!$B$11,2.4,NA())</f>
        <v>#N/A</v>
      </c>
      <c r="G62">
        <v>1</v>
      </c>
      <c r="I62" t="str">
        <f>IF(A62=d_시나리오!$B$11,"시행 후 "&amp;A62&amp;"위","")</f>
        <v/>
      </c>
      <c r="J62">
        <v>0</v>
      </c>
      <c r="K62">
        <f>IF(A62=d_시나리오!$B$11,3.1,0)</f>
        <v>0</v>
      </c>
    </row>
    <row r="63" spans="1:11">
      <c r="A63">
        <v>62</v>
      </c>
      <c r="B63">
        <v>1</v>
      </c>
      <c r="C63" t="e">
        <f>NA()</f>
        <v>#N/A</v>
      </c>
      <c r="D63" t="e">
        <f>NA()</f>
        <v>#N/A</v>
      </c>
      <c r="E63" t="e">
        <f>NA()</f>
        <v>#N/A</v>
      </c>
      <c r="F63" t="e">
        <f>IF(A63=d_시나리오!$B$11,2.4,NA())</f>
        <v>#N/A</v>
      </c>
      <c r="G63">
        <v>1</v>
      </c>
      <c r="I63" t="str">
        <f>IF(A63=d_시나리오!$B$11,"시행 후 "&amp;A63&amp;"위","")</f>
        <v/>
      </c>
      <c r="J63">
        <v>0</v>
      </c>
      <c r="K63">
        <f>IF(A63=d_시나리오!$B$11,3.1,0)</f>
        <v>0</v>
      </c>
    </row>
    <row r="64" spans="1:11">
      <c r="A64">
        <v>63</v>
      </c>
      <c r="B64">
        <v>1</v>
      </c>
      <c r="C64" t="e">
        <f>NA()</f>
        <v>#N/A</v>
      </c>
      <c r="D64" t="e">
        <f>NA()</f>
        <v>#N/A</v>
      </c>
      <c r="E64" t="e">
        <f>NA()</f>
        <v>#N/A</v>
      </c>
      <c r="F64" t="e">
        <f>IF(A64=d_시나리오!$B$11,2.4,NA())</f>
        <v>#N/A</v>
      </c>
      <c r="G64">
        <v>1</v>
      </c>
      <c r="I64" t="str">
        <f>IF(A64=d_시나리오!$B$11,"시행 후 "&amp;A64&amp;"위","")</f>
        <v/>
      </c>
      <c r="J64">
        <v>0</v>
      </c>
      <c r="K64">
        <f>IF(A64=d_시나리오!$B$11,3.1,0)</f>
        <v>0</v>
      </c>
    </row>
    <row r="65" spans="1:11">
      <c r="A65">
        <v>64</v>
      </c>
      <c r="B65">
        <v>1</v>
      </c>
      <c r="C65" t="e">
        <f>NA()</f>
        <v>#N/A</v>
      </c>
      <c r="D65" t="e">
        <f>NA()</f>
        <v>#N/A</v>
      </c>
      <c r="E65" t="e">
        <f>NA()</f>
        <v>#N/A</v>
      </c>
      <c r="F65" t="e">
        <f>IF(A65=d_시나리오!$B$11,2.4,NA())</f>
        <v>#N/A</v>
      </c>
      <c r="G65">
        <v>1</v>
      </c>
      <c r="I65" t="str">
        <f>IF(A65=d_시나리오!$B$11,"시행 후 "&amp;A65&amp;"위","")</f>
        <v/>
      </c>
      <c r="J65">
        <v>0</v>
      </c>
      <c r="K65">
        <f>IF(A65=d_시나리오!$B$11,3.1,0)</f>
        <v>0</v>
      </c>
    </row>
    <row r="66" spans="1:11">
      <c r="A66">
        <v>65</v>
      </c>
      <c r="B66">
        <v>1</v>
      </c>
      <c r="C66" t="e">
        <f>NA()</f>
        <v>#N/A</v>
      </c>
      <c r="D66" t="e">
        <f>NA()</f>
        <v>#N/A</v>
      </c>
      <c r="E66" t="e">
        <f>NA()</f>
        <v>#N/A</v>
      </c>
      <c r="F66" t="e">
        <f>IF(A66=d_시나리오!$B$11,2.4,NA())</f>
        <v>#N/A</v>
      </c>
      <c r="G66">
        <v>1</v>
      </c>
      <c r="I66" t="str">
        <f>IF(A66=d_시나리오!$B$11,"시행 후 "&amp;A66&amp;"위","")</f>
        <v/>
      </c>
      <c r="J66">
        <v>0</v>
      </c>
      <c r="K66">
        <f>IF(A66=d_시나리오!$B$11,3.1,0)</f>
        <v>0</v>
      </c>
    </row>
    <row r="67" spans="1:11">
      <c r="A67">
        <v>66</v>
      </c>
      <c r="B67">
        <v>1</v>
      </c>
      <c r="C67" t="e">
        <f>NA()</f>
        <v>#N/A</v>
      </c>
      <c r="D67" t="e">
        <f>NA()</f>
        <v>#N/A</v>
      </c>
      <c r="E67" t="e">
        <f>NA()</f>
        <v>#N/A</v>
      </c>
      <c r="F67" t="e">
        <f>IF(A67=d_시나리오!$B$11,2.4,NA())</f>
        <v>#N/A</v>
      </c>
      <c r="G67">
        <v>1</v>
      </c>
      <c r="I67" t="str">
        <f>IF(A67=d_시나리오!$B$11,"시행 후 "&amp;A67&amp;"위","")</f>
        <v/>
      </c>
      <c r="J67">
        <v>0</v>
      </c>
      <c r="K67">
        <f>IF(A67=d_시나리오!$B$11,3.1,0)</f>
        <v>0</v>
      </c>
    </row>
    <row r="68" spans="1:11">
      <c r="A68">
        <v>67</v>
      </c>
      <c r="B68">
        <v>1</v>
      </c>
      <c r="C68" t="e">
        <f>NA()</f>
        <v>#N/A</v>
      </c>
      <c r="D68" t="e">
        <f>NA()</f>
        <v>#N/A</v>
      </c>
      <c r="E68" t="e">
        <f>NA()</f>
        <v>#N/A</v>
      </c>
      <c r="F68" t="e">
        <f>IF(A68=d_시나리오!$B$11,2.4,NA())</f>
        <v>#N/A</v>
      </c>
      <c r="G68">
        <v>1</v>
      </c>
      <c r="I68" t="str">
        <f>IF(A68=d_시나리오!$B$11,"시행 후 "&amp;A68&amp;"위","")</f>
        <v/>
      </c>
      <c r="J68">
        <v>0</v>
      </c>
      <c r="K68">
        <f>IF(A68=d_시나리오!$B$11,3.1,0)</f>
        <v>0</v>
      </c>
    </row>
    <row r="69" spans="1:11">
      <c r="A69">
        <v>68</v>
      </c>
      <c r="B69">
        <v>1</v>
      </c>
      <c r="C69" t="e">
        <f>NA()</f>
        <v>#N/A</v>
      </c>
      <c r="D69" t="e">
        <f>NA()</f>
        <v>#N/A</v>
      </c>
      <c r="E69" t="e">
        <f>NA()</f>
        <v>#N/A</v>
      </c>
      <c r="F69" t="e">
        <f>IF(A69=d_시나리오!$B$11,2.4,NA())</f>
        <v>#N/A</v>
      </c>
      <c r="G69">
        <v>1</v>
      </c>
      <c r="I69" t="str">
        <f>IF(A69=d_시나리오!$B$11,"시행 후 "&amp;A69&amp;"위","")</f>
        <v/>
      </c>
      <c r="J69">
        <v>0</v>
      </c>
      <c r="K69">
        <f>IF(A69=d_시나리오!$B$11,3.1,0)</f>
        <v>0</v>
      </c>
    </row>
    <row r="70" spans="1:11">
      <c r="A70">
        <v>69</v>
      </c>
      <c r="B70">
        <v>1</v>
      </c>
      <c r="C70" t="e">
        <f>NA()</f>
        <v>#N/A</v>
      </c>
      <c r="D70" t="e">
        <f>NA()</f>
        <v>#N/A</v>
      </c>
      <c r="E70" t="e">
        <f>NA()</f>
        <v>#N/A</v>
      </c>
      <c r="F70" t="e">
        <f>IF(A70=d_시나리오!$B$11,2.4,NA())</f>
        <v>#N/A</v>
      </c>
      <c r="G70">
        <v>1</v>
      </c>
      <c r="I70" t="str">
        <f>IF(A70=d_시나리오!$B$11,"시행 후 "&amp;A70&amp;"위","")</f>
        <v/>
      </c>
      <c r="J70">
        <v>0</v>
      </c>
      <c r="K70">
        <f>IF(A70=d_시나리오!$B$11,3.1,0)</f>
        <v>0</v>
      </c>
    </row>
    <row r="71" spans="1:11">
      <c r="A71">
        <v>70</v>
      </c>
      <c r="B71">
        <v>1</v>
      </c>
      <c r="C71" t="e">
        <f>NA()</f>
        <v>#N/A</v>
      </c>
      <c r="D71" t="e">
        <f>NA()</f>
        <v>#N/A</v>
      </c>
      <c r="E71" t="e">
        <f>NA()</f>
        <v>#N/A</v>
      </c>
      <c r="F71" t="e">
        <f>IF(A71=d_시나리오!$B$11,2.4,NA())</f>
        <v>#N/A</v>
      </c>
      <c r="G71">
        <v>1</v>
      </c>
      <c r="I71" t="str">
        <f>IF(A71=d_시나리오!$B$11,"시행 후 "&amp;A71&amp;"위","")</f>
        <v/>
      </c>
      <c r="J71">
        <v>0</v>
      </c>
      <c r="K71">
        <f>IF(A71=d_시나리오!$B$11,3.1,0)</f>
        <v>0</v>
      </c>
    </row>
    <row r="72" spans="1:11">
      <c r="A72">
        <v>71</v>
      </c>
      <c r="B72">
        <v>1</v>
      </c>
      <c r="C72" t="e">
        <f>NA()</f>
        <v>#N/A</v>
      </c>
      <c r="D72" t="e">
        <f>NA()</f>
        <v>#N/A</v>
      </c>
      <c r="E72" t="e">
        <f>NA()</f>
        <v>#N/A</v>
      </c>
      <c r="F72" t="e">
        <f>IF(A72=d_시나리오!$B$11,2.4,NA())</f>
        <v>#N/A</v>
      </c>
      <c r="G72">
        <v>1</v>
      </c>
      <c r="I72" t="str">
        <f>IF(A72=d_시나리오!$B$11,"시행 후 "&amp;A72&amp;"위","")</f>
        <v/>
      </c>
      <c r="J72">
        <v>0</v>
      </c>
      <c r="K72">
        <f>IF(A72=d_시나리오!$B$11,3.1,0)</f>
        <v>0</v>
      </c>
    </row>
    <row r="73" spans="1:11">
      <c r="A73">
        <v>72</v>
      </c>
      <c r="B73">
        <v>1</v>
      </c>
      <c r="C73" t="e">
        <f>NA()</f>
        <v>#N/A</v>
      </c>
      <c r="D73" t="e">
        <f>NA()</f>
        <v>#N/A</v>
      </c>
      <c r="E73" t="e">
        <f>NA()</f>
        <v>#N/A</v>
      </c>
      <c r="F73" t="e">
        <f>IF(A73=d_시나리오!$B$11,2.4,NA())</f>
        <v>#N/A</v>
      </c>
      <c r="G73">
        <v>1</v>
      </c>
      <c r="I73" t="str">
        <f>IF(A73=d_시나리오!$B$11,"시행 후 "&amp;A73&amp;"위","")</f>
        <v/>
      </c>
      <c r="J73">
        <v>0</v>
      </c>
      <c r="K73">
        <f>IF(A73=d_시나리오!$B$11,3.1,0)</f>
        <v>0</v>
      </c>
    </row>
    <row r="74" spans="1:11">
      <c r="A74">
        <v>73</v>
      </c>
      <c r="B74" t="e">
        <f>NA()</f>
        <v>#N/A</v>
      </c>
      <c r="C74" t="e">
        <f>NA()</f>
        <v>#N/A</v>
      </c>
      <c r="D74" t="e">
        <f>NA()</f>
        <v>#N/A</v>
      </c>
      <c r="E74">
        <v>1.6</v>
      </c>
      <c r="F74" t="e">
        <f>IF(A74=d_시나리오!$B$11,2.4,NA())</f>
        <v>#N/A</v>
      </c>
      <c r="G74">
        <v>1</v>
      </c>
      <c r="H74" t="s">
        <v>423</v>
      </c>
      <c r="I74" t="str">
        <f>IF(A74=d_시나리오!$B$11,"시행 후 "&amp;A74&amp;"위","가운데 73위")</f>
        <v>가운데 73위</v>
      </c>
      <c r="J74">
        <v>1.6</v>
      </c>
      <c r="K74">
        <f>IF(A74=d_시나리오!$B$11,3.1,1.6)</f>
        <v>1.6</v>
      </c>
    </row>
    <row r="75" spans="1:11">
      <c r="A75">
        <v>74</v>
      </c>
      <c r="B75">
        <v>1</v>
      </c>
      <c r="C75" t="e">
        <f>NA()</f>
        <v>#N/A</v>
      </c>
      <c r="D75" t="e">
        <f>NA()</f>
        <v>#N/A</v>
      </c>
      <c r="E75" t="e">
        <f>NA()</f>
        <v>#N/A</v>
      </c>
      <c r="F75" t="e">
        <f>IF(A75=d_시나리오!$B$11,2.4,NA())</f>
        <v>#N/A</v>
      </c>
      <c r="G75">
        <v>1</v>
      </c>
      <c r="I75" t="str">
        <f>IF(A75=d_시나리오!$B$11,"시행 후 "&amp;A75&amp;"위","")</f>
        <v/>
      </c>
      <c r="J75">
        <v>0</v>
      </c>
      <c r="K75">
        <f>IF(A75=d_시나리오!$B$11,3.1,0)</f>
        <v>0</v>
      </c>
    </row>
    <row r="76" spans="1:11">
      <c r="A76">
        <v>75</v>
      </c>
      <c r="B76">
        <v>1</v>
      </c>
      <c r="C76" t="e">
        <f>NA()</f>
        <v>#N/A</v>
      </c>
      <c r="D76" t="e">
        <f>NA()</f>
        <v>#N/A</v>
      </c>
      <c r="E76" t="e">
        <f>NA()</f>
        <v>#N/A</v>
      </c>
      <c r="F76" t="e">
        <f>IF(A76=d_시나리오!$B$11,2.4,NA())</f>
        <v>#N/A</v>
      </c>
      <c r="G76">
        <v>1</v>
      </c>
      <c r="I76" t="str">
        <f>IF(A76=d_시나리오!$B$11,"시행 후 "&amp;A76&amp;"위","")</f>
        <v/>
      </c>
      <c r="J76">
        <v>0</v>
      </c>
      <c r="K76">
        <f>IF(A76=d_시나리오!$B$11,3.1,0)</f>
        <v>0</v>
      </c>
    </row>
    <row r="77" spans="1:11">
      <c r="A77">
        <v>76</v>
      </c>
      <c r="B77">
        <v>1</v>
      </c>
      <c r="C77" t="e">
        <f>NA()</f>
        <v>#N/A</v>
      </c>
      <c r="D77" t="e">
        <f>NA()</f>
        <v>#N/A</v>
      </c>
      <c r="E77" t="e">
        <f>NA()</f>
        <v>#N/A</v>
      </c>
      <c r="F77" t="e">
        <f>IF(A77=d_시나리오!$B$11,2.4,NA())</f>
        <v>#N/A</v>
      </c>
      <c r="G77">
        <v>1</v>
      </c>
      <c r="I77" t="str">
        <f>IF(A77=d_시나리오!$B$11,"시행 후 "&amp;A77&amp;"위","")</f>
        <v/>
      </c>
      <c r="J77">
        <v>0</v>
      </c>
      <c r="K77">
        <f>IF(A77=d_시나리오!$B$11,3.1,0)</f>
        <v>0</v>
      </c>
    </row>
    <row r="78" spans="1:11">
      <c r="A78">
        <v>77</v>
      </c>
      <c r="B78">
        <v>1</v>
      </c>
      <c r="C78" t="e">
        <f>NA()</f>
        <v>#N/A</v>
      </c>
      <c r="D78" t="e">
        <f>NA()</f>
        <v>#N/A</v>
      </c>
      <c r="E78" t="e">
        <f>NA()</f>
        <v>#N/A</v>
      </c>
      <c r="F78" t="e">
        <f>IF(A78=d_시나리오!$B$11,2.4,NA())</f>
        <v>#N/A</v>
      </c>
      <c r="G78">
        <v>1</v>
      </c>
      <c r="I78" t="str">
        <f>IF(A78=d_시나리오!$B$11,"시행 후 "&amp;A78&amp;"위","")</f>
        <v/>
      </c>
      <c r="J78">
        <v>0</v>
      </c>
      <c r="K78">
        <f>IF(A78=d_시나리오!$B$11,3.1,0)</f>
        <v>0</v>
      </c>
    </row>
    <row r="79" spans="1:11">
      <c r="A79">
        <v>78</v>
      </c>
      <c r="B79">
        <v>1</v>
      </c>
      <c r="C79" t="e">
        <f>NA()</f>
        <v>#N/A</v>
      </c>
      <c r="D79" t="e">
        <f>NA()</f>
        <v>#N/A</v>
      </c>
      <c r="E79" t="e">
        <f>NA()</f>
        <v>#N/A</v>
      </c>
      <c r="F79" t="e">
        <f>IF(A79=d_시나리오!$B$11,2.4,NA())</f>
        <v>#N/A</v>
      </c>
      <c r="G79">
        <v>1</v>
      </c>
      <c r="I79" t="str">
        <f>IF(A79=d_시나리오!$B$11,"시행 후 "&amp;A79&amp;"위","")</f>
        <v/>
      </c>
      <c r="J79">
        <v>0</v>
      </c>
      <c r="K79">
        <f>IF(A79=d_시나리오!$B$11,3.1,0)</f>
        <v>0</v>
      </c>
    </row>
    <row r="80" spans="1:11">
      <c r="A80">
        <v>79</v>
      </c>
      <c r="B80">
        <v>1</v>
      </c>
      <c r="C80" t="e">
        <f>NA()</f>
        <v>#N/A</v>
      </c>
      <c r="D80" t="e">
        <f>NA()</f>
        <v>#N/A</v>
      </c>
      <c r="E80" t="e">
        <f>NA()</f>
        <v>#N/A</v>
      </c>
      <c r="F80" t="e">
        <f>IF(A80=d_시나리오!$B$11,2.4,NA())</f>
        <v>#N/A</v>
      </c>
      <c r="G80">
        <v>1</v>
      </c>
      <c r="I80" t="str">
        <f>IF(A80=d_시나리오!$B$11,"시행 후 "&amp;A80&amp;"위","")</f>
        <v/>
      </c>
      <c r="J80">
        <v>0</v>
      </c>
      <c r="K80">
        <f>IF(A80=d_시나리오!$B$11,3.1,0)</f>
        <v>0</v>
      </c>
    </row>
    <row r="81" spans="1:11">
      <c r="A81">
        <v>80</v>
      </c>
      <c r="B81">
        <v>1</v>
      </c>
      <c r="C81" t="e">
        <f>NA()</f>
        <v>#N/A</v>
      </c>
      <c r="D81" t="e">
        <f>NA()</f>
        <v>#N/A</v>
      </c>
      <c r="E81" t="e">
        <f>NA()</f>
        <v>#N/A</v>
      </c>
      <c r="F81" t="e">
        <f>IF(A81=d_시나리오!$B$11,2.4,NA())</f>
        <v>#N/A</v>
      </c>
      <c r="G81">
        <v>1</v>
      </c>
      <c r="I81" t="str">
        <f>IF(A81=d_시나리오!$B$11,"시행 후 "&amp;A81&amp;"위","")</f>
        <v/>
      </c>
      <c r="J81">
        <v>0</v>
      </c>
      <c r="K81">
        <f>IF(A81=d_시나리오!$B$11,3.1,0)</f>
        <v>0</v>
      </c>
    </row>
    <row r="82" spans="1:11">
      <c r="A82">
        <v>81</v>
      </c>
      <c r="B82">
        <v>1</v>
      </c>
      <c r="C82" t="e">
        <f>NA()</f>
        <v>#N/A</v>
      </c>
      <c r="D82" t="e">
        <f>NA()</f>
        <v>#N/A</v>
      </c>
      <c r="E82" t="e">
        <f>NA()</f>
        <v>#N/A</v>
      </c>
      <c r="F82" t="e">
        <f>IF(A82=d_시나리오!$B$11,2.4,NA())</f>
        <v>#N/A</v>
      </c>
      <c r="G82">
        <v>1</v>
      </c>
      <c r="I82" t="str">
        <f>IF(A82=d_시나리오!$B$11,"시행 후 "&amp;A82&amp;"위","")</f>
        <v/>
      </c>
      <c r="J82">
        <v>0</v>
      </c>
      <c r="K82">
        <f>IF(A82=d_시나리오!$B$11,3.1,0)</f>
        <v>0</v>
      </c>
    </row>
    <row r="83" spans="1:11">
      <c r="A83">
        <v>82</v>
      </c>
      <c r="B83">
        <v>1</v>
      </c>
      <c r="C83" t="e">
        <f>NA()</f>
        <v>#N/A</v>
      </c>
      <c r="D83" t="e">
        <f>NA()</f>
        <v>#N/A</v>
      </c>
      <c r="E83" t="e">
        <f>NA()</f>
        <v>#N/A</v>
      </c>
      <c r="F83" t="e">
        <f>IF(A83=d_시나리오!$B$11,2.4,NA())</f>
        <v>#N/A</v>
      </c>
      <c r="G83">
        <v>1</v>
      </c>
      <c r="I83" t="str">
        <f>IF(A83=d_시나리오!$B$11,"시행 후 "&amp;A83&amp;"위","")</f>
        <v/>
      </c>
      <c r="J83">
        <v>0</v>
      </c>
      <c r="K83">
        <f>IF(A83=d_시나리오!$B$11,3.1,0)</f>
        <v>0</v>
      </c>
    </row>
    <row r="84" spans="1:11">
      <c r="A84">
        <v>83</v>
      </c>
      <c r="B84">
        <v>1</v>
      </c>
      <c r="C84" t="e">
        <f>NA()</f>
        <v>#N/A</v>
      </c>
      <c r="D84" t="e">
        <f>NA()</f>
        <v>#N/A</v>
      </c>
      <c r="E84" t="e">
        <f>NA()</f>
        <v>#N/A</v>
      </c>
      <c r="F84" t="e">
        <f>IF(A84=d_시나리오!$B$11,2.4,NA())</f>
        <v>#N/A</v>
      </c>
      <c r="G84">
        <v>1</v>
      </c>
      <c r="I84" t="str">
        <f>IF(A84=d_시나리오!$B$11,"시행 후 "&amp;A84&amp;"위","")</f>
        <v/>
      </c>
      <c r="J84">
        <v>0</v>
      </c>
      <c r="K84">
        <f>IF(A84=d_시나리오!$B$11,3.1,0)</f>
        <v>0</v>
      </c>
    </row>
    <row r="85" spans="1:11">
      <c r="A85">
        <v>84</v>
      </c>
      <c r="B85">
        <v>1</v>
      </c>
      <c r="C85" t="e">
        <f>NA()</f>
        <v>#N/A</v>
      </c>
      <c r="D85" t="e">
        <f>NA()</f>
        <v>#N/A</v>
      </c>
      <c r="E85" t="e">
        <f>NA()</f>
        <v>#N/A</v>
      </c>
      <c r="F85" t="e">
        <f>IF(A85=d_시나리오!$B$11,2.4,NA())</f>
        <v>#N/A</v>
      </c>
      <c r="G85">
        <v>1</v>
      </c>
      <c r="I85" t="str">
        <f>IF(A85=d_시나리오!$B$11,"시행 후 "&amp;A85&amp;"위","")</f>
        <v/>
      </c>
      <c r="J85">
        <v>0</v>
      </c>
      <c r="K85">
        <f>IF(A85=d_시나리오!$B$11,3.1,0)</f>
        <v>0</v>
      </c>
    </row>
    <row r="86" spans="1:11">
      <c r="A86">
        <v>85</v>
      </c>
      <c r="B86">
        <v>1</v>
      </c>
      <c r="C86" t="e">
        <f>NA()</f>
        <v>#N/A</v>
      </c>
      <c r="D86" t="e">
        <f>NA()</f>
        <v>#N/A</v>
      </c>
      <c r="E86" t="e">
        <f>NA()</f>
        <v>#N/A</v>
      </c>
      <c r="F86" t="e">
        <f>IF(A86=d_시나리오!$B$11,2.4,NA())</f>
        <v>#N/A</v>
      </c>
      <c r="G86">
        <v>1</v>
      </c>
      <c r="I86" t="str">
        <f>IF(A86=d_시나리오!$B$11,"시행 후 "&amp;A86&amp;"위","")</f>
        <v/>
      </c>
      <c r="J86">
        <v>0</v>
      </c>
      <c r="K86">
        <f>IF(A86=d_시나리오!$B$11,3.1,0)</f>
        <v>0</v>
      </c>
    </row>
    <row r="87" spans="1:11">
      <c r="A87">
        <v>86</v>
      </c>
      <c r="B87">
        <v>1</v>
      </c>
      <c r="C87" t="e">
        <f>NA()</f>
        <v>#N/A</v>
      </c>
      <c r="D87" t="e">
        <f>NA()</f>
        <v>#N/A</v>
      </c>
      <c r="E87" t="e">
        <f>NA()</f>
        <v>#N/A</v>
      </c>
      <c r="F87" t="e">
        <f>IF(A87=d_시나리오!$B$11,2.4,NA())</f>
        <v>#N/A</v>
      </c>
      <c r="G87">
        <v>1</v>
      </c>
      <c r="I87" t="str">
        <f>IF(A87=d_시나리오!$B$11,"시행 후 "&amp;A87&amp;"위","")</f>
        <v/>
      </c>
      <c r="J87">
        <v>0</v>
      </c>
      <c r="K87">
        <f>IF(A87=d_시나리오!$B$11,3.1,0)</f>
        <v>0</v>
      </c>
    </row>
    <row r="88" spans="1:11">
      <c r="A88">
        <v>87</v>
      </c>
      <c r="B88">
        <v>1</v>
      </c>
      <c r="C88" t="e">
        <f>NA()</f>
        <v>#N/A</v>
      </c>
      <c r="D88" t="e">
        <f>NA()</f>
        <v>#N/A</v>
      </c>
      <c r="E88" t="e">
        <f>NA()</f>
        <v>#N/A</v>
      </c>
      <c r="F88" t="e">
        <f>IF(A88=d_시나리오!$B$11,2.4,NA())</f>
        <v>#N/A</v>
      </c>
      <c r="G88">
        <v>1</v>
      </c>
      <c r="I88" t="str">
        <f>IF(A88=d_시나리오!$B$11,"시행 후 "&amp;A88&amp;"위","")</f>
        <v/>
      </c>
      <c r="J88">
        <v>0</v>
      </c>
      <c r="K88">
        <f>IF(A88=d_시나리오!$B$11,3.1,0)</f>
        <v>0</v>
      </c>
    </row>
    <row r="89" spans="1:11">
      <c r="A89">
        <v>88</v>
      </c>
      <c r="B89">
        <v>1</v>
      </c>
      <c r="C89" t="e">
        <f>NA()</f>
        <v>#N/A</v>
      </c>
      <c r="D89" t="e">
        <f>NA()</f>
        <v>#N/A</v>
      </c>
      <c r="E89" t="e">
        <f>NA()</f>
        <v>#N/A</v>
      </c>
      <c r="F89" t="e">
        <f>IF(A89=d_시나리오!$B$11,2.4,NA())</f>
        <v>#N/A</v>
      </c>
      <c r="G89">
        <v>1</v>
      </c>
      <c r="I89" t="str">
        <f>IF(A89=d_시나리오!$B$11,"시행 후 "&amp;A89&amp;"위","")</f>
        <v/>
      </c>
      <c r="J89">
        <v>0</v>
      </c>
      <c r="K89">
        <f>IF(A89=d_시나리오!$B$11,3.1,0)</f>
        <v>0</v>
      </c>
    </row>
    <row r="90" spans="1:11">
      <c r="A90">
        <v>89</v>
      </c>
      <c r="B90">
        <v>1</v>
      </c>
      <c r="C90" t="e">
        <f>NA()</f>
        <v>#N/A</v>
      </c>
      <c r="D90" t="e">
        <f>NA()</f>
        <v>#N/A</v>
      </c>
      <c r="E90" t="e">
        <f>NA()</f>
        <v>#N/A</v>
      </c>
      <c r="F90" t="e">
        <f>IF(A90=d_시나리오!$B$11,2.4,NA())</f>
        <v>#N/A</v>
      </c>
      <c r="G90">
        <v>1</v>
      </c>
      <c r="I90" t="str">
        <f>IF(A90=d_시나리오!$B$11,"시행 후 "&amp;A90&amp;"위","")</f>
        <v/>
      </c>
      <c r="J90">
        <v>0</v>
      </c>
      <c r="K90">
        <f>IF(A90=d_시나리오!$B$11,3.1,0)</f>
        <v>0</v>
      </c>
    </row>
    <row r="91" spans="1:11">
      <c r="A91">
        <v>90</v>
      </c>
      <c r="B91">
        <v>1</v>
      </c>
      <c r="C91" t="e">
        <f>NA()</f>
        <v>#N/A</v>
      </c>
      <c r="D91" t="e">
        <f>NA()</f>
        <v>#N/A</v>
      </c>
      <c r="E91" t="e">
        <f>NA()</f>
        <v>#N/A</v>
      </c>
      <c r="F91" t="e">
        <f>IF(A91=d_시나리오!$B$11,2.4,NA())</f>
        <v>#N/A</v>
      </c>
      <c r="G91">
        <v>1</v>
      </c>
      <c r="I91" t="str">
        <f>IF(A91=d_시나리오!$B$11,"시행 후 "&amp;A91&amp;"위","")</f>
        <v/>
      </c>
      <c r="J91">
        <v>0</v>
      </c>
      <c r="K91">
        <f>IF(A91=d_시나리오!$B$11,3.1,0)</f>
        <v>0</v>
      </c>
    </row>
    <row r="92" spans="1:11">
      <c r="A92">
        <v>91</v>
      </c>
      <c r="B92">
        <v>1</v>
      </c>
      <c r="C92" t="e">
        <f>NA()</f>
        <v>#N/A</v>
      </c>
      <c r="D92" t="e">
        <f>NA()</f>
        <v>#N/A</v>
      </c>
      <c r="E92" t="e">
        <f>NA()</f>
        <v>#N/A</v>
      </c>
      <c r="F92" t="e">
        <f>IF(A92=d_시나리오!$B$11,2.4,NA())</f>
        <v>#N/A</v>
      </c>
      <c r="G92">
        <v>1</v>
      </c>
      <c r="I92" t="str">
        <f>IF(A92=d_시나리오!$B$11,"시행 후 "&amp;A92&amp;"위","")</f>
        <v/>
      </c>
      <c r="J92">
        <v>0</v>
      </c>
      <c r="K92">
        <f>IF(A92=d_시나리오!$B$11,3.1,0)</f>
        <v>0</v>
      </c>
    </row>
    <row r="93" spans="1:11">
      <c r="A93">
        <v>92</v>
      </c>
      <c r="B93">
        <v>1</v>
      </c>
      <c r="C93" t="e">
        <f>NA()</f>
        <v>#N/A</v>
      </c>
      <c r="D93" t="e">
        <f>NA()</f>
        <v>#N/A</v>
      </c>
      <c r="E93" t="e">
        <f>NA()</f>
        <v>#N/A</v>
      </c>
      <c r="F93" t="e">
        <f>IF(A93=d_시나리오!$B$11,2.4,NA())</f>
        <v>#N/A</v>
      </c>
      <c r="G93">
        <v>1</v>
      </c>
      <c r="I93" t="str">
        <f>IF(A93=d_시나리오!$B$11,"시행 후 "&amp;A93&amp;"위","")</f>
        <v/>
      </c>
      <c r="J93">
        <v>0</v>
      </c>
      <c r="K93">
        <f>IF(A93=d_시나리오!$B$11,3.1,0)</f>
        <v>0</v>
      </c>
    </row>
    <row r="94" spans="1:11">
      <c r="A94">
        <v>93</v>
      </c>
      <c r="B94">
        <v>1</v>
      </c>
      <c r="C94" t="e">
        <f>NA()</f>
        <v>#N/A</v>
      </c>
      <c r="D94" t="e">
        <f>NA()</f>
        <v>#N/A</v>
      </c>
      <c r="E94" t="e">
        <f>NA()</f>
        <v>#N/A</v>
      </c>
      <c r="F94" t="e">
        <f>IF(A94=d_시나리오!$B$11,2.4,NA())</f>
        <v>#N/A</v>
      </c>
      <c r="G94">
        <v>1</v>
      </c>
      <c r="I94" t="str">
        <f>IF(A94=d_시나리오!$B$11,"시행 후 "&amp;A94&amp;"위","")</f>
        <v/>
      </c>
      <c r="J94">
        <v>0</v>
      </c>
      <c r="K94">
        <f>IF(A94=d_시나리오!$B$11,3.1,0)</f>
        <v>0</v>
      </c>
    </row>
    <row r="95" spans="1:11">
      <c r="A95">
        <v>94</v>
      </c>
      <c r="B95">
        <v>1</v>
      </c>
      <c r="C95" t="e">
        <f>NA()</f>
        <v>#N/A</v>
      </c>
      <c r="D95" t="e">
        <f>NA()</f>
        <v>#N/A</v>
      </c>
      <c r="E95" t="e">
        <f>NA()</f>
        <v>#N/A</v>
      </c>
      <c r="F95" t="e">
        <f>IF(A95=d_시나리오!$B$11,2.4,NA())</f>
        <v>#N/A</v>
      </c>
      <c r="G95">
        <v>1</v>
      </c>
      <c r="I95" t="str">
        <f>IF(A95=d_시나리오!$B$11,"시행 후 "&amp;A95&amp;"위","")</f>
        <v/>
      </c>
      <c r="J95">
        <v>0</v>
      </c>
      <c r="K95">
        <f>IF(A95=d_시나리오!$B$11,3.1,0)</f>
        <v>0</v>
      </c>
    </row>
    <row r="96" spans="1:11">
      <c r="A96">
        <v>95</v>
      </c>
      <c r="B96">
        <v>1</v>
      </c>
      <c r="C96" t="e">
        <f>NA()</f>
        <v>#N/A</v>
      </c>
      <c r="D96" t="e">
        <f>NA()</f>
        <v>#N/A</v>
      </c>
      <c r="E96" t="e">
        <f>NA()</f>
        <v>#N/A</v>
      </c>
      <c r="F96" t="e">
        <f>IF(A96=d_시나리오!$B$11,2.4,NA())</f>
        <v>#N/A</v>
      </c>
      <c r="G96">
        <v>1</v>
      </c>
      <c r="I96" t="str">
        <f>IF(A96=d_시나리오!$B$11,"시행 후 "&amp;A96&amp;"위","")</f>
        <v/>
      </c>
      <c r="J96">
        <v>0</v>
      </c>
      <c r="K96">
        <f>IF(A96=d_시나리오!$B$11,3.1,0)</f>
        <v>0</v>
      </c>
    </row>
    <row r="97" spans="1:11">
      <c r="A97">
        <v>96</v>
      </c>
      <c r="B97">
        <v>1</v>
      </c>
      <c r="C97" t="e">
        <f>NA()</f>
        <v>#N/A</v>
      </c>
      <c r="D97" t="e">
        <f>NA()</f>
        <v>#N/A</v>
      </c>
      <c r="E97" t="e">
        <f>NA()</f>
        <v>#N/A</v>
      </c>
      <c r="F97" t="e">
        <f>IF(A97=d_시나리오!$B$11,2.4,NA())</f>
        <v>#N/A</v>
      </c>
      <c r="G97">
        <v>1</v>
      </c>
      <c r="I97" t="str">
        <f>IF(A97=d_시나리오!$B$11,"시행 후 "&amp;A97&amp;"위","")</f>
        <v/>
      </c>
      <c r="J97">
        <v>0</v>
      </c>
      <c r="K97">
        <f>IF(A97=d_시나리오!$B$11,3.1,0)</f>
        <v>0</v>
      </c>
    </row>
    <row r="98" spans="1:11">
      <c r="A98">
        <v>97</v>
      </c>
      <c r="B98">
        <v>1</v>
      </c>
      <c r="C98" t="e">
        <f>NA()</f>
        <v>#N/A</v>
      </c>
      <c r="D98" t="e">
        <f>NA()</f>
        <v>#N/A</v>
      </c>
      <c r="E98" t="e">
        <f>NA()</f>
        <v>#N/A</v>
      </c>
      <c r="F98" t="e">
        <f>IF(A98=d_시나리오!$B$11,2.4,NA())</f>
        <v>#N/A</v>
      </c>
      <c r="G98">
        <v>1</v>
      </c>
      <c r="I98" t="str">
        <f>IF(A98=d_시나리오!$B$11,"시행 후 "&amp;A98&amp;"위","")</f>
        <v/>
      </c>
      <c r="J98">
        <v>0</v>
      </c>
      <c r="K98">
        <f>IF(A98=d_시나리오!$B$11,3.1,0)</f>
        <v>0</v>
      </c>
    </row>
    <row r="99" spans="1:11">
      <c r="A99">
        <v>98</v>
      </c>
      <c r="B99">
        <v>1</v>
      </c>
      <c r="C99" t="e">
        <f>NA()</f>
        <v>#N/A</v>
      </c>
      <c r="D99" t="e">
        <f>NA()</f>
        <v>#N/A</v>
      </c>
      <c r="E99" t="e">
        <f>NA()</f>
        <v>#N/A</v>
      </c>
      <c r="F99" t="e">
        <f>IF(A99=d_시나리오!$B$11,2.4,NA())</f>
        <v>#N/A</v>
      </c>
      <c r="G99">
        <v>1</v>
      </c>
      <c r="I99" t="str">
        <f>IF(A99=d_시나리오!$B$11,"시행 후 "&amp;A99&amp;"위","")</f>
        <v/>
      </c>
      <c r="J99">
        <v>0</v>
      </c>
      <c r="K99">
        <f>IF(A99=d_시나리오!$B$11,3.1,0)</f>
        <v>0</v>
      </c>
    </row>
    <row r="100" spans="1:11">
      <c r="A100">
        <v>99</v>
      </c>
      <c r="B100">
        <v>1</v>
      </c>
      <c r="C100" t="e">
        <f>NA()</f>
        <v>#N/A</v>
      </c>
      <c r="D100" t="e">
        <f>NA()</f>
        <v>#N/A</v>
      </c>
      <c r="E100" t="e">
        <f>NA()</f>
        <v>#N/A</v>
      </c>
      <c r="F100" t="e">
        <f>IF(A100=d_시나리오!$B$11,2.4,NA())</f>
        <v>#N/A</v>
      </c>
      <c r="G100">
        <v>1</v>
      </c>
      <c r="I100" t="str">
        <f>IF(A100=d_시나리오!$B$11,"시행 후 "&amp;A100&amp;"위","")</f>
        <v/>
      </c>
      <c r="J100">
        <v>0</v>
      </c>
      <c r="K100">
        <f>IF(A100=d_시나리오!$B$11,3.1,0)</f>
        <v>0</v>
      </c>
    </row>
    <row r="101" spans="1:11">
      <c r="A101">
        <v>100</v>
      </c>
      <c r="B101">
        <v>1</v>
      </c>
      <c r="C101" t="e">
        <f>NA()</f>
        <v>#N/A</v>
      </c>
      <c r="D101" t="e">
        <f>NA()</f>
        <v>#N/A</v>
      </c>
      <c r="E101" t="e">
        <f>NA()</f>
        <v>#N/A</v>
      </c>
      <c r="F101" t="e">
        <f>IF(A101=d_시나리오!$B$11,2.4,NA())</f>
        <v>#N/A</v>
      </c>
      <c r="G101">
        <v>1</v>
      </c>
      <c r="I101" t="str">
        <f>IF(A101=d_시나리오!$B$11,"시행 후 "&amp;A101&amp;"위","")</f>
        <v/>
      </c>
      <c r="J101">
        <v>0</v>
      </c>
      <c r="K101">
        <f>IF(A101=d_시나리오!$B$11,3.1,0)</f>
        <v>0</v>
      </c>
    </row>
    <row r="102" spans="1:11">
      <c r="A102">
        <v>101</v>
      </c>
      <c r="B102">
        <v>1</v>
      </c>
      <c r="C102" t="e">
        <f>NA()</f>
        <v>#N/A</v>
      </c>
      <c r="D102" t="e">
        <f>NA()</f>
        <v>#N/A</v>
      </c>
      <c r="E102" t="e">
        <f>NA()</f>
        <v>#N/A</v>
      </c>
      <c r="F102" t="e">
        <f>IF(A102=d_시나리오!$B$11,2.4,NA())</f>
        <v>#N/A</v>
      </c>
      <c r="G102">
        <v>1</v>
      </c>
      <c r="I102" t="str">
        <f>IF(A102=d_시나리오!$B$11,"시행 후 "&amp;A102&amp;"위","")</f>
        <v/>
      </c>
      <c r="J102">
        <v>0</v>
      </c>
      <c r="K102">
        <f>IF(A102=d_시나리오!$B$11,3.1,0)</f>
        <v>0</v>
      </c>
    </row>
    <row r="103" spans="1:11">
      <c r="A103">
        <v>102</v>
      </c>
      <c r="B103">
        <v>1</v>
      </c>
      <c r="C103" t="e">
        <f>NA()</f>
        <v>#N/A</v>
      </c>
      <c r="D103" t="e">
        <f>NA()</f>
        <v>#N/A</v>
      </c>
      <c r="E103" t="e">
        <f>NA()</f>
        <v>#N/A</v>
      </c>
      <c r="F103" t="e">
        <f>IF(A103=d_시나리오!$B$11,2.4,NA())</f>
        <v>#N/A</v>
      </c>
      <c r="G103">
        <v>1</v>
      </c>
      <c r="I103" t="str">
        <f>IF(A103=d_시나리오!$B$11,"시행 후 "&amp;A103&amp;"위","")</f>
        <v/>
      </c>
      <c r="J103">
        <v>0</v>
      </c>
      <c r="K103">
        <f>IF(A103=d_시나리오!$B$11,3.1,0)</f>
        <v>0</v>
      </c>
    </row>
    <row r="104" spans="1:11">
      <c r="A104">
        <v>103</v>
      </c>
      <c r="B104">
        <v>1</v>
      </c>
      <c r="C104" t="e">
        <f>NA()</f>
        <v>#N/A</v>
      </c>
      <c r="D104" t="e">
        <f>NA()</f>
        <v>#N/A</v>
      </c>
      <c r="E104" t="e">
        <f>NA()</f>
        <v>#N/A</v>
      </c>
      <c r="F104" t="e">
        <f>IF(A104=d_시나리오!$B$11,2.4,NA())</f>
        <v>#N/A</v>
      </c>
      <c r="G104">
        <v>1</v>
      </c>
      <c r="I104" t="str">
        <f>IF(A104=d_시나리오!$B$11,"시행 후 "&amp;A104&amp;"위","")</f>
        <v/>
      </c>
      <c r="J104">
        <v>0</v>
      </c>
      <c r="K104">
        <f>IF(A104=d_시나리오!$B$11,3.1,0)</f>
        <v>0</v>
      </c>
    </row>
    <row r="105" spans="1:11">
      <c r="A105">
        <v>104</v>
      </c>
      <c r="B105">
        <v>1</v>
      </c>
      <c r="C105" t="e">
        <f>NA()</f>
        <v>#N/A</v>
      </c>
      <c r="D105" t="e">
        <f>NA()</f>
        <v>#N/A</v>
      </c>
      <c r="E105" t="e">
        <f>NA()</f>
        <v>#N/A</v>
      </c>
      <c r="F105" t="e">
        <f>IF(A105=d_시나리오!$B$11,2.4,NA())</f>
        <v>#N/A</v>
      </c>
      <c r="G105">
        <v>1</v>
      </c>
      <c r="I105" t="str">
        <f>IF(A105=d_시나리오!$B$11,"시행 후 "&amp;A105&amp;"위","")</f>
        <v/>
      </c>
      <c r="J105">
        <v>0</v>
      </c>
      <c r="K105">
        <f>IF(A105=d_시나리오!$B$11,3.1,0)</f>
        <v>0</v>
      </c>
    </row>
    <row r="106" spans="1:11">
      <c r="A106">
        <v>105</v>
      </c>
      <c r="B106">
        <v>1</v>
      </c>
      <c r="C106" t="e">
        <f>NA()</f>
        <v>#N/A</v>
      </c>
      <c r="D106" t="e">
        <f>NA()</f>
        <v>#N/A</v>
      </c>
      <c r="E106" t="e">
        <f>NA()</f>
        <v>#N/A</v>
      </c>
      <c r="F106" t="e">
        <f>IF(A106=d_시나리오!$B$11,2.4,NA())</f>
        <v>#N/A</v>
      </c>
      <c r="G106">
        <v>1</v>
      </c>
      <c r="I106" t="str">
        <f>IF(A106=d_시나리오!$B$11,"시행 후 "&amp;A106&amp;"위","")</f>
        <v/>
      </c>
      <c r="J106">
        <v>0</v>
      </c>
      <c r="K106">
        <f>IF(A106=d_시나리오!$B$11,3.1,0)</f>
        <v>0</v>
      </c>
    </row>
    <row r="107" spans="1:11">
      <c r="A107">
        <v>106</v>
      </c>
      <c r="B107">
        <v>1</v>
      </c>
      <c r="C107" t="e">
        <f>NA()</f>
        <v>#N/A</v>
      </c>
      <c r="D107" t="e">
        <f>NA()</f>
        <v>#N/A</v>
      </c>
      <c r="E107" t="e">
        <f>NA()</f>
        <v>#N/A</v>
      </c>
      <c r="F107" t="e">
        <f>IF(A107=d_시나리오!$B$11,2.4,NA())</f>
        <v>#N/A</v>
      </c>
      <c r="G107">
        <v>1</v>
      </c>
      <c r="I107" t="str">
        <f>IF(A107=d_시나리오!$B$11,"시행 후 "&amp;A107&amp;"위","")</f>
        <v/>
      </c>
      <c r="J107">
        <v>0</v>
      </c>
      <c r="K107">
        <f>IF(A107=d_시나리오!$B$11,3.1,0)</f>
        <v>0</v>
      </c>
    </row>
    <row r="108" spans="1:11">
      <c r="A108">
        <v>107</v>
      </c>
      <c r="B108">
        <v>1</v>
      </c>
      <c r="C108" t="e">
        <f>NA()</f>
        <v>#N/A</v>
      </c>
      <c r="D108" t="e">
        <f>NA()</f>
        <v>#N/A</v>
      </c>
      <c r="E108" t="e">
        <f>NA()</f>
        <v>#N/A</v>
      </c>
      <c r="F108" t="e">
        <f>IF(A108=d_시나리오!$B$11,2.4,NA())</f>
        <v>#N/A</v>
      </c>
      <c r="G108">
        <v>1</v>
      </c>
      <c r="I108" t="str">
        <f>IF(A108=d_시나리오!$B$11,"시행 후 "&amp;A108&amp;"위","")</f>
        <v/>
      </c>
      <c r="J108">
        <v>0</v>
      </c>
      <c r="K108">
        <f>IF(A108=d_시나리오!$B$11,3.1,0)</f>
        <v>0</v>
      </c>
    </row>
    <row r="109" spans="1:11">
      <c r="A109">
        <v>108</v>
      </c>
      <c r="B109">
        <v>1</v>
      </c>
      <c r="C109" t="e">
        <f>NA()</f>
        <v>#N/A</v>
      </c>
      <c r="D109" t="e">
        <f>NA()</f>
        <v>#N/A</v>
      </c>
      <c r="E109" t="e">
        <f>NA()</f>
        <v>#N/A</v>
      </c>
      <c r="F109" t="e">
        <f>IF(A109=d_시나리오!$B$11,2.4,NA())</f>
        <v>#N/A</v>
      </c>
      <c r="G109">
        <v>1</v>
      </c>
      <c r="I109" t="str">
        <f>IF(A109=d_시나리오!$B$11,"시행 후 "&amp;A109&amp;"위","")</f>
        <v/>
      </c>
      <c r="J109">
        <v>0</v>
      </c>
      <c r="K109">
        <f>IF(A109=d_시나리오!$B$11,3.1,0)</f>
        <v>0</v>
      </c>
    </row>
    <row r="110" spans="1:11">
      <c r="A110">
        <v>109</v>
      </c>
      <c r="B110">
        <v>1</v>
      </c>
      <c r="C110" t="e">
        <f>NA()</f>
        <v>#N/A</v>
      </c>
      <c r="D110" t="e">
        <f>NA()</f>
        <v>#N/A</v>
      </c>
      <c r="E110" t="e">
        <f>NA()</f>
        <v>#N/A</v>
      </c>
      <c r="F110" t="e">
        <f>IF(A110=d_시나리오!$B$11,2.4,NA())</f>
        <v>#N/A</v>
      </c>
      <c r="G110">
        <v>1</v>
      </c>
      <c r="I110" t="str">
        <f>IF(A110=d_시나리오!$B$11,"시행 후 "&amp;A110&amp;"위","")</f>
        <v/>
      </c>
      <c r="J110">
        <v>0</v>
      </c>
      <c r="K110">
        <f>IF(A110=d_시나리오!$B$11,3.1,0)</f>
        <v>0</v>
      </c>
    </row>
    <row r="111" spans="1:11">
      <c r="A111">
        <v>110</v>
      </c>
      <c r="B111">
        <v>1</v>
      </c>
      <c r="C111" t="e">
        <f>NA()</f>
        <v>#N/A</v>
      </c>
      <c r="D111" t="e">
        <f>NA()</f>
        <v>#N/A</v>
      </c>
      <c r="E111" t="e">
        <f>NA()</f>
        <v>#N/A</v>
      </c>
      <c r="F111" t="e">
        <f>IF(A111=d_시나리오!$B$11,2.4,NA())</f>
        <v>#N/A</v>
      </c>
      <c r="G111">
        <v>1</v>
      </c>
      <c r="I111" t="str">
        <f>IF(A111=d_시나리오!$B$11,"시행 후 "&amp;A111&amp;"위","")</f>
        <v/>
      </c>
      <c r="J111">
        <v>0</v>
      </c>
      <c r="K111">
        <f>IF(A111=d_시나리오!$B$11,3.1,0)</f>
        <v>0</v>
      </c>
    </row>
    <row r="112" spans="1:11">
      <c r="A112">
        <v>111</v>
      </c>
      <c r="B112">
        <v>1</v>
      </c>
      <c r="C112" t="e">
        <f>NA()</f>
        <v>#N/A</v>
      </c>
      <c r="D112" t="e">
        <f>NA()</f>
        <v>#N/A</v>
      </c>
      <c r="E112" t="e">
        <f>NA()</f>
        <v>#N/A</v>
      </c>
      <c r="F112" t="e">
        <f>IF(A112=d_시나리오!$B$11,2.4,NA())</f>
        <v>#N/A</v>
      </c>
      <c r="G112">
        <v>1</v>
      </c>
      <c r="I112" t="str">
        <f>IF(A112=d_시나리오!$B$11,"시행 후 "&amp;A112&amp;"위","")</f>
        <v/>
      </c>
      <c r="J112">
        <v>0</v>
      </c>
      <c r="K112">
        <f>IF(A112=d_시나리오!$B$11,3.1,0)</f>
        <v>0</v>
      </c>
    </row>
    <row r="113" spans="1:11">
      <c r="A113">
        <v>112</v>
      </c>
      <c r="B113">
        <v>1</v>
      </c>
      <c r="C113" t="e">
        <f>NA()</f>
        <v>#N/A</v>
      </c>
      <c r="D113" t="e">
        <f>NA()</f>
        <v>#N/A</v>
      </c>
      <c r="E113" t="e">
        <f>NA()</f>
        <v>#N/A</v>
      </c>
      <c r="F113" t="e">
        <f>IF(A113=d_시나리오!$B$11,2.4,NA())</f>
        <v>#N/A</v>
      </c>
      <c r="G113">
        <v>1</v>
      </c>
      <c r="I113" t="str">
        <f>IF(A113=d_시나리오!$B$11,"시행 후 "&amp;A113&amp;"위","")</f>
        <v/>
      </c>
      <c r="J113">
        <v>0</v>
      </c>
      <c r="K113">
        <f>IF(A113=d_시나리오!$B$11,3.1,0)</f>
        <v>0</v>
      </c>
    </row>
    <row r="114" spans="1:11">
      <c r="A114">
        <v>113</v>
      </c>
      <c r="B114">
        <v>1</v>
      </c>
      <c r="C114" t="e">
        <f>NA()</f>
        <v>#N/A</v>
      </c>
      <c r="D114" t="e">
        <f>NA()</f>
        <v>#N/A</v>
      </c>
      <c r="E114" t="e">
        <f>NA()</f>
        <v>#N/A</v>
      </c>
      <c r="F114" t="e">
        <f>IF(A114=d_시나리오!$B$11,2.4,NA())</f>
        <v>#N/A</v>
      </c>
      <c r="G114">
        <v>1</v>
      </c>
      <c r="I114" t="str">
        <f>IF(A114=d_시나리오!$B$11,"시행 후 "&amp;A114&amp;"위","")</f>
        <v/>
      </c>
      <c r="J114">
        <v>0</v>
      </c>
      <c r="K114">
        <f>IF(A114=d_시나리오!$B$11,3.1,0)</f>
        <v>0</v>
      </c>
    </row>
    <row r="115" spans="1:11">
      <c r="A115">
        <v>114</v>
      </c>
      <c r="B115">
        <v>1</v>
      </c>
      <c r="C115" t="e">
        <f>NA()</f>
        <v>#N/A</v>
      </c>
      <c r="D115" t="e">
        <f>NA()</f>
        <v>#N/A</v>
      </c>
      <c r="E115" t="e">
        <f>NA()</f>
        <v>#N/A</v>
      </c>
      <c r="F115" t="e">
        <f>IF(A115=d_시나리오!$B$11,2.4,NA())</f>
        <v>#N/A</v>
      </c>
      <c r="G115">
        <v>1</v>
      </c>
      <c r="I115" t="str">
        <f>IF(A115=d_시나리오!$B$11,"시행 후 "&amp;A115&amp;"위","")</f>
        <v/>
      </c>
      <c r="J115">
        <v>0</v>
      </c>
      <c r="K115">
        <f>IF(A115=d_시나리오!$B$11,3.1,0)</f>
        <v>0</v>
      </c>
    </row>
    <row r="116" spans="1:11">
      <c r="A116">
        <v>115</v>
      </c>
      <c r="B116">
        <v>1</v>
      </c>
      <c r="C116" t="e">
        <f>NA()</f>
        <v>#N/A</v>
      </c>
      <c r="D116" t="e">
        <f>NA()</f>
        <v>#N/A</v>
      </c>
      <c r="E116" t="e">
        <f>NA()</f>
        <v>#N/A</v>
      </c>
      <c r="F116" t="e">
        <f>IF(A116=d_시나리오!$B$11,2.4,NA())</f>
        <v>#N/A</v>
      </c>
      <c r="G116">
        <v>1</v>
      </c>
      <c r="I116" t="str">
        <f>IF(A116=d_시나리오!$B$11,"시행 후 "&amp;A116&amp;"위","")</f>
        <v/>
      </c>
      <c r="J116">
        <v>0</v>
      </c>
      <c r="K116">
        <f>IF(A116=d_시나리오!$B$11,3.1,0)</f>
        <v>0</v>
      </c>
    </row>
    <row r="117" spans="1:11">
      <c r="A117">
        <v>116</v>
      </c>
      <c r="B117">
        <v>1</v>
      </c>
      <c r="C117" t="e">
        <f>NA()</f>
        <v>#N/A</v>
      </c>
      <c r="D117" t="e">
        <f>NA()</f>
        <v>#N/A</v>
      </c>
      <c r="E117" t="e">
        <f>NA()</f>
        <v>#N/A</v>
      </c>
      <c r="F117" t="e">
        <f>IF(A117=d_시나리오!$B$11,2.4,NA())</f>
        <v>#N/A</v>
      </c>
      <c r="G117">
        <v>1</v>
      </c>
      <c r="I117" t="str">
        <f>IF(A117=d_시나리오!$B$11,"시행 후 "&amp;A117&amp;"위","")</f>
        <v/>
      </c>
      <c r="J117">
        <v>0</v>
      </c>
      <c r="K117">
        <f>IF(A117=d_시나리오!$B$11,3.1,0)</f>
        <v>0</v>
      </c>
    </row>
    <row r="118" spans="1:11">
      <c r="A118">
        <v>117</v>
      </c>
      <c r="B118">
        <v>1</v>
      </c>
      <c r="C118" t="e">
        <f>NA()</f>
        <v>#N/A</v>
      </c>
      <c r="D118" t="e">
        <f>NA()</f>
        <v>#N/A</v>
      </c>
      <c r="E118" t="e">
        <f>NA()</f>
        <v>#N/A</v>
      </c>
      <c r="F118" t="e">
        <f>IF(A118=d_시나리오!$B$11,2.4,NA())</f>
        <v>#N/A</v>
      </c>
      <c r="G118">
        <v>1</v>
      </c>
      <c r="I118" t="str">
        <f>IF(A118=d_시나리오!$B$11,"시행 후 "&amp;A118&amp;"위","")</f>
        <v/>
      </c>
      <c r="J118">
        <v>0</v>
      </c>
      <c r="K118">
        <f>IF(A118=d_시나리오!$B$11,3.1,0)</f>
        <v>0</v>
      </c>
    </row>
    <row r="119" spans="1:11">
      <c r="A119">
        <v>118</v>
      </c>
      <c r="B119">
        <v>1</v>
      </c>
      <c r="C119" t="e">
        <f>NA()</f>
        <v>#N/A</v>
      </c>
      <c r="D119" t="e">
        <f>NA()</f>
        <v>#N/A</v>
      </c>
      <c r="E119" t="e">
        <f>NA()</f>
        <v>#N/A</v>
      </c>
      <c r="F119" t="e">
        <f>IF(A119=d_시나리오!$B$11,2.4,NA())</f>
        <v>#N/A</v>
      </c>
      <c r="G119">
        <v>1</v>
      </c>
      <c r="I119" t="str">
        <f>IF(A119=d_시나리오!$B$11,"시행 후 "&amp;A119&amp;"위","")</f>
        <v/>
      </c>
      <c r="J119">
        <v>0</v>
      </c>
      <c r="K119">
        <f>IF(A119=d_시나리오!$B$11,3.1,0)</f>
        <v>0</v>
      </c>
    </row>
    <row r="120" spans="1:11">
      <c r="A120">
        <v>119</v>
      </c>
      <c r="B120">
        <v>1</v>
      </c>
      <c r="C120" t="e">
        <f>NA()</f>
        <v>#N/A</v>
      </c>
      <c r="D120" t="e">
        <f>NA()</f>
        <v>#N/A</v>
      </c>
      <c r="E120" t="e">
        <f>NA()</f>
        <v>#N/A</v>
      </c>
      <c r="F120" t="e">
        <f>IF(A120=d_시나리오!$B$11,2.4,NA())</f>
        <v>#N/A</v>
      </c>
      <c r="G120">
        <v>1</v>
      </c>
      <c r="I120" t="str">
        <f>IF(A120=d_시나리오!$B$11,"시행 후 "&amp;A120&amp;"위","")</f>
        <v/>
      </c>
      <c r="J120">
        <v>0</v>
      </c>
      <c r="K120">
        <f>IF(A120=d_시나리오!$B$11,3.1,0)</f>
        <v>0</v>
      </c>
    </row>
    <row r="121" spans="1:11">
      <c r="A121">
        <v>120</v>
      </c>
      <c r="B121">
        <v>1</v>
      </c>
      <c r="C121" t="e">
        <f>NA()</f>
        <v>#N/A</v>
      </c>
      <c r="D121" t="e">
        <f>NA()</f>
        <v>#N/A</v>
      </c>
      <c r="E121" t="e">
        <f>NA()</f>
        <v>#N/A</v>
      </c>
      <c r="F121" t="e">
        <f>IF(A121=d_시나리오!$B$11,2.4,NA())</f>
        <v>#N/A</v>
      </c>
      <c r="G121">
        <v>1</v>
      </c>
      <c r="I121" t="str">
        <f>IF(A121=d_시나리오!$B$11,"시행 후 "&amp;A121&amp;"위","")</f>
        <v/>
      </c>
      <c r="J121">
        <v>0</v>
      </c>
      <c r="K121">
        <f>IF(A121=d_시나리오!$B$11,3.1,0)</f>
        <v>0</v>
      </c>
    </row>
    <row r="122" spans="1:11">
      <c r="A122">
        <v>121</v>
      </c>
      <c r="B122">
        <v>1</v>
      </c>
      <c r="C122" t="e">
        <f>NA()</f>
        <v>#N/A</v>
      </c>
      <c r="D122" t="e">
        <f>NA()</f>
        <v>#N/A</v>
      </c>
      <c r="E122" t="e">
        <f>NA()</f>
        <v>#N/A</v>
      </c>
      <c r="F122" t="e">
        <f>IF(A122=d_시나리오!$B$11,2.4,NA())</f>
        <v>#N/A</v>
      </c>
      <c r="G122">
        <v>1</v>
      </c>
      <c r="I122" t="str">
        <f>IF(A122=d_시나리오!$B$11,"시행 후 "&amp;A122&amp;"위","")</f>
        <v/>
      </c>
      <c r="J122">
        <v>0</v>
      </c>
      <c r="K122">
        <f>IF(A122=d_시나리오!$B$11,3.1,0)</f>
        <v>0</v>
      </c>
    </row>
    <row r="123" spans="1:11">
      <c r="A123">
        <v>122</v>
      </c>
      <c r="B123">
        <v>1</v>
      </c>
      <c r="C123" t="e">
        <f>NA()</f>
        <v>#N/A</v>
      </c>
      <c r="D123" t="e">
        <f>NA()</f>
        <v>#N/A</v>
      </c>
      <c r="E123" t="e">
        <f>NA()</f>
        <v>#N/A</v>
      </c>
      <c r="F123" t="e">
        <f>IF(A123=d_시나리오!$B$11,2.4,NA())</f>
        <v>#N/A</v>
      </c>
      <c r="G123">
        <v>1</v>
      </c>
      <c r="I123" t="str">
        <f>IF(A123=d_시나리오!$B$11,"시행 후 "&amp;A123&amp;"위","")</f>
        <v/>
      </c>
      <c r="J123">
        <v>0</v>
      </c>
      <c r="K123">
        <f>IF(A123=d_시나리오!$B$11,3.1,0)</f>
        <v>0</v>
      </c>
    </row>
    <row r="124" spans="1:11">
      <c r="A124">
        <v>123</v>
      </c>
      <c r="B124">
        <v>1</v>
      </c>
      <c r="C124" t="e">
        <f>NA()</f>
        <v>#N/A</v>
      </c>
      <c r="D124" t="e">
        <f>NA()</f>
        <v>#N/A</v>
      </c>
      <c r="E124" t="e">
        <f>NA()</f>
        <v>#N/A</v>
      </c>
      <c r="F124" t="e">
        <f>IF(A124=d_시나리오!$B$11,2.4,NA())</f>
        <v>#N/A</v>
      </c>
      <c r="G124">
        <v>1</v>
      </c>
      <c r="I124" t="str">
        <f>IF(A124=d_시나리오!$B$11,"시행 후 "&amp;A124&amp;"위","")</f>
        <v/>
      </c>
      <c r="J124">
        <v>0</v>
      </c>
      <c r="K124">
        <f>IF(A124=d_시나리오!$B$11,3.1,0)</f>
        <v>0</v>
      </c>
    </row>
    <row r="125" spans="1:11">
      <c r="A125">
        <v>124</v>
      </c>
      <c r="B125">
        <v>1</v>
      </c>
      <c r="C125" t="e">
        <f>NA()</f>
        <v>#N/A</v>
      </c>
      <c r="D125" t="e">
        <f>NA()</f>
        <v>#N/A</v>
      </c>
      <c r="E125" t="e">
        <f>NA()</f>
        <v>#N/A</v>
      </c>
      <c r="F125" t="e">
        <f>IF(A125=d_시나리오!$B$11,2.4,NA())</f>
        <v>#N/A</v>
      </c>
      <c r="G125">
        <v>1</v>
      </c>
      <c r="I125" t="str">
        <f>IF(A125=d_시나리오!$B$11,"시행 후 "&amp;A125&amp;"위","")</f>
        <v/>
      </c>
      <c r="J125">
        <v>0</v>
      </c>
      <c r="K125">
        <f>IF(A125=d_시나리오!$B$11,3.1,0)</f>
        <v>0</v>
      </c>
    </row>
    <row r="126" spans="1:11">
      <c r="A126">
        <v>125</v>
      </c>
      <c r="B126">
        <v>1</v>
      </c>
      <c r="C126" t="e">
        <f>NA()</f>
        <v>#N/A</v>
      </c>
      <c r="D126" t="e">
        <f>NA()</f>
        <v>#N/A</v>
      </c>
      <c r="E126" t="e">
        <f>NA()</f>
        <v>#N/A</v>
      </c>
      <c r="F126" t="e">
        <f>IF(A126=d_시나리오!$B$11,2.4,NA())</f>
        <v>#N/A</v>
      </c>
      <c r="G126">
        <v>1</v>
      </c>
      <c r="I126" t="str">
        <f>IF(A126=d_시나리오!$B$11,"시행 후 "&amp;A126&amp;"위","")</f>
        <v/>
      </c>
      <c r="J126">
        <v>0</v>
      </c>
      <c r="K126">
        <f>IF(A126=d_시나리오!$B$11,3.1,0)</f>
        <v>0</v>
      </c>
    </row>
    <row r="127" spans="1:11">
      <c r="A127">
        <v>126</v>
      </c>
      <c r="B127">
        <v>1</v>
      </c>
      <c r="C127" t="e">
        <f>NA()</f>
        <v>#N/A</v>
      </c>
      <c r="D127" t="e">
        <f>NA()</f>
        <v>#N/A</v>
      </c>
      <c r="E127" t="e">
        <f>NA()</f>
        <v>#N/A</v>
      </c>
      <c r="F127" t="e">
        <f>IF(A127=d_시나리오!$B$11,2.4,NA())</f>
        <v>#N/A</v>
      </c>
      <c r="G127">
        <v>1</v>
      </c>
      <c r="I127" t="str">
        <f>IF(A127=d_시나리오!$B$11,"시행 후 "&amp;A127&amp;"위","")</f>
        <v/>
      </c>
      <c r="J127">
        <v>0</v>
      </c>
      <c r="K127">
        <f>IF(A127=d_시나리오!$B$11,3.1,0)</f>
        <v>0</v>
      </c>
    </row>
    <row r="128" spans="1:11">
      <c r="A128">
        <v>127</v>
      </c>
      <c r="B128">
        <v>1</v>
      </c>
      <c r="C128" t="e">
        <f>NA()</f>
        <v>#N/A</v>
      </c>
      <c r="D128" t="e">
        <f>NA()</f>
        <v>#N/A</v>
      </c>
      <c r="E128" t="e">
        <f>NA()</f>
        <v>#N/A</v>
      </c>
      <c r="F128" t="e">
        <f>IF(A128=d_시나리오!$B$11,2.4,NA())</f>
        <v>#N/A</v>
      </c>
      <c r="G128">
        <v>1</v>
      </c>
      <c r="I128" t="str">
        <f>IF(A128=d_시나리오!$B$11,"시행 후 "&amp;A128&amp;"위","")</f>
        <v/>
      </c>
      <c r="J128">
        <v>0</v>
      </c>
      <c r="K128">
        <f>IF(A128=d_시나리오!$B$11,3.1,0)</f>
        <v>0</v>
      </c>
    </row>
    <row r="129" spans="1:11">
      <c r="A129">
        <v>128</v>
      </c>
      <c r="B129">
        <v>1</v>
      </c>
      <c r="C129" t="e">
        <f>NA()</f>
        <v>#N/A</v>
      </c>
      <c r="D129" t="e">
        <f>NA()</f>
        <v>#N/A</v>
      </c>
      <c r="E129" t="e">
        <f>NA()</f>
        <v>#N/A</v>
      </c>
      <c r="F129" t="e">
        <f>IF(A129=d_시나리오!$B$11,2.4,NA())</f>
        <v>#N/A</v>
      </c>
      <c r="G129">
        <v>1</v>
      </c>
      <c r="I129" t="str">
        <f>IF(A129=d_시나리오!$B$11,"시행 후 "&amp;A129&amp;"위","")</f>
        <v/>
      </c>
      <c r="J129">
        <v>0</v>
      </c>
      <c r="K129">
        <f>IF(A129=d_시나리오!$B$11,3.1,0)</f>
        <v>0</v>
      </c>
    </row>
    <row r="130" spans="1:11">
      <c r="A130">
        <v>129</v>
      </c>
      <c r="B130">
        <v>1</v>
      </c>
      <c r="C130" t="e">
        <f>NA()</f>
        <v>#N/A</v>
      </c>
      <c r="D130" t="e">
        <f>NA()</f>
        <v>#N/A</v>
      </c>
      <c r="E130" t="e">
        <f>NA()</f>
        <v>#N/A</v>
      </c>
      <c r="F130" t="e">
        <f>IF(A130=d_시나리오!$B$11,2.4,NA())</f>
        <v>#N/A</v>
      </c>
      <c r="G130">
        <v>1</v>
      </c>
      <c r="I130" t="str">
        <f>IF(A130=d_시나리오!$B$11,"시행 후 "&amp;A130&amp;"위","")</f>
        <v/>
      </c>
      <c r="J130">
        <v>0</v>
      </c>
      <c r="K130">
        <f>IF(A130=d_시나리오!$B$11,3.1,0)</f>
        <v>0</v>
      </c>
    </row>
    <row r="131" spans="1:11">
      <c r="A131">
        <v>130</v>
      </c>
      <c r="B131">
        <v>1</v>
      </c>
      <c r="C131" t="e">
        <f>NA()</f>
        <v>#N/A</v>
      </c>
      <c r="D131" t="e">
        <f>NA()</f>
        <v>#N/A</v>
      </c>
      <c r="E131" t="e">
        <f>NA()</f>
        <v>#N/A</v>
      </c>
      <c r="F131" t="e">
        <f>IF(A131=d_시나리오!$B$11,2.4,NA())</f>
        <v>#N/A</v>
      </c>
      <c r="G131">
        <v>1</v>
      </c>
      <c r="I131" t="str">
        <f>IF(A131=d_시나리오!$B$11,"시행 후 "&amp;A131&amp;"위","")</f>
        <v/>
      </c>
      <c r="J131">
        <v>0</v>
      </c>
      <c r="K131">
        <f>IF(A131=d_시나리오!$B$11,3.1,0)</f>
        <v>0</v>
      </c>
    </row>
    <row r="132" spans="1:11">
      <c r="A132">
        <v>131</v>
      </c>
      <c r="B132">
        <v>1</v>
      </c>
      <c r="C132" t="e">
        <f>NA()</f>
        <v>#N/A</v>
      </c>
      <c r="D132" t="e">
        <f>NA()</f>
        <v>#N/A</v>
      </c>
      <c r="E132" t="e">
        <f>NA()</f>
        <v>#N/A</v>
      </c>
      <c r="F132" t="e">
        <f>IF(A132=d_시나리오!$B$11,2.4,NA())</f>
        <v>#N/A</v>
      </c>
      <c r="G132">
        <v>1</v>
      </c>
      <c r="I132" t="str">
        <f>IF(A132=d_시나리오!$B$11,"시행 후 "&amp;A132&amp;"위","")</f>
        <v/>
      </c>
      <c r="J132">
        <v>0</v>
      </c>
      <c r="K132">
        <f>IF(A132=d_시나리오!$B$11,3.1,0)</f>
        <v>0</v>
      </c>
    </row>
    <row r="133" spans="1:11">
      <c r="A133">
        <v>132</v>
      </c>
      <c r="B133">
        <v>1</v>
      </c>
      <c r="C133" t="e">
        <f>NA()</f>
        <v>#N/A</v>
      </c>
      <c r="D133" t="e">
        <f>NA()</f>
        <v>#N/A</v>
      </c>
      <c r="E133" t="e">
        <f>NA()</f>
        <v>#N/A</v>
      </c>
      <c r="F133" t="e">
        <f>IF(A133=d_시나리오!$B$11,2.4,NA())</f>
        <v>#N/A</v>
      </c>
      <c r="G133">
        <v>1</v>
      </c>
      <c r="I133" t="str">
        <f>IF(A133=d_시나리오!$B$11,"시행 후 "&amp;A133&amp;"위","")</f>
        <v/>
      </c>
      <c r="J133">
        <v>0</v>
      </c>
      <c r="K133">
        <f>IF(A133=d_시나리오!$B$11,3.1,0)</f>
        <v>0</v>
      </c>
    </row>
    <row r="134" spans="1:11">
      <c r="A134">
        <v>133</v>
      </c>
      <c r="B134">
        <v>1</v>
      </c>
      <c r="C134" t="e">
        <f>NA()</f>
        <v>#N/A</v>
      </c>
      <c r="D134" t="e">
        <f>NA()</f>
        <v>#N/A</v>
      </c>
      <c r="E134" t="e">
        <f>NA()</f>
        <v>#N/A</v>
      </c>
      <c r="F134" t="e">
        <f>IF(A134=d_시나리오!$B$11,2.4,NA())</f>
        <v>#N/A</v>
      </c>
      <c r="G134">
        <v>1</v>
      </c>
      <c r="I134" t="str">
        <f>IF(A134=d_시나리오!$B$11,"시행 후 "&amp;A134&amp;"위","")</f>
        <v/>
      </c>
      <c r="J134">
        <v>0</v>
      </c>
      <c r="K134">
        <f>IF(A134=d_시나리오!$B$11,3.1,0)</f>
        <v>0</v>
      </c>
    </row>
    <row r="135" spans="1:11">
      <c r="A135">
        <v>134</v>
      </c>
      <c r="B135">
        <v>1</v>
      </c>
      <c r="C135" t="e">
        <f>NA()</f>
        <v>#N/A</v>
      </c>
      <c r="D135" t="e">
        <f>NA()</f>
        <v>#N/A</v>
      </c>
      <c r="E135" t="e">
        <f>NA()</f>
        <v>#N/A</v>
      </c>
      <c r="F135" t="e">
        <f>IF(A135=d_시나리오!$B$11,2.4,NA())</f>
        <v>#N/A</v>
      </c>
      <c r="G135">
        <v>1</v>
      </c>
      <c r="I135" t="str">
        <f>IF(A135=d_시나리오!$B$11,"시행 후 "&amp;A135&amp;"위","")</f>
        <v/>
      </c>
      <c r="J135">
        <v>0</v>
      </c>
      <c r="K135">
        <f>IF(A135=d_시나리오!$B$11,3.1,0)</f>
        <v>0</v>
      </c>
    </row>
    <row r="136" spans="1:11">
      <c r="A136">
        <v>135</v>
      </c>
      <c r="B136">
        <v>1</v>
      </c>
      <c r="C136" t="e">
        <f>NA()</f>
        <v>#N/A</v>
      </c>
      <c r="D136" t="e">
        <f>NA()</f>
        <v>#N/A</v>
      </c>
      <c r="E136" t="e">
        <f>NA()</f>
        <v>#N/A</v>
      </c>
      <c r="F136" t="e">
        <f>IF(A136=d_시나리오!$B$11,2.4,NA())</f>
        <v>#N/A</v>
      </c>
      <c r="G136">
        <v>1</v>
      </c>
      <c r="I136" t="str">
        <f>IF(A136=d_시나리오!$B$11,"시행 후 "&amp;A136&amp;"위","")</f>
        <v/>
      </c>
      <c r="J136">
        <v>0</v>
      </c>
      <c r="K136">
        <f>IF(A136=d_시나리오!$B$11,3.1,0)</f>
        <v>0</v>
      </c>
    </row>
    <row r="137" spans="1:11">
      <c r="A137">
        <v>136</v>
      </c>
      <c r="B137">
        <v>1</v>
      </c>
      <c r="C137" t="e">
        <f>NA()</f>
        <v>#N/A</v>
      </c>
      <c r="D137" t="e">
        <f>NA()</f>
        <v>#N/A</v>
      </c>
      <c r="E137" t="e">
        <f>NA()</f>
        <v>#N/A</v>
      </c>
      <c r="F137" t="e">
        <f>IF(A137=d_시나리오!$B$11,2.4,NA())</f>
        <v>#N/A</v>
      </c>
      <c r="G137">
        <v>1</v>
      </c>
      <c r="I137" t="str">
        <f>IF(A137=d_시나리오!$B$11,"시행 후 "&amp;A137&amp;"위","")</f>
        <v/>
      </c>
      <c r="J137">
        <v>0</v>
      </c>
      <c r="K137">
        <f>IF(A137=d_시나리오!$B$11,3.1,0)</f>
        <v>0</v>
      </c>
    </row>
    <row r="138" spans="1:11">
      <c r="A138">
        <v>137</v>
      </c>
      <c r="B138">
        <v>1</v>
      </c>
      <c r="C138" t="e">
        <f>NA()</f>
        <v>#N/A</v>
      </c>
      <c r="D138" t="e">
        <f>NA()</f>
        <v>#N/A</v>
      </c>
      <c r="E138" t="e">
        <f>NA()</f>
        <v>#N/A</v>
      </c>
      <c r="F138" t="e">
        <f>IF(A138=d_시나리오!$B$11,2.4,NA())</f>
        <v>#N/A</v>
      </c>
      <c r="G138">
        <v>1</v>
      </c>
      <c r="I138" t="str">
        <f>IF(A138=d_시나리오!$B$11,"시행 후 "&amp;A138&amp;"위","")</f>
        <v/>
      </c>
      <c r="J138">
        <v>0</v>
      </c>
      <c r="K138">
        <f>IF(A138=d_시나리오!$B$11,3.1,0)</f>
        <v>0</v>
      </c>
    </row>
    <row r="139" spans="1:11">
      <c r="A139">
        <v>138</v>
      </c>
      <c r="B139">
        <v>1</v>
      </c>
      <c r="C139" t="e">
        <f>NA()</f>
        <v>#N/A</v>
      </c>
      <c r="D139" t="e">
        <f>NA()</f>
        <v>#N/A</v>
      </c>
      <c r="E139" t="e">
        <f>NA()</f>
        <v>#N/A</v>
      </c>
      <c r="F139" t="e">
        <f>IF(A139=d_시나리오!$B$11,2.4,NA())</f>
        <v>#N/A</v>
      </c>
      <c r="G139">
        <v>1</v>
      </c>
      <c r="I139" t="str">
        <f>IF(A139=d_시나리오!$B$11,"시행 후 "&amp;A139&amp;"위","")</f>
        <v/>
      </c>
      <c r="J139">
        <v>0</v>
      </c>
      <c r="K139">
        <f>IF(A139=d_시나리오!$B$11,3.1,0)</f>
        <v>0</v>
      </c>
    </row>
    <row r="140" spans="1:11">
      <c r="A140">
        <v>139</v>
      </c>
      <c r="B140">
        <v>1</v>
      </c>
      <c r="C140" t="e">
        <f>NA()</f>
        <v>#N/A</v>
      </c>
      <c r="D140" t="e">
        <f>NA()</f>
        <v>#N/A</v>
      </c>
      <c r="E140" t="e">
        <f>NA()</f>
        <v>#N/A</v>
      </c>
      <c r="F140" t="e">
        <f>IF(A140=d_시나리오!$B$11,2.4,NA())</f>
        <v>#N/A</v>
      </c>
      <c r="G140">
        <v>1</v>
      </c>
      <c r="I140" t="str">
        <f>IF(A140=d_시나리오!$B$11,"시행 후 "&amp;A140&amp;"위","")</f>
        <v/>
      </c>
      <c r="J140">
        <v>0</v>
      </c>
      <c r="K140">
        <f>IF(A140=d_시나리오!$B$11,3.1,0)</f>
        <v>0</v>
      </c>
    </row>
    <row r="141" spans="1:11">
      <c r="A141">
        <v>140</v>
      </c>
      <c r="B141">
        <v>1</v>
      </c>
      <c r="C141" t="e">
        <f>NA()</f>
        <v>#N/A</v>
      </c>
      <c r="D141" t="e">
        <f>NA()</f>
        <v>#N/A</v>
      </c>
      <c r="E141" t="e">
        <f>NA()</f>
        <v>#N/A</v>
      </c>
      <c r="F141" t="e">
        <f>IF(A141=d_시나리오!$B$11,2.4,NA())</f>
        <v>#N/A</v>
      </c>
      <c r="G141">
        <v>1</v>
      </c>
      <c r="I141" t="str">
        <f>IF(A141=d_시나리오!$B$11,"시행 후 "&amp;A141&amp;"위","")</f>
        <v/>
      </c>
      <c r="J141">
        <v>0</v>
      </c>
      <c r="K141">
        <f>IF(A141=d_시나리오!$B$11,3.1,0)</f>
        <v>0</v>
      </c>
    </row>
    <row r="142" spans="1:11">
      <c r="A142">
        <v>141</v>
      </c>
      <c r="B142">
        <v>1</v>
      </c>
      <c r="C142" t="e">
        <f>NA()</f>
        <v>#N/A</v>
      </c>
      <c r="D142" t="e">
        <f>NA()</f>
        <v>#N/A</v>
      </c>
      <c r="E142" t="e">
        <f>NA()</f>
        <v>#N/A</v>
      </c>
      <c r="F142" t="e">
        <f>IF(A142=d_시나리오!$B$11,2.4,NA())</f>
        <v>#N/A</v>
      </c>
      <c r="G142">
        <v>1</v>
      </c>
      <c r="I142" t="str">
        <f>IF(A142=d_시나리오!$B$11,"시행 후 "&amp;A142&amp;"위","")</f>
        <v/>
      </c>
      <c r="J142">
        <v>0</v>
      </c>
      <c r="K142">
        <f>IF(A142=d_시나리오!$B$11,3.1,0)</f>
        <v>0</v>
      </c>
    </row>
    <row r="143" spans="1:11">
      <c r="A143">
        <v>142</v>
      </c>
      <c r="B143">
        <v>1</v>
      </c>
      <c r="C143" t="e">
        <f>NA()</f>
        <v>#N/A</v>
      </c>
      <c r="D143" t="e">
        <f>NA()</f>
        <v>#N/A</v>
      </c>
      <c r="E143" t="e">
        <f>NA()</f>
        <v>#N/A</v>
      </c>
      <c r="F143" t="e">
        <f>IF(A143=d_시나리오!$B$11,2.4,NA())</f>
        <v>#N/A</v>
      </c>
      <c r="G143">
        <v>1</v>
      </c>
      <c r="I143" t="str">
        <f>IF(A143=d_시나리오!$B$11,"시행 후 "&amp;A143&amp;"위","")</f>
        <v/>
      </c>
      <c r="J143">
        <v>0</v>
      </c>
      <c r="K143">
        <f>IF(A143=d_시나리오!$B$11,3.1,0)</f>
        <v>0</v>
      </c>
    </row>
    <row r="144" spans="1:11">
      <c r="A144">
        <v>143</v>
      </c>
      <c r="B144">
        <v>1</v>
      </c>
      <c r="C144" t="e">
        <f>NA()</f>
        <v>#N/A</v>
      </c>
      <c r="D144" t="e">
        <f>NA()</f>
        <v>#N/A</v>
      </c>
      <c r="E144" t="e">
        <f>NA()</f>
        <v>#N/A</v>
      </c>
      <c r="F144" t="e">
        <f>IF(A144=d_시나리오!$B$11,2.4,NA())</f>
        <v>#N/A</v>
      </c>
      <c r="G144">
        <v>1</v>
      </c>
      <c r="I144" t="str">
        <f>IF(A144=d_시나리오!$B$11,"시행 후 "&amp;A144&amp;"위","")</f>
        <v/>
      </c>
      <c r="J144">
        <v>0</v>
      </c>
      <c r="K144">
        <f>IF(A144=d_시나리오!$B$11,3.1,0)</f>
        <v>0</v>
      </c>
    </row>
    <row r="145" spans="1:11">
      <c r="A145">
        <v>144</v>
      </c>
      <c r="B145">
        <v>1</v>
      </c>
      <c r="C145" t="e">
        <f>NA()</f>
        <v>#N/A</v>
      </c>
      <c r="D145" t="e">
        <f>NA()</f>
        <v>#N/A</v>
      </c>
      <c r="E145" t="e">
        <f>NA()</f>
        <v>#N/A</v>
      </c>
      <c r="F145" t="e">
        <f>IF(A145=d_시나리오!$B$11,2.4,NA())</f>
        <v>#N/A</v>
      </c>
      <c r="G145">
        <v>1</v>
      </c>
      <c r="I145" t="str">
        <f>IF(A145=d_시나리오!$B$11,"시행 후 "&amp;A145&amp;"위","")</f>
        <v/>
      </c>
      <c r="J145">
        <v>0</v>
      </c>
      <c r="K145">
        <f>IF(A145=d_시나리오!$B$11,3.1,0)</f>
        <v>0</v>
      </c>
    </row>
    <row r="146" spans="1:11">
      <c r="A146">
        <v>145</v>
      </c>
      <c r="B146">
        <v>1</v>
      </c>
      <c r="C146" t="e">
        <f>NA()</f>
        <v>#N/A</v>
      </c>
      <c r="D146" t="e">
        <f>NA()</f>
        <v>#N/A</v>
      </c>
      <c r="E146" t="e">
        <f>NA()</f>
        <v>#N/A</v>
      </c>
      <c r="F146" t="e">
        <f>IF(A146=d_시나리오!$B$11,2.4,NA())</f>
        <v>#N/A</v>
      </c>
      <c r="G146">
        <v>1</v>
      </c>
      <c r="I146" t="str">
        <f>IF(A146=d_시나리오!$B$11,"시행 후 "&amp;A146&amp;"위","")</f>
        <v/>
      </c>
      <c r="J146">
        <v>0</v>
      </c>
      <c r="K146">
        <f>IF(A146=d_시나리오!$B$11,3.1,0)</f>
        <v>0</v>
      </c>
    </row>
    <row r="147" spans="1:11">
      <c r="A147">
        <v>146</v>
      </c>
      <c r="B147">
        <v>1</v>
      </c>
      <c r="C147" t="e">
        <f>NA()</f>
        <v>#N/A</v>
      </c>
      <c r="D147" t="e">
        <f>NA()</f>
        <v>#N/A</v>
      </c>
      <c r="E147" t="e">
        <f>NA()</f>
        <v>#N/A</v>
      </c>
      <c r="F147" t="e">
        <f>IF(A147=d_시나리오!$B$11,2.4,NA())</f>
        <v>#N/A</v>
      </c>
      <c r="G147">
        <v>1</v>
      </c>
      <c r="I147" t="str">
        <f>IF(A147=d_시나리오!$B$11,"시행 후 "&amp;A147&amp;"위","")</f>
        <v/>
      </c>
      <c r="J147">
        <v>0</v>
      </c>
      <c r="K147">
        <f>IF(A147=d_시나리오!$B$11,3.1,0)</f>
        <v>0</v>
      </c>
    </row>
  </sheetData>
  <phoneticPr fontId="44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0"/>
  <sheetViews>
    <sheetView workbookViewId="0"/>
  </sheetViews>
  <sheetFormatPr baseColWidth="10" defaultColWidth="8.83203125" defaultRowHeight="17"/>
  <sheetData>
    <row r="1" spans="1:5">
      <c r="A1" t="s">
        <v>424</v>
      </c>
      <c r="B1" t="s">
        <v>425</v>
      </c>
      <c r="C1" t="s">
        <v>426</v>
      </c>
      <c r="E1" t="s">
        <v>427</v>
      </c>
    </row>
    <row r="2" spans="1:5">
      <c r="A2" t="s">
        <v>428</v>
      </c>
      <c r="B2">
        <v>140</v>
      </c>
      <c r="C2">
        <v>1</v>
      </c>
    </row>
    <row r="3" spans="1:5">
      <c r="A3" t="s">
        <v>428</v>
      </c>
      <c r="B3">
        <v>190</v>
      </c>
      <c r="C3">
        <v>1</v>
      </c>
    </row>
    <row r="4" spans="1:5">
      <c r="A4" t="s">
        <v>429</v>
      </c>
      <c r="B4">
        <v>179.7</v>
      </c>
      <c r="C4">
        <v>0.45</v>
      </c>
      <c r="E4" t="s">
        <v>430</v>
      </c>
    </row>
    <row r="5" spans="1:5">
      <c r="A5" t="s">
        <v>429</v>
      </c>
      <c r="B5">
        <v>179.7</v>
      </c>
      <c r="C5">
        <v>1.55</v>
      </c>
    </row>
    <row r="6" spans="1:5">
      <c r="A6" t="s">
        <v>431</v>
      </c>
      <c r="B6">
        <v>183.5</v>
      </c>
      <c r="C6">
        <v>1</v>
      </c>
      <c r="E6" t="s">
        <v>432</v>
      </c>
    </row>
    <row r="7" spans="1:5">
      <c r="A7" t="s">
        <v>433</v>
      </c>
      <c r="B7">
        <v>152.69999999999999</v>
      </c>
      <c r="C7">
        <v>1</v>
      </c>
    </row>
    <row r="8" spans="1:5">
      <c r="A8" t="s">
        <v>433</v>
      </c>
      <c r="B8">
        <f>d_시나리오!$B$9</f>
        <v>157.9524557357708</v>
      </c>
      <c r="C8">
        <v>1</v>
      </c>
    </row>
    <row r="9" spans="1:5">
      <c r="A9" t="s">
        <v>434</v>
      </c>
      <c r="B9">
        <v>152.69999999999999</v>
      </c>
      <c r="C9">
        <v>1</v>
      </c>
      <c r="E9" t="s">
        <v>435</v>
      </c>
    </row>
    <row r="10" spans="1:5">
      <c r="A10" t="s">
        <v>436</v>
      </c>
      <c r="B10">
        <f>d_시나리오!$B$9</f>
        <v>157.9524557357708</v>
      </c>
      <c r="C10">
        <v>1</v>
      </c>
    </row>
  </sheetData>
  <phoneticPr fontId="4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45"/>
  <sheetViews>
    <sheetView workbookViewId="0"/>
  </sheetViews>
  <sheetFormatPr baseColWidth="10" defaultColWidth="8.83203125" defaultRowHeight="17"/>
  <sheetData>
    <row r="1" spans="1:19">
      <c r="A1" t="s">
        <v>244</v>
      </c>
      <c r="B1" t="s">
        <v>437</v>
      </c>
      <c r="C1" t="s">
        <v>438</v>
      </c>
      <c r="D1" t="s">
        <v>439</v>
      </c>
      <c r="E1" t="s">
        <v>440</v>
      </c>
      <c r="F1" t="s">
        <v>178</v>
      </c>
      <c r="G1" t="s">
        <v>441</v>
      </c>
      <c r="H1" t="s">
        <v>442</v>
      </c>
      <c r="I1" t="s">
        <v>443</v>
      </c>
      <c r="J1" t="s">
        <v>444</v>
      </c>
      <c r="K1" t="s">
        <v>445</v>
      </c>
      <c r="L1" t="s">
        <v>446</v>
      </c>
      <c r="M1" t="s">
        <v>447</v>
      </c>
      <c r="N1" t="s">
        <v>411</v>
      </c>
      <c r="O1" t="s">
        <v>448</v>
      </c>
      <c r="P1" t="s">
        <v>449</v>
      </c>
      <c r="Q1" t="s">
        <v>450</v>
      </c>
      <c r="R1" t="s">
        <v>451</v>
      </c>
      <c r="S1" t="s">
        <v>452</v>
      </c>
    </row>
    <row r="2" spans="1:19">
      <c r="A2" t="s">
        <v>270</v>
      </c>
      <c r="B2" t="s">
        <v>453</v>
      </c>
      <c r="C2" t="s">
        <v>454</v>
      </c>
      <c r="D2" t="s">
        <v>455</v>
      </c>
      <c r="E2">
        <v>-0.17069615102352889</v>
      </c>
      <c r="F2">
        <v>3.0458333333333329</v>
      </c>
      <c r="G2">
        <v>0.4540338287621607</v>
      </c>
      <c r="H2">
        <v>7.2846042315438106E-2</v>
      </c>
      <c r="I2">
        <v>85.416666666666657</v>
      </c>
      <c r="J2">
        <v>86.805555555555557</v>
      </c>
      <c r="K2">
        <v>85.416666666666657</v>
      </c>
      <c r="L2">
        <v>94.444444444444443</v>
      </c>
      <c r="M2">
        <v>88.020833333333343</v>
      </c>
      <c r="N2">
        <v>1</v>
      </c>
      <c r="O2" t="s">
        <v>456</v>
      </c>
      <c r="P2" t="s">
        <v>456</v>
      </c>
      <c r="Q2">
        <v>21</v>
      </c>
      <c r="R2">
        <v>5.7003511968667597E-2</v>
      </c>
      <c r="S2" t="str">
        <f>IF(P2=d_선택!$B$9,E2+ROW()/1000000000,"")</f>
        <v/>
      </c>
    </row>
    <row r="3" spans="1:19">
      <c r="A3" t="s">
        <v>252</v>
      </c>
      <c r="B3" t="s">
        <v>457</v>
      </c>
      <c r="C3" t="s">
        <v>454</v>
      </c>
      <c r="D3" t="s">
        <v>455</v>
      </c>
      <c r="E3">
        <v>-0.41449100854237347</v>
      </c>
      <c r="F3">
        <v>3.4691666666666658</v>
      </c>
      <c r="G3">
        <v>0.41782422157087629</v>
      </c>
      <c r="H3">
        <v>7.42126097571712E-2</v>
      </c>
      <c r="I3">
        <v>97.916666666666657</v>
      </c>
      <c r="J3">
        <v>63.194444444444443</v>
      </c>
      <c r="K3">
        <v>94.444444444444443</v>
      </c>
      <c r="L3">
        <v>91.666666666666657</v>
      </c>
      <c r="M3">
        <v>86.805555555555543</v>
      </c>
      <c r="N3">
        <v>2</v>
      </c>
      <c r="O3" t="s">
        <v>458</v>
      </c>
      <c r="P3" t="s">
        <v>458</v>
      </c>
      <c r="Q3">
        <v>3</v>
      </c>
      <c r="R3">
        <v>4.0084417273265699E-2</v>
      </c>
      <c r="S3" t="str">
        <f>IF(P3=d_선택!$B$9,E3+ROW()/1000000000,"")</f>
        <v/>
      </c>
    </row>
    <row r="4" spans="1:19">
      <c r="A4" t="s">
        <v>263</v>
      </c>
      <c r="B4" t="s">
        <v>459</v>
      </c>
      <c r="C4" t="s">
        <v>460</v>
      </c>
      <c r="D4" t="s">
        <v>461</v>
      </c>
      <c r="E4">
        <v>-0.2304073922611381</v>
      </c>
      <c r="F4">
        <v>3.4224999999999999</v>
      </c>
      <c r="G4">
        <v>0.44780312441515607</v>
      </c>
      <c r="H4">
        <v>8.2486298636035002E-2</v>
      </c>
      <c r="I4">
        <v>90.2777777777778</v>
      </c>
      <c r="J4">
        <v>64.583333333333329</v>
      </c>
      <c r="K4">
        <v>86.805555555555557</v>
      </c>
      <c r="L4">
        <v>75.694444444444443</v>
      </c>
      <c r="M4">
        <v>79.340277777777786</v>
      </c>
      <c r="N4">
        <v>3</v>
      </c>
      <c r="O4" t="s">
        <v>458</v>
      </c>
      <c r="P4" t="s">
        <v>458</v>
      </c>
      <c r="Q4">
        <v>14</v>
      </c>
      <c r="R4">
        <v>2.5670936046517701E-2</v>
      </c>
      <c r="S4" t="str">
        <f>IF(P4=d_선택!$B$9,E4+ROW()/1000000000,"")</f>
        <v/>
      </c>
    </row>
    <row r="5" spans="1:19">
      <c r="A5" t="s">
        <v>293</v>
      </c>
      <c r="B5" t="s">
        <v>462</v>
      </c>
      <c r="C5" t="s">
        <v>454</v>
      </c>
      <c r="D5" t="s">
        <v>455</v>
      </c>
      <c r="E5">
        <v>-8.5887649205052694E-2</v>
      </c>
      <c r="F5">
        <v>3.2658333333333331</v>
      </c>
      <c r="G5">
        <v>0.44271465996670778</v>
      </c>
      <c r="H5">
        <v>7.7971584237037594E-2</v>
      </c>
      <c r="I5">
        <v>68.055555555555557</v>
      </c>
      <c r="J5">
        <v>74.305555555555557</v>
      </c>
      <c r="K5">
        <v>88.888888888888886</v>
      </c>
      <c r="L5">
        <v>83.333333333333343</v>
      </c>
      <c r="M5">
        <v>78.645833333333343</v>
      </c>
      <c r="N5">
        <v>4</v>
      </c>
      <c r="O5" t="s">
        <v>463</v>
      </c>
      <c r="P5" t="s">
        <v>463</v>
      </c>
      <c r="Q5">
        <v>45</v>
      </c>
      <c r="R5">
        <v>3.1688577163618802E-2</v>
      </c>
      <c r="S5" t="str">
        <f>IF(P5=d_선택!$B$9,E5+ROW()/1000000000,"")</f>
        <v/>
      </c>
    </row>
    <row r="6" spans="1:19">
      <c r="A6" t="s">
        <v>279</v>
      </c>
      <c r="B6" t="s">
        <v>464</v>
      </c>
      <c r="C6" t="s">
        <v>454</v>
      </c>
      <c r="D6" t="s">
        <v>455</v>
      </c>
      <c r="E6">
        <v>-0.12739607122342131</v>
      </c>
      <c r="F6">
        <v>3.5483333333333329</v>
      </c>
      <c r="G6">
        <v>0.44088923026279692</v>
      </c>
      <c r="H6">
        <v>7.5350064708143705E-2</v>
      </c>
      <c r="I6">
        <v>77.777777777777786</v>
      </c>
      <c r="J6">
        <v>50.694444444444443</v>
      </c>
      <c r="K6">
        <v>90.2777777777778</v>
      </c>
      <c r="L6">
        <v>88.888888888888886</v>
      </c>
      <c r="M6">
        <v>76.909722222222229</v>
      </c>
      <c r="N6">
        <v>5</v>
      </c>
      <c r="O6" t="s">
        <v>458</v>
      </c>
      <c r="P6" t="s">
        <v>458</v>
      </c>
      <c r="Q6">
        <v>31</v>
      </c>
      <c r="R6">
        <v>7.38313181551086E-2</v>
      </c>
      <c r="S6" t="str">
        <f>IF(P6=d_선택!$B$9,E6+ROW()/1000000000,"")</f>
        <v/>
      </c>
    </row>
    <row r="7" spans="1:19">
      <c r="A7" t="s">
        <v>255</v>
      </c>
      <c r="B7" t="s">
        <v>465</v>
      </c>
      <c r="C7" t="s">
        <v>460</v>
      </c>
      <c r="D7" t="s">
        <v>461</v>
      </c>
      <c r="E7">
        <v>-0.34887626295632579</v>
      </c>
      <c r="F7">
        <v>3.6625000000000001</v>
      </c>
      <c r="G7">
        <v>0.47268543177339511</v>
      </c>
      <c r="H7">
        <v>7.3504909277652394E-2</v>
      </c>
      <c r="I7">
        <v>95.833333333333343</v>
      </c>
      <c r="J7">
        <v>29.166666666666661</v>
      </c>
      <c r="K7">
        <v>79.166666666666657</v>
      </c>
      <c r="L7">
        <v>93.75</v>
      </c>
      <c r="M7">
        <v>74.479166666666657</v>
      </c>
      <c r="N7">
        <v>6</v>
      </c>
      <c r="O7" t="s">
        <v>458</v>
      </c>
      <c r="P7" t="s">
        <v>458</v>
      </c>
      <c r="Q7">
        <v>6</v>
      </c>
      <c r="R7">
        <v>1.0202645880523001E-3</v>
      </c>
      <c r="S7" t="str">
        <f>IF(P7=d_선택!$B$9,E7+ROW()/1000000000,"")</f>
        <v/>
      </c>
    </row>
    <row r="8" spans="1:19">
      <c r="A8" t="s">
        <v>254</v>
      </c>
      <c r="B8" t="s">
        <v>466</v>
      </c>
      <c r="C8" t="s">
        <v>460</v>
      </c>
      <c r="D8" t="s">
        <v>461</v>
      </c>
      <c r="E8">
        <v>-0.38094578568065218</v>
      </c>
      <c r="F8">
        <v>3.5741666666666672</v>
      </c>
      <c r="G8">
        <v>0.47111241213806188</v>
      </c>
      <c r="H8">
        <v>8.0605050807944306E-2</v>
      </c>
      <c r="I8">
        <v>96.5277777777778</v>
      </c>
      <c r="J8">
        <v>42.361111111111107</v>
      </c>
      <c r="K8">
        <v>79.861111111111114</v>
      </c>
      <c r="L8">
        <v>78.472222222222214</v>
      </c>
      <c r="M8">
        <v>74.305555555555557</v>
      </c>
      <c r="N8">
        <v>7</v>
      </c>
      <c r="O8" t="s">
        <v>458</v>
      </c>
      <c r="P8" t="s">
        <v>458</v>
      </c>
      <c r="Q8">
        <v>5</v>
      </c>
      <c r="R8">
        <v>0.38327367601817253</v>
      </c>
      <c r="S8" t="str">
        <f>IF(P8=d_선택!$B$9,E8+ROW()/1000000000,"")</f>
        <v/>
      </c>
    </row>
    <row r="9" spans="1:19">
      <c r="A9" t="s">
        <v>286</v>
      </c>
      <c r="B9" t="s">
        <v>467</v>
      </c>
      <c r="C9" t="s">
        <v>454</v>
      </c>
      <c r="D9" t="s">
        <v>455</v>
      </c>
      <c r="E9">
        <v>-0.11446924910594421</v>
      </c>
      <c r="F9">
        <v>3.5775000000000001</v>
      </c>
      <c r="G9">
        <v>0.41214913924432611</v>
      </c>
      <c r="H9">
        <v>7.7426707420867893E-2</v>
      </c>
      <c r="I9">
        <v>72.916666666666671</v>
      </c>
      <c r="J9">
        <v>41.666666666666657</v>
      </c>
      <c r="K9">
        <v>95.833333333333343</v>
      </c>
      <c r="L9">
        <v>84.027777777777786</v>
      </c>
      <c r="M9">
        <v>73.611111111111114</v>
      </c>
      <c r="N9">
        <v>8</v>
      </c>
      <c r="O9" t="s">
        <v>463</v>
      </c>
      <c r="P9" t="s">
        <v>463</v>
      </c>
      <c r="Q9">
        <v>38</v>
      </c>
      <c r="R9">
        <v>3.3956865212343798E-2</v>
      </c>
      <c r="S9" t="str">
        <f>IF(P9=d_선택!$B$9,E9+ROW()/1000000000,"")</f>
        <v/>
      </c>
    </row>
    <row r="10" spans="1:19">
      <c r="A10" t="s">
        <v>358</v>
      </c>
      <c r="B10" t="s">
        <v>468</v>
      </c>
      <c r="C10" t="s">
        <v>454</v>
      </c>
      <c r="D10" t="s">
        <v>455</v>
      </c>
      <c r="E10">
        <v>0.1257271329722697</v>
      </c>
      <c r="F10">
        <v>3.3641666666666659</v>
      </c>
      <c r="G10">
        <v>0.39403788774579529</v>
      </c>
      <c r="H10">
        <v>5.8294063004037597E-2</v>
      </c>
      <c r="I10">
        <v>24.305555555555561</v>
      </c>
      <c r="J10">
        <v>68.055555555555557</v>
      </c>
      <c r="K10">
        <v>98.611111111111114</v>
      </c>
      <c r="L10">
        <v>99.305555555555557</v>
      </c>
      <c r="M10">
        <v>72.569444444444443</v>
      </c>
      <c r="N10">
        <v>9</v>
      </c>
      <c r="O10" t="s">
        <v>463</v>
      </c>
      <c r="P10" t="s">
        <v>463</v>
      </c>
      <c r="Q10">
        <v>110</v>
      </c>
      <c r="R10">
        <v>7.9507006515109006E-3</v>
      </c>
      <c r="S10" t="str">
        <f>IF(P10=d_선택!$B$9,E10+ROW()/1000000000,"")</f>
        <v/>
      </c>
    </row>
    <row r="11" spans="1:19">
      <c r="A11" t="s">
        <v>285</v>
      </c>
      <c r="B11" t="s">
        <v>469</v>
      </c>
      <c r="C11" t="s">
        <v>454</v>
      </c>
      <c r="D11" t="s">
        <v>455</v>
      </c>
      <c r="E11">
        <v>-0.115953259770461</v>
      </c>
      <c r="F11">
        <v>3.5333333333333332</v>
      </c>
      <c r="G11">
        <v>0.45763084437190787</v>
      </c>
      <c r="H11">
        <v>8.2358631644375596E-2</v>
      </c>
      <c r="I11">
        <v>73.611111111111114</v>
      </c>
      <c r="J11">
        <v>52.777777777777779</v>
      </c>
      <c r="K11">
        <v>83.333333333333343</v>
      </c>
      <c r="L11">
        <v>76.388888888888886</v>
      </c>
      <c r="M11">
        <v>71.527777777777771</v>
      </c>
      <c r="N11">
        <v>10</v>
      </c>
      <c r="O11" t="s">
        <v>463</v>
      </c>
      <c r="P11" t="s">
        <v>463</v>
      </c>
      <c r="Q11">
        <v>37</v>
      </c>
      <c r="R11">
        <v>1.33049955604833E-2</v>
      </c>
      <c r="S11" t="str">
        <f>IF(P11=d_선택!$B$9,E11+ROW()/1000000000,"")</f>
        <v/>
      </c>
    </row>
    <row r="12" spans="1:19">
      <c r="A12" t="s">
        <v>273</v>
      </c>
      <c r="B12" t="s">
        <v>470</v>
      </c>
      <c r="C12" t="s">
        <v>454</v>
      </c>
      <c r="D12" t="s">
        <v>455</v>
      </c>
      <c r="E12">
        <v>-0.1557073320265801</v>
      </c>
      <c r="F12">
        <v>3.4725000000000001</v>
      </c>
      <c r="G12">
        <v>0.4881952139523526</v>
      </c>
      <c r="H12">
        <v>8.5771006976425895E-2</v>
      </c>
      <c r="I12">
        <v>82.638888888888886</v>
      </c>
      <c r="J12">
        <v>61.805555555555557</v>
      </c>
      <c r="K12">
        <v>70.833333333333329</v>
      </c>
      <c r="L12">
        <v>68.055555555555557</v>
      </c>
      <c r="M12">
        <v>70.833333333333329</v>
      </c>
      <c r="N12">
        <v>11</v>
      </c>
      <c r="O12" t="s">
        <v>471</v>
      </c>
      <c r="P12" t="s">
        <v>471</v>
      </c>
      <c r="Q12">
        <v>25</v>
      </c>
      <c r="R12">
        <v>1.00775286164795E-2</v>
      </c>
      <c r="S12" t="str">
        <f>IF(P12=d_선택!$B$9,E12+ROW()/1000000000,"")</f>
        <v/>
      </c>
    </row>
    <row r="13" spans="1:19">
      <c r="A13" t="s">
        <v>290</v>
      </c>
      <c r="B13" t="s">
        <v>472</v>
      </c>
      <c r="C13" t="s">
        <v>454</v>
      </c>
      <c r="D13" t="s">
        <v>455</v>
      </c>
      <c r="E13">
        <v>-9.67363498199688E-2</v>
      </c>
      <c r="F13">
        <v>2.7383333333333328</v>
      </c>
      <c r="G13">
        <v>0.48144055325093571</v>
      </c>
      <c r="H13">
        <v>9.5163112397162394E-2</v>
      </c>
      <c r="I13">
        <v>70.138888888888886</v>
      </c>
      <c r="J13">
        <v>94.444444444444443</v>
      </c>
      <c r="K13">
        <v>74.305555555555557</v>
      </c>
      <c r="L13">
        <v>44.444444444444443</v>
      </c>
      <c r="M13">
        <v>70.833333333333329</v>
      </c>
      <c r="N13">
        <v>11</v>
      </c>
      <c r="O13" t="s">
        <v>178</v>
      </c>
      <c r="P13" t="s">
        <v>178</v>
      </c>
      <c r="Q13">
        <v>42</v>
      </c>
      <c r="R13">
        <v>-3.14168707655594E-2</v>
      </c>
      <c r="S13" t="str">
        <f>IF(P13=d_선택!$B$9,E13+ROW()/1000000000,"")</f>
        <v/>
      </c>
    </row>
    <row r="14" spans="1:19">
      <c r="A14" t="s">
        <v>356</v>
      </c>
      <c r="B14" t="s">
        <v>473</v>
      </c>
      <c r="C14" t="s">
        <v>460</v>
      </c>
      <c r="D14" t="s">
        <v>461</v>
      </c>
      <c r="E14">
        <v>0.1127859237031798</v>
      </c>
      <c r="F14">
        <v>2.9841666666666669</v>
      </c>
      <c r="G14">
        <v>0.46129416926482208</v>
      </c>
      <c r="H14">
        <v>7.6906112348359396E-2</v>
      </c>
      <c r="I14">
        <v>25.694444444444439</v>
      </c>
      <c r="J14">
        <v>88.194444444444443</v>
      </c>
      <c r="K14">
        <v>82.638888888888886</v>
      </c>
      <c r="L14">
        <v>86.111111111111114</v>
      </c>
      <c r="M14">
        <v>70.659722222222229</v>
      </c>
      <c r="N14">
        <v>13</v>
      </c>
      <c r="O14" t="s">
        <v>474</v>
      </c>
      <c r="P14" t="s">
        <v>474</v>
      </c>
      <c r="Q14">
        <v>108</v>
      </c>
      <c r="R14">
        <v>6.9826460573874496E-2</v>
      </c>
      <c r="S14" t="str">
        <f>IF(P14=d_선택!$B$9,E14+ROW()/1000000000,"")</f>
        <v/>
      </c>
    </row>
    <row r="15" spans="1:19">
      <c r="A15" t="s">
        <v>364</v>
      </c>
      <c r="B15" t="s">
        <v>475</v>
      </c>
      <c r="C15" t="s">
        <v>454</v>
      </c>
      <c r="D15" t="s">
        <v>455</v>
      </c>
      <c r="E15">
        <v>0.15482950207936241</v>
      </c>
      <c r="F15">
        <v>3.394166666666667</v>
      </c>
      <c r="G15">
        <v>0.39500587726262909</v>
      </c>
      <c r="H15">
        <v>6.0704167618881699E-2</v>
      </c>
      <c r="I15">
        <v>20.138888888888889</v>
      </c>
      <c r="J15">
        <v>66.666666666666671</v>
      </c>
      <c r="K15">
        <v>97.916666666666657</v>
      </c>
      <c r="L15">
        <v>97.2222222222222</v>
      </c>
      <c r="M15">
        <v>70.486111111111114</v>
      </c>
      <c r="N15">
        <v>14</v>
      </c>
      <c r="O15" t="s">
        <v>463</v>
      </c>
      <c r="P15" t="s">
        <v>463</v>
      </c>
      <c r="Q15">
        <v>116</v>
      </c>
      <c r="R15">
        <v>3.6866021694517803E-2</v>
      </c>
      <c r="S15" t="str">
        <f>IF(P15=d_선택!$B$9,E15+ROW()/1000000000,"")</f>
        <v/>
      </c>
    </row>
    <row r="16" spans="1:19">
      <c r="A16" t="s">
        <v>275</v>
      </c>
      <c r="B16" t="s">
        <v>476</v>
      </c>
      <c r="C16" t="s">
        <v>454</v>
      </c>
      <c r="D16" t="s">
        <v>455</v>
      </c>
      <c r="E16">
        <v>-0.14275355339853329</v>
      </c>
      <c r="F16">
        <v>3.9424999999999999</v>
      </c>
      <c r="G16">
        <v>0.43198754774175019</v>
      </c>
      <c r="H16">
        <v>6.0411271778086202E-2</v>
      </c>
      <c r="I16">
        <v>81.25</v>
      </c>
      <c r="J16">
        <v>6.944444444444442</v>
      </c>
      <c r="K16">
        <v>92.361111111111114</v>
      </c>
      <c r="L16">
        <v>97.916666666666657</v>
      </c>
      <c r="M16">
        <v>69.618055555555543</v>
      </c>
      <c r="N16">
        <v>15</v>
      </c>
      <c r="O16" t="s">
        <v>458</v>
      </c>
      <c r="P16" t="s">
        <v>458</v>
      </c>
      <c r="Q16">
        <v>27</v>
      </c>
      <c r="R16">
        <v>2.40864447792987E-2</v>
      </c>
      <c r="S16" t="str">
        <f>IF(P16=d_선택!$B$9,E16+ROW()/1000000000,"")</f>
        <v/>
      </c>
    </row>
    <row r="17" spans="1:19">
      <c r="A17" t="s">
        <v>283</v>
      </c>
      <c r="B17" t="s">
        <v>477</v>
      </c>
      <c r="C17" t="s">
        <v>454</v>
      </c>
      <c r="D17" t="s">
        <v>455</v>
      </c>
      <c r="E17">
        <v>-0.1184701290448608</v>
      </c>
      <c r="F17">
        <v>3.8191666666666659</v>
      </c>
      <c r="G17">
        <v>0.4160602820981481</v>
      </c>
      <c r="H17">
        <v>7.4309121067136302E-2</v>
      </c>
      <c r="I17">
        <v>75</v>
      </c>
      <c r="J17">
        <v>15.27777777777778</v>
      </c>
      <c r="K17">
        <v>95.138888888888886</v>
      </c>
      <c r="L17">
        <v>90.9722222222222</v>
      </c>
      <c r="M17">
        <v>69.097222222222214</v>
      </c>
      <c r="N17">
        <v>16</v>
      </c>
      <c r="O17" t="s">
        <v>458</v>
      </c>
      <c r="P17" t="s">
        <v>458</v>
      </c>
      <c r="Q17">
        <v>35</v>
      </c>
      <c r="R17">
        <v>2.2171356715256999E-2</v>
      </c>
      <c r="S17" t="str">
        <f>IF(P17=d_선택!$B$9,E17+ROW()/1000000000,"")</f>
        <v/>
      </c>
    </row>
    <row r="18" spans="1:19">
      <c r="A18" t="s">
        <v>258</v>
      </c>
      <c r="B18" t="s">
        <v>478</v>
      </c>
      <c r="C18" t="s">
        <v>454</v>
      </c>
      <c r="D18" t="s">
        <v>455</v>
      </c>
      <c r="E18">
        <v>-0.27913176976453069</v>
      </c>
      <c r="F18">
        <v>3.504166666666666</v>
      </c>
      <c r="G18">
        <v>0.50679992061717927</v>
      </c>
      <c r="H18">
        <v>8.7117224400787494E-2</v>
      </c>
      <c r="I18">
        <v>93.75</v>
      </c>
      <c r="J18">
        <v>56.944444444444443</v>
      </c>
      <c r="K18">
        <v>59.027777777777779</v>
      </c>
      <c r="L18">
        <v>65.277777777777786</v>
      </c>
      <c r="M18">
        <v>68.75</v>
      </c>
      <c r="N18">
        <v>17</v>
      </c>
      <c r="O18" t="s">
        <v>471</v>
      </c>
      <c r="P18" t="s">
        <v>471</v>
      </c>
      <c r="Q18">
        <v>9</v>
      </c>
      <c r="R18">
        <v>0.11813224378953199</v>
      </c>
      <c r="S18" t="str">
        <f>IF(P18=d_선택!$B$9,E18+ROW()/1000000000,"")</f>
        <v/>
      </c>
    </row>
    <row r="19" spans="1:19">
      <c r="A19" t="s">
        <v>392</v>
      </c>
      <c r="B19" t="s">
        <v>479</v>
      </c>
      <c r="C19" t="s">
        <v>460</v>
      </c>
      <c r="D19" t="s">
        <v>461</v>
      </c>
      <c r="E19">
        <v>1.9154919034416891</v>
      </c>
      <c r="F19">
        <v>2.9691666666666672</v>
      </c>
      <c r="G19">
        <v>0.38529746431075967</v>
      </c>
      <c r="H19">
        <v>7.7371686757070998E-2</v>
      </c>
      <c r="I19">
        <v>0.69444444444444198</v>
      </c>
      <c r="J19">
        <v>88.888888888888886</v>
      </c>
      <c r="K19">
        <v>99.305555555555557</v>
      </c>
      <c r="L19">
        <v>84.722222222222214</v>
      </c>
      <c r="M19">
        <v>68.402777777777771</v>
      </c>
      <c r="N19">
        <v>18</v>
      </c>
      <c r="O19" t="s">
        <v>474</v>
      </c>
      <c r="P19" t="s">
        <v>474</v>
      </c>
      <c r="Q19">
        <v>144</v>
      </c>
      <c r="R19">
        <v>5.3517156707577999E-3</v>
      </c>
      <c r="S19" t="str">
        <f>IF(P19=d_선택!$B$9,E19+ROW()/1000000000,"")</f>
        <v/>
      </c>
    </row>
    <row r="20" spans="1:19">
      <c r="A20" t="s">
        <v>345</v>
      </c>
      <c r="B20" t="s">
        <v>480</v>
      </c>
      <c r="C20" t="s">
        <v>454</v>
      </c>
      <c r="D20" t="s">
        <v>455</v>
      </c>
      <c r="E20">
        <v>7.0657289934012907E-2</v>
      </c>
      <c r="F20">
        <v>3.4866666666666668</v>
      </c>
      <c r="G20">
        <v>0.43025736322777119</v>
      </c>
      <c r="H20">
        <v>7.5692804252087603E-2</v>
      </c>
      <c r="I20">
        <v>33.333333333333343</v>
      </c>
      <c r="J20">
        <v>58.680555555555557</v>
      </c>
      <c r="K20">
        <v>93.055555555555557</v>
      </c>
      <c r="L20">
        <v>87.5</v>
      </c>
      <c r="M20">
        <v>68.142361111111114</v>
      </c>
      <c r="N20">
        <v>19</v>
      </c>
      <c r="O20" t="s">
        <v>463</v>
      </c>
      <c r="P20" t="s">
        <v>463</v>
      </c>
      <c r="Q20">
        <v>97</v>
      </c>
      <c r="R20">
        <v>2.6445657670320699E-2</v>
      </c>
      <c r="S20" t="str">
        <f>IF(P20=d_선택!$B$9,E20+ROW()/1000000000,"")</f>
        <v/>
      </c>
    </row>
    <row r="21" spans="1:19">
      <c r="A21" t="s">
        <v>259</v>
      </c>
      <c r="B21" t="s">
        <v>481</v>
      </c>
      <c r="C21" t="s">
        <v>454</v>
      </c>
      <c r="D21" t="s">
        <v>455</v>
      </c>
      <c r="E21">
        <v>-0.27329137791728231</v>
      </c>
      <c r="F21">
        <v>3.8591666666666669</v>
      </c>
      <c r="G21">
        <v>0.46274291388953831</v>
      </c>
      <c r="H21">
        <v>7.9228706212855299E-2</v>
      </c>
      <c r="I21">
        <v>93.055555555555557</v>
      </c>
      <c r="J21">
        <v>13.194444444444439</v>
      </c>
      <c r="K21">
        <v>81.944444444444443</v>
      </c>
      <c r="L21">
        <v>79.861111111111114</v>
      </c>
      <c r="M21">
        <v>67.013888888888886</v>
      </c>
      <c r="N21">
        <v>20</v>
      </c>
      <c r="O21" t="s">
        <v>458</v>
      </c>
      <c r="P21" t="s">
        <v>458</v>
      </c>
      <c r="Q21">
        <v>10</v>
      </c>
      <c r="R21">
        <v>-2.4444037112121099E-2</v>
      </c>
      <c r="S21" t="str">
        <f>IF(P21=d_선택!$B$9,E21+ROW()/1000000000,"")</f>
        <v/>
      </c>
    </row>
    <row r="22" spans="1:19">
      <c r="A22" t="s">
        <v>265</v>
      </c>
      <c r="B22" t="s">
        <v>482</v>
      </c>
      <c r="C22" t="s">
        <v>454</v>
      </c>
      <c r="D22" t="s">
        <v>455</v>
      </c>
      <c r="E22">
        <v>-0.21094743120392631</v>
      </c>
      <c r="F22">
        <v>2.9116666666666662</v>
      </c>
      <c r="G22">
        <v>0.4933963242909894</v>
      </c>
      <c r="H22">
        <v>0.1052867596057189</v>
      </c>
      <c r="I22">
        <v>88.888888888888886</v>
      </c>
      <c r="J22">
        <v>89.930555555555557</v>
      </c>
      <c r="K22">
        <v>65.277777777777786</v>
      </c>
      <c r="L22">
        <v>22.222222222222221</v>
      </c>
      <c r="M22">
        <v>66.579861111111114</v>
      </c>
      <c r="N22">
        <v>21</v>
      </c>
      <c r="O22" t="s">
        <v>483</v>
      </c>
      <c r="P22" t="s">
        <v>483</v>
      </c>
      <c r="Q22">
        <v>16</v>
      </c>
      <c r="R22">
        <v>4.5373763175044803E-2</v>
      </c>
      <c r="S22">
        <f>IF(P22=d_선택!$B$9,E22+ROW()/1000000000,"")</f>
        <v>-0.21094740920392632</v>
      </c>
    </row>
    <row r="23" spans="1:19">
      <c r="A23" t="s">
        <v>343</v>
      </c>
      <c r="B23" t="s">
        <v>484</v>
      </c>
      <c r="C23" t="s">
        <v>460</v>
      </c>
      <c r="D23" t="s">
        <v>461</v>
      </c>
      <c r="E23">
        <v>5.8185203022466901E-2</v>
      </c>
      <c r="F23">
        <v>3.2483333333333331</v>
      </c>
      <c r="G23">
        <v>0.4919569860451265</v>
      </c>
      <c r="H23">
        <v>7.5441787822506504E-2</v>
      </c>
      <c r="I23">
        <v>34.722222222222221</v>
      </c>
      <c r="J23">
        <v>75.694444444444443</v>
      </c>
      <c r="K23">
        <v>67.361111111111114</v>
      </c>
      <c r="L23">
        <v>88.194444444444443</v>
      </c>
      <c r="M23">
        <v>66.493055555555557</v>
      </c>
      <c r="N23">
        <v>22</v>
      </c>
      <c r="O23" t="s">
        <v>485</v>
      </c>
      <c r="P23" t="s">
        <v>485</v>
      </c>
      <c r="Q23">
        <v>95</v>
      </c>
      <c r="R23">
        <v>9.5287900411220004E-3</v>
      </c>
      <c r="S23" t="str">
        <f>IF(P23=d_선택!$B$9,E23+ROW()/1000000000,"")</f>
        <v/>
      </c>
    </row>
    <row r="24" spans="1:19">
      <c r="A24" t="s">
        <v>295</v>
      </c>
      <c r="B24" t="s">
        <v>486</v>
      </c>
      <c r="C24" t="s">
        <v>454</v>
      </c>
      <c r="D24" t="s">
        <v>455</v>
      </c>
      <c r="E24">
        <v>-7.6926043088922799E-2</v>
      </c>
      <c r="F24">
        <v>3.5724999999999998</v>
      </c>
      <c r="G24">
        <v>0.47324548898324198</v>
      </c>
      <c r="H24">
        <v>8.3332352413329203E-2</v>
      </c>
      <c r="I24">
        <v>66.666666666666671</v>
      </c>
      <c r="J24">
        <v>44.444444444444443</v>
      </c>
      <c r="K24">
        <v>78.472222222222214</v>
      </c>
      <c r="L24">
        <v>73.611111111111114</v>
      </c>
      <c r="M24">
        <v>65.798611111111114</v>
      </c>
      <c r="N24">
        <v>23</v>
      </c>
      <c r="O24" t="s">
        <v>487</v>
      </c>
      <c r="P24" t="s">
        <v>487</v>
      </c>
      <c r="Q24">
        <v>47</v>
      </c>
      <c r="R24">
        <v>-2.0459817007899002E-3</v>
      </c>
      <c r="S24" t="str">
        <f>IF(P24=d_선택!$B$9,E24+ROW()/1000000000,"")</f>
        <v/>
      </c>
    </row>
    <row r="25" spans="1:19">
      <c r="A25" t="s">
        <v>288</v>
      </c>
      <c r="B25" t="s">
        <v>488</v>
      </c>
      <c r="C25" t="s">
        <v>454</v>
      </c>
      <c r="D25" t="s">
        <v>455</v>
      </c>
      <c r="E25">
        <v>-0.10585474079955801</v>
      </c>
      <c r="F25">
        <v>3.36</v>
      </c>
      <c r="G25">
        <v>0.4933256791742584</v>
      </c>
      <c r="H25">
        <v>9.1103505612735003E-2</v>
      </c>
      <c r="I25">
        <v>71.527777777777786</v>
      </c>
      <c r="J25">
        <v>69.097222222222214</v>
      </c>
      <c r="K25">
        <v>65.972222222222214</v>
      </c>
      <c r="L25">
        <v>55.555555555555557</v>
      </c>
      <c r="M25">
        <v>65.538194444444443</v>
      </c>
      <c r="N25">
        <v>24</v>
      </c>
      <c r="P25" t="s">
        <v>489</v>
      </c>
      <c r="Q25">
        <v>40</v>
      </c>
      <c r="R25">
        <v>1.0315482795552699E-2</v>
      </c>
      <c r="S25" t="str">
        <f>IF(P25=d_선택!$B$9,E25+ROW()/1000000000,"")</f>
        <v/>
      </c>
    </row>
    <row r="26" spans="1:19">
      <c r="A26" t="s">
        <v>302</v>
      </c>
      <c r="B26" t="s">
        <v>490</v>
      </c>
      <c r="C26" t="s">
        <v>454</v>
      </c>
      <c r="D26" t="s">
        <v>455</v>
      </c>
      <c r="E26">
        <v>-5.83671344652213E-2</v>
      </c>
      <c r="F26">
        <v>3.9283333333333328</v>
      </c>
      <c r="G26">
        <v>0.42745811923800159</v>
      </c>
      <c r="H26">
        <v>6.8353788712762195E-2</v>
      </c>
      <c r="I26">
        <v>61.805555555555557</v>
      </c>
      <c r="J26">
        <v>8.3333333333333375</v>
      </c>
      <c r="K26">
        <v>93.75</v>
      </c>
      <c r="L26">
        <v>95.833333333333343</v>
      </c>
      <c r="M26">
        <v>64.930555555555571</v>
      </c>
      <c r="N26">
        <v>25</v>
      </c>
      <c r="O26" t="s">
        <v>463</v>
      </c>
      <c r="P26" t="s">
        <v>463</v>
      </c>
      <c r="Q26">
        <v>54</v>
      </c>
      <c r="R26">
        <v>2.76143801478709E-2</v>
      </c>
      <c r="S26" t="str">
        <f>IF(P26=d_선택!$B$9,E26+ROW()/1000000000,"")</f>
        <v/>
      </c>
    </row>
    <row r="27" spans="1:19">
      <c r="A27" t="s">
        <v>289</v>
      </c>
      <c r="B27" t="s">
        <v>491</v>
      </c>
      <c r="C27" t="s">
        <v>454</v>
      </c>
      <c r="D27" t="s">
        <v>455</v>
      </c>
      <c r="E27">
        <v>-9.7788070995580803E-2</v>
      </c>
      <c r="F27">
        <v>3.5933333333333328</v>
      </c>
      <c r="G27">
        <v>0.48778660059243423</v>
      </c>
      <c r="H27">
        <v>8.1899442747171897E-2</v>
      </c>
      <c r="I27">
        <v>70.833333333333329</v>
      </c>
      <c r="J27">
        <v>38.194444444444443</v>
      </c>
      <c r="K27">
        <v>72.222222222222214</v>
      </c>
      <c r="L27">
        <v>77.777777777777786</v>
      </c>
      <c r="M27">
        <v>64.756944444444443</v>
      </c>
      <c r="N27">
        <v>26</v>
      </c>
      <c r="O27" t="s">
        <v>492</v>
      </c>
      <c r="P27" t="s">
        <v>492</v>
      </c>
      <c r="Q27">
        <v>41</v>
      </c>
      <c r="R27">
        <v>4.8595409376370503E-2</v>
      </c>
      <c r="S27" t="str">
        <f>IF(P27=d_선택!$B$9,E27+ROW()/1000000000,"")</f>
        <v/>
      </c>
    </row>
    <row r="28" spans="1:19">
      <c r="A28" t="s">
        <v>282</v>
      </c>
      <c r="B28" t="s">
        <v>493</v>
      </c>
      <c r="C28" t="s">
        <v>460</v>
      </c>
      <c r="D28" t="s">
        <v>461</v>
      </c>
      <c r="E28">
        <v>-0.1185640116007107</v>
      </c>
      <c r="F28">
        <v>3.37</v>
      </c>
      <c r="G28">
        <v>0.49692915327403098</v>
      </c>
      <c r="H28">
        <v>9.1701751353486904E-2</v>
      </c>
      <c r="I28">
        <v>75.694444444444443</v>
      </c>
      <c r="J28">
        <v>67.361111111111114</v>
      </c>
      <c r="K28">
        <v>63.194444444444443</v>
      </c>
      <c r="L28">
        <v>52.083333333333329</v>
      </c>
      <c r="M28">
        <v>64.583333333333329</v>
      </c>
      <c r="N28">
        <v>27</v>
      </c>
      <c r="O28" t="s">
        <v>471</v>
      </c>
      <c r="P28" t="s">
        <v>471</v>
      </c>
      <c r="Q28">
        <v>34</v>
      </c>
      <c r="R28">
        <v>0.15880335796355749</v>
      </c>
      <c r="S28" t="str">
        <f>IF(P28=d_선택!$B$9,E28+ROW()/1000000000,"")</f>
        <v/>
      </c>
    </row>
    <row r="29" spans="1:19">
      <c r="A29" t="s">
        <v>340</v>
      </c>
      <c r="B29" t="s">
        <v>494</v>
      </c>
      <c r="C29" t="s">
        <v>454</v>
      </c>
      <c r="D29" t="s">
        <v>455</v>
      </c>
      <c r="E29">
        <v>3.1150852845191299E-2</v>
      </c>
      <c r="F29">
        <v>3.5716666666666672</v>
      </c>
      <c r="G29">
        <v>0.4414691607429444</v>
      </c>
      <c r="H29">
        <v>7.6537162138274203E-2</v>
      </c>
      <c r="I29">
        <v>36.805555555555557</v>
      </c>
      <c r="J29">
        <v>45.138888888888893</v>
      </c>
      <c r="K29">
        <v>89.583333333333343</v>
      </c>
      <c r="L29">
        <v>86.805555555555557</v>
      </c>
      <c r="M29">
        <v>64.583333333333329</v>
      </c>
      <c r="N29">
        <v>27</v>
      </c>
      <c r="O29" t="s">
        <v>463</v>
      </c>
      <c r="P29" t="s">
        <v>463</v>
      </c>
      <c r="Q29">
        <v>92</v>
      </c>
      <c r="R29">
        <v>2.7587478784814899E-2</v>
      </c>
      <c r="S29" t="str">
        <f>IF(P29=d_선택!$B$9,E29+ROW()/1000000000,"")</f>
        <v/>
      </c>
    </row>
    <row r="30" spans="1:19">
      <c r="A30" t="s">
        <v>260</v>
      </c>
      <c r="B30" t="s">
        <v>495</v>
      </c>
      <c r="C30" t="s">
        <v>454</v>
      </c>
      <c r="D30" t="s">
        <v>455</v>
      </c>
      <c r="E30">
        <v>-0.24593867936641889</v>
      </c>
      <c r="F30">
        <v>2.5575000000000001</v>
      </c>
      <c r="G30">
        <v>0.51937104872457507</v>
      </c>
      <c r="H30">
        <v>0.1094882645708198</v>
      </c>
      <c r="I30">
        <v>92.361111111111114</v>
      </c>
      <c r="J30">
        <v>98.611111111111114</v>
      </c>
      <c r="K30">
        <v>49.305555555555557</v>
      </c>
      <c r="L30">
        <v>15.27777777777778</v>
      </c>
      <c r="M30">
        <v>63.888888888888893</v>
      </c>
      <c r="N30">
        <v>29</v>
      </c>
      <c r="O30" t="s">
        <v>483</v>
      </c>
      <c r="P30" t="s">
        <v>483</v>
      </c>
      <c r="Q30">
        <v>11</v>
      </c>
      <c r="R30">
        <v>2.6429654216712801E-2</v>
      </c>
      <c r="S30">
        <f>IF(P30=d_선택!$B$9,E30+ROW()/1000000000,"")</f>
        <v>-0.24593864936641888</v>
      </c>
    </row>
    <row r="31" spans="1:19">
      <c r="A31" t="s">
        <v>253</v>
      </c>
      <c r="B31" t="s">
        <v>496</v>
      </c>
      <c r="C31" t="s">
        <v>460</v>
      </c>
      <c r="D31" t="s">
        <v>461</v>
      </c>
      <c r="E31">
        <v>-0.40901929726670561</v>
      </c>
      <c r="F31">
        <v>3.8233333333333328</v>
      </c>
      <c r="G31">
        <v>0.48806704626290681</v>
      </c>
      <c r="H31">
        <v>8.5904911034911796E-2</v>
      </c>
      <c r="I31">
        <v>97.2222222222222</v>
      </c>
      <c r="J31">
        <v>14.583333333333339</v>
      </c>
      <c r="K31">
        <v>71.527777777777786</v>
      </c>
      <c r="L31">
        <v>67.361111111111114</v>
      </c>
      <c r="M31">
        <v>62.673611111111107</v>
      </c>
      <c r="N31">
        <v>30</v>
      </c>
      <c r="O31" t="s">
        <v>471</v>
      </c>
      <c r="P31" t="s">
        <v>471</v>
      </c>
      <c r="Q31">
        <v>4</v>
      </c>
      <c r="R31">
        <v>3.37000672204264E-2</v>
      </c>
      <c r="S31" t="str">
        <f>IF(P31=d_선택!$B$9,E31+ROW()/1000000000,"")</f>
        <v/>
      </c>
    </row>
    <row r="32" spans="1:19">
      <c r="A32" t="s">
        <v>316</v>
      </c>
      <c r="B32" t="s">
        <v>497</v>
      </c>
      <c r="C32" t="s">
        <v>454</v>
      </c>
      <c r="D32" t="s">
        <v>455</v>
      </c>
      <c r="E32">
        <v>-3.0407857351873499E-2</v>
      </c>
      <c r="F32">
        <v>2.9033333333333342</v>
      </c>
      <c r="G32">
        <v>0.50756901824225098</v>
      </c>
      <c r="H32">
        <v>9.5087457389907898E-2</v>
      </c>
      <c r="I32">
        <v>53.472222222222221</v>
      </c>
      <c r="J32">
        <v>90.9722222222222</v>
      </c>
      <c r="K32">
        <v>58.333333333333329</v>
      </c>
      <c r="L32">
        <v>45.138888888888893</v>
      </c>
      <c r="M32">
        <v>61.979166666666657</v>
      </c>
      <c r="N32">
        <v>31</v>
      </c>
      <c r="O32" t="s">
        <v>178</v>
      </c>
      <c r="P32" t="s">
        <v>178</v>
      </c>
      <c r="Q32">
        <v>68</v>
      </c>
      <c r="R32">
        <v>2.6076693579052401E-2</v>
      </c>
      <c r="S32" t="str">
        <f>IF(P32=d_선택!$B$9,E32+ROW()/1000000000,"")</f>
        <v/>
      </c>
    </row>
    <row r="33" spans="1:19">
      <c r="A33" t="s">
        <v>321</v>
      </c>
      <c r="B33" t="s">
        <v>498</v>
      </c>
      <c r="C33" t="s">
        <v>454</v>
      </c>
      <c r="D33" t="s">
        <v>455</v>
      </c>
      <c r="E33">
        <v>-2.0713251777050402E-2</v>
      </c>
      <c r="F33">
        <v>4.0258333333333338</v>
      </c>
      <c r="G33">
        <v>0.40946832537149508</v>
      </c>
      <c r="H33">
        <v>7.3711972239249093E-2</v>
      </c>
      <c r="I33">
        <v>50</v>
      </c>
      <c r="J33">
        <v>4.861111111111116</v>
      </c>
      <c r="K33">
        <v>97.2222222222222</v>
      </c>
      <c r="L33">
        <v>93.055555555555557</v>
      </c>
      <c r="M33">
        <v>61.284722222222207</v>
      </c>
      <c r="N33">
        <v>32</v>
      </c>
      <c r="O33" t="s">
        <v>463</v>
      </c>
      <c r="P33" t="s">
        <v>463</v>
      </c>
      <c r="Q33">
        <v>73</v>
      </c>
      <c r="R33">
        <v>-8.8756494870190009E-3</v>
      </c>
      <c r="S33" t="str">
        <f>IF(P33=d_선택!$B$9,E33+ROW()/1000000000,"")</f>
        <v/>
      </c>
    </row>
    <row r="34" spans="1:19">
      <c r="A34" t="s">
        <v>371</v>
      </c>
      <c r="B34" t="s">
        <v>499</v>
      </c>
      <c r="C34" t="s">
        <v>460</v>
      </c>
      <c r="D34" t="s">
        <v>461</v>
      </c>
      <c r="E34">
        <v>0.23198098388741051</v>
      </c>
      <c r="F34">
        <v>3.6433333333333331</v>
      </c>
      <c r="G34">
        <v>0.41089058029389708</v>
      </c>
      <c r="H34">
        <v>5.8806880181108898E-2</v>
      </c>
      <c r="I34">
        <v>15.27777777777778</v>
      </c>
      <c r="J34">
        <v>34.375</v>
      </c>
      <c r="K34">
        <v>96.5277777777778</v>
      </c>
      <c r="L34">
        <v>98.611111111111114</v>
      </c>
      <c r="M34">
        <v>61.197916666666671</v>
      </c>
      <c r="N34">
        <v>33</v>
      </c>
      <c r="O34" t="s">
        <v>463</v>
      </c>
      <c r="P34" t="s">
        <v>463</v>
      </c>
      <c r="Q34">
        <v>123</v>
      </c>
      <c r="R34">
        <v>-6.2075363178581401E-2</v>
      </c>
      <c r="S34" t="str">
        <f>IF(P34=d_선택!$B$9,E34+ROW()/1000000000,"")</f>
        <v/>
      </c>
    </row>
    <row r="35" spans="1:19">
      <c r="A35" t="s">
        <v>269</v>
      </c>
      <c r="B35" t="s">
        <v>500</v>
      </c>
      <c r="C35" t="s">
        <v>460</v>
      </c>
      <c r="D35" t="s">
        <v>461</v>
      </c>
      <c r="E35">
        <v>-0.18138863819857809</v>
      </c>
      <c r="F35">
        <v>3.754166666666666</v>
      </c>
      <c r="G35">
        <v>0.49155068956747489</v>
      </c>
      <c r="H35">
        <v>8.45259439742264E-2</v>
      </c>
      <c r="I35">
        <v>86.111111111111114</v>
      </c>
      <c r="J35">
        <v>19.791666666666661</v>
      </c>
      <c r="K35">
        <v>68.055555555555557</v>
      </c>
      <c r="L35">
        <v>70.138888888888886</v>
      </c>
      <c r="M35">
        <v>61.02430555555555</v>
      </c>
      <c r="N35">
        <v>34</v>
      </c>
      <c r="O35" t="s">
        <v>471</v>
      </c>
      <c r="P35" t="s">
        <v>471</v>
      </c>
      <c r="Q35">
        <v>20</v>
      </c>
      <c r="R35">
        <v>4.1048266954868802E-2</v>
      </c>
      <c r="S35" t="str">
        <f>IF(P35=d_선택!$B$9,E35+ROW()/1000000000,"")</f>
        <v/>
      </c>
    </row>
    <row r="36" spans="1:19">
      <c r="A36" t="s">
        <v>344</v>
      </c>
      <c r="B36" t="s">
        <v>501</v>
      </c>
      <c r="C36" t="s">
        <v>460</v>
      </c>
      <c r="D36" t="s">
        <v>461</v>
      </c>
      <c r="E36">
        <v>6.25939227533161E-2</v>
      </c>
      <c r="F36">
        <v>3.3433333333333328</v>
      </c>
      <c r="G36">
        <v>0.49645869698919992</v>
      </c>
      <c r="H36">
        <v>8.3575258412967202E-2</v>
      </c>
      <c r="I36">
        <v>34.027777777777779</v>
      </c>
      <c r="J36">
        <v>70.138888888888886</v>
      </c>
      <c r="K36">
        <v>63.888888888888893</v>
      </c>
      <c r="L36">
        <v>72.916666666666671</v>
      </c>
      <c r="M36">
        <v>60.243055555555557</v>
      </c>
      <c r="N36">
        <v>35</v>
      </c>
      <c r="P36" t="s">
        <v>489</v>
      </c>
      <c r="Q36">
        <v>96</v>
      </c>
      <c r="R36">
        <v>8.2418278096088898E-2</v>
      </c>
      <c r="S36" t="str">
        <f>IF(P36=d_선택!$B$9,E36+ROW()/1000000000,"")</f>
        <v/>
      </c>
    </row>
    <row r="37" spans="1:19">
      <c r="A37" t="s">
        <v>310</v>
      </c>
      <c r="B37" t="s">
        <v>502</v>
      </c>
      <c r="C37" t="s">
        <v>454</v>
      </c>
      <c r="D37" t="s">
        <v>455</v>
      </c>
      <c r="E37">
        <v>-4.2328009642522098E-2</v>
      </c>
      <c r="F37">
        <v>3.6766666666666659</v>
      </c>
      <c r="G37">
        <v>0.47896044070835597</v>
      </c>
      <c r="H37">
        <v>7.8596348451067E-2</v>
      </c>
      <c r="I37">
        <v>56.25</v>
      </c>
      <c r="J37">
        <v>26.388888888888889</v>
      </c>
      <c r="K37">
        <v>75.694444444444443</v>
      </c>
      <c r="L37">
        <v>81.944444444444443</v>
      </c>
      <c r="M37">
        <v>60.069444444444443</v>
      </c>
      <c r="N37">
        <v>36</v>
      </c>
      <c r="O37" t="s">
        <v>463</v>
      </c>
      <c r="P37" t="s">
        <v>463</v>
      </c>
      <c r="Q37">
        <v>62</v>
      </c>
      <c r="R37">
        <v>4.1929041239245401E-2</v>
      </c>
      <c r="S37" t="str">
        <f>IF(P37=d_선택!$B$9,E37+ROW()/1000000000,"")</f>
        <v/>
      </c>
    </row>
    <row r="38" spans="1:19">
      <c r="A38" t="s">
        <v>391</v>
      </c>
      <c r="B38" t="s">
        <v>503</v>
      </c>
      <c r="C38" t="s">
        <v>454</v>
      </c>
      <c r="D38" t="s">
        <v>455</v>
      </c>
      <c r="E38">
        <v>1.059401913408639</v>
      </c>
      <c r="F38">
        <v>3.5116666666666672</v>
      </c>
      <c r="G38">
        <v>0.43663308342328538</v>
      </c>
      <c r="H38">
        <v>7.5274123237757604E-2</v>
      </c>
      <c r="I38">
        <v>1.388888888888884</v>
      </c>
      <c r="J38">
        <v>55.555555555555557</v>
      </c>
      <c r="K38">
        <v>91.666666666666657</v>
      </c>
      <c r="L38">
        <v>89.583333333333343</v>
      </c>
      <c r="M38">
        <v>59.548611111111107</v>
      </c>
      <c r="N38">
        <v>37</v>
      </c>
      <c r="O38" t="s">
        <v>463</v>
      </c>
      <c r="P38" t="s">
        <v>463</v>
      </c>
      <c r="Q38">
        <v>143</v>
      </c>
      <c r="R38">
        <v>-1.3277777322997001E-3</v>
      </c>
      <c r="S38" t="str">
        <f>IF(P38=d_선택!$B$9,E38+ROW()/1000000000,"")</f>
        <v/>
      </c>
    </row>
    <row r="39" spans="1:19">
      <c r="A39" t="s">
        <v>264</v>
      </c>
      <c r="B39" t="s">
        <v>504</v>
      </c>
      <c r="C39" t="s">
        <v>454</v>
      </c>
      <c r="D39" t="s">
        <v>455</v>
      </c>
      <c r="E39">
        <v>-0.21621032699068449</v>
      </c>
      <c r="F39">
        <v>3.583333333333333</v>
      </c>
      <c r="G39">
        <v>0.53060354262798903</v>
      </c>
      <c r="H39">
        <v>8.7587734250145599E-2</v>
      </c>
      <c r="I39">
        <v>89.583333333333343</v>
      </c>
      <c r="J39">
        <v>40.972222222222221</v>
      </c>
      <c r="K39">
        <v>43.75</v>
      </c>
      <c r="L39">
        <v>63.194444444444443</v>
      </c>
      <c r="M39">
        <v>59.375</v>
      </c>
      <c r="N39">
        <v>38</v>
      </c>
      <c r="O39" t="s">
        <v>471</v>
      </c>
      <c r="P39" t="s">
        <v>471</v>
      </c>
      <c r="Q39">
        <v>15</v>
      </c>
      <c r="R39">
        <v>9.4297399105139901E-2</v>
      </c>
      <c r="S39" t="str">
        <f>IF(P39=d_선택!$B$9,E39+ROW()/1000000000,"")</f>
        <v/>
      </c>
    </row>
    <row r="40" spans="1:19">
      <c r="A40" t="s">
        <v>271</v>
      </c>
      <c r="B40" t="s">
        <v>505</v>
      </c>
      <c r="C40" t="s">
        <v>454</v>
      </c>
      <c r="D40" t="s">
        <v>455</v>
      </c>
      <c r="E40">
        <v>-0.1639310387468399</v>
      </c>
      <c r="F40">
        <v>4.3758333333333326</v>
      </c>
      <c r="G40">
        <v>0.47383965305524328</v>
      </c>
      <c r="H40">
        <v>8.2780352090073506E-2</v>
      </c>
      <c r="I40">
        <v>84.027777777777786</v>
      </c>
      <c r="J40">
        <v>0</v>
      </c>
      <c r="K40">
        <v>77.777777777777786</v>
      </c>
      <c r="L40">
        <v>75</v>
      </c>
      <c r="M40">
        <v>59.201388888888893</v>
      </c>
      <c r="N40">
        <v>39</v>
      </c>
      <c r="O40" t="s">
        <v>458</v>
      </c>
      <c r="P40" t="s">
        <v>458</v>
      </c>
      <c r="Q40">
        <v>23</v>
      </c>
      <c r="R40">
        <v>2.61757040517736E-2</v>
      </c>
      <c r="S40" t="str">
        <f>IF(P40=d_선택!$B$9,E40+ROW()/1000000000,"")</f>
        <v/>
      </c>
    </row>
    <row r="41" spans="1:19">
      <c r="A41" t="s">
        <v>287</v>
      </c>
      <c r="B41" t="s">
        <v>506</v>
      </c>
      <c r="C41" t="s">
        <v>454</v>
      </c>
      <c r="D41" t="s">
        <v>455</v>
      </c>
      <c r="E41">
        <v>-0.1082457506465961</v>
      </c>
      <c r="F41">
        <v>3.129166666666666</v>
      </c>
      <c r="G41">
        <v>0.52657084613545324</v>
      </c>
      <c r="H41">
        <v>9.9612860104776199E-2</v>
      </c>
      <c r="I41">
        <v>72.222222222222214</v>
      </c>
      <c r="J41">
        <v>80.208333333333343</v>
      </c>
      <c r="K41">
        <v>47.916666666666657</v>
      </c>
      <c r="L41">
        <v>34.027777777777779</v>
      </c>
      <c r="M41">
        <v>58.593749999999993</v>
      </c>
      <c r="N41">
        <v>40</v>
      </c>
      <c r="O41" t="s">
        <v>178</v>
      </c>
      <c r="P41" t="s">
        <v>178</v>
      </c>
      <c r="Q41">
        <v>39</v>
      </c>
      <c r="R41">
        <v>1.20223698166894E-2</v>
      </c>
      <c r="S41" t="str">
        <f>IF(P41=d_선택!$B$9,E41+ROW()/1000000000,"")</f>
        <v/>
      </c>
    </row>
    <row r="42" spans="1:19">
      <c r="A42" t="s">
        <v>330</v>
      </c>
      <c r="B42" t="s">
        <v>507</v>
      </c>
      <c r="C42" t="s">
        <v>460</v>
      </c>
      <c r="D42" t="s">
        <v>461</v>
      </c>
      <c r="E42">
        <v>2.6013686491017001E-3</v>
      </c>
      <c r="F42">
        <v>3.0316666666666672</v>
      </c>
      <c r="G42">
        <v>0.50171274610231564</v>
      </c>
      <c r="H42">
        <v>9.7955216398204994E-2</v>
      </c>
      <c r="I42">
        <v>43.75</v>
      </c>
      <c r="J42">
        <v>87.5</v>
      </c>
      <c r="K42">
        <v>60.416666666666671</v>
      </c>
      <c r="L42">
        <v>39.583333333333343</v>
      </c>
      <c r="M42">
        <v>57.812500000000007</v>
      </c>
      <c r="N42">
        <v>41</v>
      </c>
      <c r="O42" t="s">
        <v>178</v>
      </c>
      <c r="P42" t="s">
        <v>178</v>
      </c>
      <c r="Q42">
        <v>82</v>
      </c>
      <c r="R42">
        <v>5.0928657778446601E-2</v>
      </c>
      <c r="S42" t="str">
        <f>IF(P42=d_선택!$B$9,E42+ROW()/1000000000,"")</f>
        <v/>
      </c>
    </row>
    <row r="43" spans="1:19">
      <c r="A43" t="s">
        <v>381</v>
      </c>
      <c r="B43" t="s">
        <v>508</v>
      </c>
      <c r="C43" t="s">
        <v>460</v>
      </c>
      <c r="D43" t="s">
        <v>461</v>
      </c>
      <c r="E43">
        <v>0.37334165584002149</v>
      </c>
      <c r="F43">
        <v>3.5091666666666672</v>
      </c>
      <c r="G43">
        <v>0.45615407349467468</v>
      </c>
      <c r="H43">
        <v>8.0589836596726305E-2</v>
      </c>
      <c r="I43">
        <v>8.3333333333333375</v>
      </c>
      <c r="J43">
        <v>56.25</v>
      </c>
      <c r="K43">
        <v>84.722222222222214</v>
      </c>
      <c r="L43">
        <v>79.166666666666657</v>
      </c>
      <c r="M43">
        <v>57.11805555555555</v>
      </c>
      <c r="N43">
        <v>42</v>
      </c>
      <c r="O43" t="s">
        <v>463</v>
      </c>
      <c r="P43" t="s">
        <v>463</v>
      </c>
      <c r="Q43">
        <v>133</v>
      </c>
      <c r="R43">
        <v>-4.5787803660997002E-3</v>
      </c>
      <c r="S43" t="str">
        <f>IF(P43=d_선택!$B$9,E43+ROW()/1000000000,"")</f>
        <v/>
      </c>
    </row>
    <row r="44" spans="1:19">
      <c r="A44" t="s">
        <v>294</v>
      </c>
      <c r="B44" t="s">
        <v>509</v>
      </c>
      <c r="C44" t="s">
        <v>454</v>
      </c>
      <c r="D44" t="s">
        <v>455</v>
      </c>
      <c r="E44">
        <v>-8.2145021137390001E-2</v>
      </c>
      <c r="F44">
        <v>3.0791666666666671</v>
      </c>
      <c r="G44">
        <v>0.51202945076543449</v>
      </c>
      <c r="H44">
        <v>0.1045072304697732</v>
      </c>
      <c r="I44">
        <v>67.361111111111114</v>
      </c>
      <c r="J44">
        <v>81.25</v>
      </c>
      <c r="K44">
        <v>55.555555555555557</v>
      </c>
      <c r="L44">
        <v>23.611111111111111</v>
      </c>
      <c r="M44">
        <v>56.94444444444445</v>
      </c>
      <c r="N44">
        <v>43</v>
      </c>
      <c r="O44" t="s">
        <v>178</v>
      </c>
      <c r="P44" t="s">
        <v>178</v>
      </c>
      <c r="Q44">
        <v>46</v>
      </c>
      <c r="R44">
        <v>4.7375724591036797E-2</v>
      </c>
      <c r="S44" t="str">
        <f>IF(P44=d_선택!$B$9,E44+ROW()/1000000000,"")</f>
        <v/>
      </c>
    </row>
    <row r="45" spans="1:19">
      <c r="A45" t="s">
        <v>278</v>
      </c>
      <c r="B45" t="s">
        <v>510</v>
      </c>
      <c r="C45" t="s">
        <v>454</v>
      </c>
      <c r="D45" t="s">
        <v>455</v>
      </c>
      <c r="E45">
        <v>-0.12751134741295639</v>
      </c>
      <c r="F45">
        <v>3.6549999999999998</v>
      </c>
      <c r="G45">
        <v>0.51550420984520828</v>
      </c>
      <c r="H45">
        <v>8.7353372858518005E-2</v>
      </c>
      <c r="I45">
        <v>78.472222222222214</v>
      </c>
      <c r="J45">
        <v>30.902777777777779</v>
      </c>
      <c r="K45">
        <v>53.472222222222221</v>
      </c>
      <c r="L45">
        <v>64.583333333333329</v>
      </c>
      <c r="M45">
        <v>56.857638888888893</v>
      </c>
      <c r="N45">
        <v>44</v>
      </c>
      <c r="O45" t="s">
        <v>471</v>
      </c>
      <c r="P45" t="s">
        <v>471</v>
      </c>
      <c r="Q45">
        <v>30</v>
      </c>
      <c r="R45">
        <v>8.2691536137425997E-3</v>
      </c>
      <c r="S45" t="str">
        <f>IF(P45=d_선택!$B$9,E45+ROW()/1000000000,"")</f>
        <v/>
      </c>
    </row>
    <row r="46" spans="1:19">
      <c r="A46" t="s">
        <v>370</v>
      </c>
      <c r="B46" t="s">
        <v>511</v>
      </c>
      <c r="C46" t="s">
        <v>454</v>
      </c>
      <c r="D46" t="s">
        <v>455</v>
      </c>
      <c r="E46">
        <v>0.21711276900379081</v>
      </c>
      <c r="F46">
        <v>3.1416666666666671</v>
      </c>
      <c r="G46">
        <v>0.50016340754472033</v>
      </c>
      <c r="H46">
        <v>8.4436474182074395E-2</v>
      </c>
      <c r="I46">
        <v>15.97222222222222</v>
      </c>
      <c r="J46">
        <v>79.166666666666657</v>
      </c>
      <c r="K46">
        <v>61.111111111111107</v>
      </c>
      <c r="L46">
        <v>70.833333333333329</v>
      </c>
      <c r="M46">
        <v>56.770833333333329</v>
      </c>
      <c r="N46">
        <v>45</v>
      </c>
      <c r="O46" t="s">
        <v>178</v>
      </c>
      <c r="P46" t="s">
        <v>178</v>
      </c>
      <c r="Q46">
        <v>122</v>
      </c>
      <c r="R46">
        <v>3.0549962025216001E-3</v>
      </c>
      <c r="S46" t="str">
        <f>IF(P46=d_선택!$B$9,E46+ROW()/1000000000,"")</f>
        <v/>
      </c>
    </row>
    <row r="47" spans="1:19">
      <c r="A47" t="s">
        <v>303</v>
      </c>
      <c r="B47" t="s">
        <v>512</v>
      </c>
      <c r="C47" t="s">
        <v>454</v>
      </c>
      <c r="D47" t="s">
        <v>455</v>
      </c>
      <c r="E47">
        <v>-5.0010826506613697E-2</v>
      </c>
      <c r="F47">
        <v>3.4841666666666669</v>
      </c>
      <c r="G47">
        <v>0.4855987237266195</v>
      </c>
      <c r="H47">
        <v>0.10087622625898179</v>
      </c>
      <c r="I47">
        <v>61.111111111111107</v>
      </c>
      <c r="J47">
        <v>59.722222222222221</v>
      </c>
      <c r="K47">
        <v>73.611111111111114</v>
      </c>
      <c r="L47">
        <v>31.25</v>
      </c>
      <c r="M47">
        <v>56.423611111111107</v>
      </c>
      <c r="N47">
        <v>46</v>
      </c>
      <c r="P47" t="s">
        <v>489</v>
      </c>
      <c r="Q47">
        <v>55</v>
      </c>
      <c r="R47">
        <v>0.1505746191165768</v>
      </c>
      <c r="S47" t="str">
        <f>IF(P47=d_선택!$B$9,E47+ROW()/1000000000,"")</f>
        <v/>
      </c>
    </row>
    <row r="48" spans="1:19">
      <c r="A48" t="s">
        <v>251</v>
      </c>
      <c r="B48" t="s">
        <v>513</v>
      </c>
      <c r="C48" t="s">
        <v>460</v>
      </c>
      <c r="D48" t="s">
        <v>461</v>
      </c>
      <c r="E48">
        <v>-0.52077364435063067</v>
      </c>
      <c r="F48">
        <v>2.624166666666667</v>
      </c>
      <c r="G48">
        <v>0.56327020501584024</v>
      </c>
      <c r="H48">
        <v>0.1224509313983882</v>
      </c>
      <c r="I48">
        <v>98.611111111111114</v>
      </c>
      <c r="J48">
        <v>95.833333333333343</v>
      </c>
      <c r="K48">
        <v>23.611111111111111</v>
      </c>
      <c r="L48">
        <v>6.25</v>
      </c>
      <c r="M48">
        <v>56.076388888888893</v>
      </c>
      <c r="N48">
        <v>47</v>
      </c>
      <c r="O48" t="s">
        <v>483</v>
      </c>
      <c r="P48" t="s">
        <v>483</v>
      </c>
      <c r="Q48">
        <v>2</v>
      </c>
      <c r="R48">
        <v>7.8962407533765794E-2</v>
      </c>
      <c r="S48">
        <f>IF(P48=d_선택!$B$9,E48+ROW()/1000000000,"")</f>
        <v>-0.5207735963506307</v>
      </c>
    </row>
    <row r="49" spans="1:19">
      <c r="A49" t="s">
        <v>385</v>
      </c>
      <c r="B49" t="s">
        <v>514</v>
      </c>
      <c r="C49" t="s">
        <v>454</v>
      </c>
      <c r="D49" t="s">
        <v>455</v>
      </c>
      <c r="E49">
        <v>0.63435205728603572</v>
      </c>
      <c r="F49">
        <v>3.564166666666666</v>
      </c>
      <c r="G49">
        <v>0.44408228766229058</v>
      </c>
      <c r="H49">
        <v>7.8552230489000396E-2</v>
      </c>
      <c r="I49">
        <v>5.555555555555558</v>
      </c>
      <c r="J49">
        <v>47.916666666666657</v>
      </c>
      <c r="K49">
        <v>88.194444444444443</v>
      </c>
      <c r="L49">
        <v>82.638888888888886</v>
      </c>
      <c r="M49">
        <v>56.076388888888893</v>
      </c>
      <c r="N49">
        <v>48</v>
      </c>
      <c r="O49" t="s">
        <v>463</v>
      </c>
      <c r="P49" t="s">
        <v>463</v>
      </c>
      <c r="Q49">
        <v>137</v>
      </c>
      <c r="R49">
        <v>5.9673682004134998E-3</v>
      </c>
      <c r="S49" t="str">
        <f>IF(P49=d_선택!$B$9,E49+ROW()/1000000000,"")</f>
        <v/>
      </c>
    </row>
    <row r="50" spans="1:19">
      <c r="A50" t="s">
        <v>331</v>
      </c>
      <c r="B50" t="s">
        <v>515</v>
      </c>
      <c r="C50" t="s">
        <v>454</v>
      </c>
      <c r="D50" t="s">
        <v>455</v>
      </c>
      <c r="E50">
        <v>4.8907167069869003E-3</v>
      </c>
      <c r="F50">
        <v>2.7683333333333331</v>
      </c>
      <c r="G50">
        <v>0.50658698875510444</v>
      </c>
      <c r="H50">
        <v>0.1029008141567308</v>
      </c>
      <c r="I50">
        <v>43.055555555555557</v>
      </c>
      <c r="J50">
        <v>93.75</v>
      </c>
      <c r="K50">
        <v>59.722222222222221</v>
      </c>
      <c r="L50">
        <v>27.083333333333339</v>
      </c>
      <c r="M50">
        <v>55.902777777777779</v>
      </c>
      <c r="N50">
        <v>49</v>
      </c>
      <c r="O50" t="s">
        <v>178</v>
      </c>
      <c r="P50" t="s">
        <v>178</v>
      </c>
      <c r="Q50">
        <v>83</v>
      </c>
      <c r="R50">
        <v>-2.7983290182827501E-2</v>
      </c>
      <c r="S50" t="str">
        <f>IF(P50=d_선택!$B$9,E50+ROW()/1000000000,"")</f>
        <v/>
      </c>
    </row>
    <row r="51" spans="1:19">
      <c r="A51" t="s">
        <v>297</v>
      </c>
      <c r="B51" t="s">
        <v>516</v>
      </c>
      <c r="C51" t="s">
        <v>460</v>
      </c>
      <c r="D51" t="s">
        <v>461</v>
      </c>
      <c r="E51">
        <v>-7.1774920426065106E-2</v>
      </c>
      <c r="F51">
        <v>3.3266666666666671</v>
      </c>
      <c r="G51">
        <v>0.54262442535618061</v>
      </c>
      <c r="H51">
        <v>9.3432725072535999E-2</v>
      </c>
      <c r="I51">
        <v>65.277777777777786</v>
      </c>
      <c r="J51">
        <v>71.527777777777786</v>
      </c>
      <c r="K51">
        <v>34.722222222222221</v>
      </c>
      <c r="L51">
        <v>48.611111111111107</v>
      </c>
      <c r="M51">
        <v>55.034722222222229</v>
      </c>
      <c r="N51">
        <v>50</v>
      </c>
      <c r="P51" t="s">
        <v>489</v>
      </c>
      <c r="Q51">
        <v>49</v>
      </c>
      <c r="R51">
        <v>5.7484409559583602E-2</v>
      </c>
      <c r="S51" t="str">
        <f>IF(P51=d_선택!$B$9,E51+ROW()/1000000000,"")</f>
        <v/>
      </c>
    </row>
    <row r="52" spans="1:19">
      <c r="A52" t="s">
        <v>277</v>
      </c>
      <c r="B52" t="s">
        <v>517</v>
      </c>
      <c r="C52" t="s">
        <v>454</v>
      </c>
      <c r="D52" t="s">
        <v>455</v>
      </c>
      <c r="E52">
        <v>-0.12771352827226989</v>
      </c>
      <c r="F52">
        <v>3.36</v>
      </c>
      <c r="G52">
        <v>0.53514607297530847</v>
      </c>
      <c r="H52">
        <v>0.1004674619521414</v>
      </c>
      <c r="I52">
        <v>79.166666666666657</v>
      </c>
      <c r="J52">
        <v>69.097222222222214</v>
      </c>
      <c r="K52">
        <v>39.583333333333343</v>
      </c>
      <c r="L52">
        <v>31.944444444444439</v>
      </c>
      <c r="M52">
        <v>54.947916666666657</v>
      </c>
      <c r="N52">
        <v>51</v>
      </c>
      <c r="O52" t="s">
        <v>471</v>
      </c>
      <c r="P52" t="s">
        <v>471</v>
      </c>
      <c r="Q52">
        <v>29</v>
      </c>
      <c r="R52">
        <v>8.6213096963042996E-2</v>
      </c>
      <c r="S52" t="str">
        <f>IF(P52=d_선택!$B$9,E52+ROW()/1000000000,"")</f>
        <v/>
      </c>
    </row>
    <row r="53" spans="1:19">
      <c r="A53" t="s">
        <v>306</v>
      </c>
      <c r="B53" t="s">
        <v>518</v>
      </c>
      <c r="C53" t="s">
        <v>454</v>
      </c>
      <c r="D53" t="s">
        <v>455</v>
      </c>
      <c r="E53">
        <v>-4.7412134022171398E-2</v>
      </c>
      <c r="F53">
        <v>2.4725000000000001</v>
      </c>
      <c r="G53">
        <v>0.53896734670162472</v>
      </c>
      <c r="H53">
        <v>0.1040022761667434</v>
      </c>
      <c r="I53">
        <v>59.027777777777779</v>
      </c>
      <c r="J53">
        <v>99.305555555555557</v>
      </c>
      <c r="K53">
        <v>36.111111111111107</v>
      </c>
      <c r="L53">
        <v>25</v>
      </c>
      <c r="M53">
        <v>54.861111111111107</v>
      </c>
      <c r="N53">
        <v>52</v>
      </c>
      <c r="O53" t="s">
        <v>178</v>
      </c>
      <c r="P53" t="s">
        <v>178</v>
      </c>
      <c r="Q53">
        <v>58</v>
      </c>
      <c r="R53">
        <v>0.1573678745761688</v>
      </c>
      <c r="S53" t="str">
        <f>IF(P53=d_선택!$B$9,E53+ROW()/1000000000,"")</f>
        <v/>
      </c>
    </row>
    <row r="54" spans="1:19">
      <c r="A54" t="s">
        <v>250</v>
      </c>
      <c r="B54" t="s">
        <v>519</v>
      </c>
      <c r="C54" t="s">
        <v>454</v>
      </c>
      <c r="D54" t="s">
        <v>455</v>
      </c>
      <c r="E54">
        <v>-0.53918032157257934</v>
      </c>
      <c r="F54">
        <v>3.0575000000000001</v>
      </c>
      <c r="G54">
        <v>0.55459231826914324</v>
      </c>
      <c r="H54">
        <v>0.12008185668734229</v>
      </c>
      <c r="I54">
        <v>99.305555555555557</v>
      </c>
      <c r="J54">
        <v>84.722222222222214</v>
      </c>
      <c r="K54">
        <v>27.083333333333339</v>
      </c>
      <c r="L54">
        <v>8.3333333333333375</v>
      </c>
      <c r="M54">
        <v>54.861111111111107</v>
      </c>
      <c r="N54">
        <v>52</v>
      </c>
      <c r="O54" t="s">
        <v>483</v>
      </c>
      <c r="P54" t="s">
        <v>483</v>
      </c>
      <c r="Q54">
        <v>1</v>
      </c>
      <c r="R54">
        <v>8.2158703452793899E-2</v>
      </c>
      <c r="S54">
        <f>IF(P54=d_선택!$B$9,E54+ROW()/1000000000,"")</f>
        <v>-0.53918026757257931</v>
      </c>
    </row>
    <row r="55" spans="1:19">
      <c r="A55" t="s">
        <v>318</v>
      </c>
      <c r="B55" t="s">
        <v>520</v>
      </c>
      <c r="C55" t="s">
        <v>460</v>
      </c>
      <c r="D55" t="s">
        <v>461</v>
      </c>
      <c r="E55">
        <v>-2.86839103897122E-2</v>
      </c>
      <c r="F55">
        <v>3.5891666666666668</v>
      </c>
      <c r="G55">
        <v>0.51404031605108491</v>
      </c>
      <c r="H55">
        <v>8.43795949619736E-2</v>
      </c>
      <c r="I55">
        <v>52.083333333333329</v>
      </c>
      <c r="J55">
        <v>39.583333333333343</v>
      </c>
      <c r="K55">
        <v>54.861111111111107</v>
      </c>
      <c r="L55">
        <v>71.527777777777786</v>
      </c>
      <c r="M55">
        <v>54.513888888888893</v>
      </c>
      <c r="N55">
        <v>54</v>
      </c>
      <c r="P55" t="s">
        <v>489</v>
      </c>
      <c r="Q55">
        <v>70</v>
      </c>
      <c r="R55">
        <v>2.9636658629325998E-3</v>
      </c>
      <c r="S55" t="str">
        <f>IF(P55=d_선택!$B$9,E55+ROW()/1000000000,"")</f>
        <v/>
      </c>
    </row>
    <row r="56" spans="1:19">
      <c r="A56" t="s">
        <v>351</v>
      </c>
      <c r="B56" t="s">
        <v>521</v>
      </c>
      <c r="C56" t="s">
        <v>454</v>
      </c>
      <c r="D56" t="s">
        <v>455</v>
      </c>
      <c r="E56">
        <v>9.3688161411211501E-2</v>
      </c>
      <c r="F56">
        <v>3.9941666666666662</v>
      </c>
      <c r="G56">
        <v>0.45009974768884647</v>
      </c>
      <c r="H56">
        <v>6.4824338272094301E-2</v>
      </c>
      <c r="I56">
        <v>29.166666666666661</v>
      </c>
      <c r="J56">
        <v>6.25</v>
      </c>
      <c r="K56">
        <v>86.111111111111114</v>
      </c>
      <c r="L56">
        <v>96.5277777777778</v>
      </c>
      <c r="M56">
        <v>54.513888888888893</v>
      </c>
      <c r="N56">
        <v>54</v>
      </c>
      <c r="O56" t="s">
        <v>463</v>
      </c>
      <c r="P56" t="s">
        <v>463</v>
      </c>
      <c r="Q56">
        <v>103</v>
      </c>
      <c r="R56">
        <v>9.0798122431576797E-2</v>
      </c>
      <c r="S56" t="str">
        <f>IF(P56=d_선택!$B$9,E56+ROW()/1000000000,"")</f>
        <v/>
      </c>
    </row>
    <row r="57" spans="1:19">
      <c r="A57" t="s">
        <v>298</v>
      </c>
      <c r="B57" t="s">
        <v>522</v>
      </c>
      <c r="C57" t="s">
        <v>454</v>
      </c>
      <c r="D57" t="s">
        <v>455</v>
      </c>
      <c r="E57">
        <v>-6.3350457173665803E-2</v>
      </c>
      <c r="F57">
        <v>3.808333333333334</v>
      </c>
      <c r="G57">
        <v>0.49101280546698928</v>
      </c>
      <c r="H57">
        <v>8.6086707139508306E-2</v>
      </c>
      <c r="I57">
        <v>64.583333333333329</v>
      </c>
      <c r="J57">
        <v>16.319444444444439</v>
      </c>
      <c r="K57">
        <v>68.75</v>
      </c>
      <c r="L57">
        <v>66.666666666666671</v>
      </c>
      <c r="M57">
        <v>54.079861111111107</v>
      </c>
      <c r="N57">
        <v>56</v>
      </c>
      <c r="P57" t="s">
        <v>489</v>
      </c>
      <c r="Q57">
        <v>50</v>
      </c>
      <c r="R57">
        <v>-6.6061695387036002E-3</v>
      </c>
      <c r="S57" t="str">
        <f>IF(P57=d_선택!$B$9,E57+ROW()/1000000000,"")</f>
        <v/>
      </c>
    </row>
    <row r="58" spans="1:19">
      <c r="A58" t="s">
        <v>157</v>
      </c>
      <c r="B58" t="s">
        <v>523</v>
      </c>
      <c r="C58" t="s">
        <v>454</v>
      </c>
      <c r="D58" t="s">
        <v>455</v>
      </c>
      <c r="E58">
        <v>-0.16790570949358949</v>
      </c>
      <c r="F58">
        <v>3.065833333333333</v>
      </c>
      <c r="G58">
        <v>0.5573177986427954</v>
      </c>
      <c r="H58">
        <v>0.1050741769176029</v>
      </c>
      <c r="I58">
        <v>84.722222222222214</v>
      </c>
      <c r="J58">
        <v>82.638888888888886</v>
      </c>
      <c r="K58">
        <v>25.694444444444439</v>
      </c>
      <c r="L58">
        <v>22.916666666666661</v>
      </c>
      <c r="M58">
        <v>53.99305555555555</v>
      </c>
      <c r="N58">
        <v>57</v>
      </c>
      <c r="O58" t="s">
        <v>483</v>
      </c>
      <c r="P58" t="s">
        <v>483</v>
      </c>
      <c r="Q58">
        <v>22</v>
      </c>
      <c r="R58">
        <v>5.64163196573432E-2</v>
      </c>
      <c r="S58">
        <f>IF(P58=d_선택!$B$9,E58+ROW()/1000000000,"")</f>
        <v>-0.16790565149358949</v>
      </c>
    </row>
    <row r="59" spans="1:19">
      <c r="A59" t="s">
        <v>386</v>
      </c>
      <c r="B59" t="s">
        <v>524</v>
      </c>
      <c r="C59" t="s">
        <v>454</v>
      </c>
      <c r="D59" t="s">
        <v>455</v>
      </c>
      <c r="E59">
        <v>0.64414018388431127</v>
      </c>
      <c r="F59">
        <v>3.1549999999999998</v>
      </c>
      <c r="G59">
        <v>0.4922005691911634</v>
      </c>
      <c r="H59">
        <v>8.6900445907032095E-2</v>
      </c>
      <c r="I59">
        <v>4.861111111111116</v>
      </c>
      <c r="J59">
        <v>77.777777777777786</v>
      </c>
      <c r="K59">
        <v>66.666666666666671</v>
      </c>
      <c r="L59">
        <v>65.972222222222214</v>
      </c>
      <c r="M59">
        <v>53.819444444444443</v>
      </c>
      <c r="N59">
        <v>58</v>
      </c>
      <c r="O59" t="s">
        <v>178</v>
      </c>
      <c r="P59" t="s">
        <v>178</v>
      </c>
      <c r="Q59">
        <v>138</v>
      </c>
      <c r="R59">
        <v>0.13672361355700799</v>
      </c>
      <c r="S59" t="str">
        <f>IF(P59=d_선택!$B$9,E59+ROW()/1000000000,"")</f>
        <v/>
      </c>
    </row>
    <row r="60" spans="1:19">
      <c r="A60" t="s">
        <v>383</v>
      </c>
      <c r="B60" t="s">
        <v>525</v>
      </c>
      <c r="C60" t="s">
        <v>454</v>
      </c>
      <c r="D60" t="s">
        <v>455</v>
      </c>
      <c r="E60">
        <v>0.45654041865377692</v>
      </c>
      <c r="F60">
        <v>3.5566666666666662</v>
      </c>
      <c r="G60">
        <v>0.48071569620087079</v>
      </c>
      <c r="H60">
        <v>7.8896157890973498E-2</v>
      </c>
      <c r="I60">
        <v>6.944444444444442</v>
      </c>
      <c r="J60">
        <v>50</v>
      </c>
      <c r="K60">
        <v>75</v>
      </c>
      <c r="L60">
        <v>80.555555555555557</v>
      </c>
      <c r="M60">
        <v>53.125</v>
      </c>
      <c r="N60">
        <v>59</v>
      </c>
      <c r="O60" t="s">
        <v>463</v>
      </c>
      <c r="P60" t="s">
        <v>463</v>
      </c>
      <c r="Q60">
        <v>135</v>
      </c>
      <c r="R60">
        <v>5.2820520988655598E-2</v>
      </c>
      <c r="S60" t="str">
        <f>IF(P60=d_선택!$B$9,E60+ROW()/1000000000,"")</f>
        <v/>
      </c>
    </row>
    <row r="61" spans="1:19">
      <c r="A61" t="s">
        <v>325</v>
      </c>
      <c r="B61" t="s">
        <v>526</v>
      </c>
      <c r="C61" t="s">
        <v>454</v>
      </c>
      <c r="D61" t="s">
        <v>455</v>
      </c>
      <c r="E61">
        <v>-1.53639221127804E-2</v>
      </c>
      <c r="F61">
        <v>3.5375000000000001</v>
      </c>
      <c r="G61">
        <v>0.5188724450661012</v>
      </c>
      <c r="H61">
        <v>8.8043940430319295E-2</v>
      </c>
      <c r="I61">
        <v>47.222222222222221</v>
      </c>
      <c r="J61">
        <v>51.736111111111107</v>
      </c>
      <c r="K61">
        <v>50.694444444444443</v>
      </c>
      <c r="L61">
        <v>62.5</v>
      </c>
      <c r="M61">
        <v>53.038194444444443</v>
      </c>
      <c r="N61">
        <v>60</v>
      </c>
      <c r="P61" t="s">
        <v>489</v>
      </c>
      <c r="Q61">
        <v>77</v>
      </c>
      <c r="R61">
        <v>0.15588213779405691</v>
      </c>
      <c r="S61" t="str">
        <f>IF(P61=d_선택!$B$9,E61+ROW()/1000000000,"")</f>
        <v/>
      </c>
    </row>
    <row r="62" spans="1:19">
      <c r="A62" t="s">
        <v>284</v>
      </c>
      <c r="B62" t="s">
        <v>527</v>
      </c>
      <c r="C62" t="s">
        <v>454</v>
      </c>
      <c r="D62" t="s">
        <v>455</v>
      </c>
      <c r="E62">
        <v>-0.1180795103377381</v>
      </c>
      <c r="F62">
        <v>3.496666666666667</v>
      </c>
      <c r="G62">
        <v>0.53468734000898099</v>
      </c>
      <c r="H62">
        <v>9.8013406263202998E-2</v>
      </c>
      <c r="I62">
        <v>74.305555555555557</v>
      </c>
      <c r="J62">
        <v>57.638888888888893</v>
      </c>
      <c r="K62">
        <v>41.666666666666657</v>
      </c>
      <c r="L62">
        <v>38.194444444444443</v>
      </c>
      <c r="M62">
        <v>52.951388888888893</v>
      </c>
      <c r="N62">
        <v>61</v>
      </c>
      <c r="P62" t="s">
        <v>489</v>
      </c>
      <c r="Q62">
        <v>36</v>
      </c>
      <c r="R62">
        <v>3.5059598291151899E-2</v>
      </c>
      <c r="S62" t="str">
        <f>IF(P62=d_선택!$B$9,E62+ROW()/1000000000,"")</f>
        <v/>
      </c>
    </row>
    <row r="63" spans="1:19">
      <c r="A63" t="s">
        <v>257</v>
      </c>
      <c r="B63" t="s">
        <v>528</v>
      </c>
      <c r="C63" t="s">
        <v>454</v>
      </c>
      <c r="D63" t="s">
        <v>455</v>
      </c>
      <c r="E63">
        <v>-0.279902090473028</v>
      </c>
      <c r="F63">
        <v>4.0824999999999996</v>
      </c>
      <c r="G63">
        <v>0.51608382664203034</v>
      </c>
      <c r="H63">
        <v>8.8233110281201801E-2</v>
      </c>
      <c r="I63">
        <v>94.444444444444443</v>
      </c>
      <c r="J63">
        <v>2.083333333333337</v>
      </c>
      <c r="K63">
        <v>52.777777777777779</v>
      </c>
      <c r="L63">
        <v>61.111111111111107</v>
      </c>
      <c r="M63">
        <v>52.604166666666671</v>
      </c>
      <c r="N63">
        <v>62</v>
      </c>
      <c r="O63" t="s">
        <v>471</v>
      </c>
      <c r="P63" t="s">
        <v>471</v>
      </c>
      <c r="Q63">
        <v>8</v>
      </c>
      <c r="R63">
        <v>8.7082391732133002E-2</v>
      </c>
      <c r="S63" t="str">
        <f>IF(P63=d_선택!$B$9,E63+ROW()/1000000000,"")</f>
        <v/>
      </c>
    </row>
    <row r="64" spans="1:19">
      <c r="A64" t="s">
        <v>276</v>
      </c>
      <c r="B64" t="s">
        <v>529</v>
      </c>
      <c r="C64" t="s">
        <v>454</v>
      </c>
      <c r="D64" t="s">
        <v>455</v>
      </c>
      <c r="E64">
        <v>-0.1347588716917322</v>
      </c>
      <c r="F64">
        <v>3.3233333333333341</v>
      </c>
      <c r="G64">
        <v>0.55004782949546482</v>
      </c>
      <c r="H64">
        <v>0.1023112550876506</v>
      </c>
      <c r="I64">
        <v>79.861111111111114</v>
      </c>
      <c r="J64">
        <v>72.222222222222214</v>
      </c>
      <c r="K64">
        <v>29.861111111111111</v>
      </c>
      <c r="L64">
        <v>27.777777777777779</v>
      </c>
      <c r="M64">
        <v>52.43055555555555</v>
      </c>
      <c r="N64">
        <v>63</v>
      </c>
      <c r="O64" t="s">
        <v>471</v>
      </c>
      <c r="P64" t="s">
        <v>471</v>
      </c>
      <c r="Q64">
        <v>28</v>
      </c>
      <c r="R64">
        <v>0.16938374672583789</v>
      </c>
      <c r="S64" t="str">
        <f>IF(P64=d_선택!$B$9,E64+ROW()/1000000000,"")</f>
        <v/>
      </c>
    </row>
    <row r="65" spans="1:19">
      <c r="A65" t="s">
        <v>267</v>
      </c>
      <c r="B65" t="s">
        <v>530</v>
      </c>
      <c r="C65" t="s">
        <v>454</v>
      </c>
      <c r="D65" t="s">
        <v>455</v>
      </c>
      <c r="E65">
        <v>-0.20432088513410709</v>
      </c>
      <c r="F65">
        <v>3.1891666666666669</v>
      </c>
      <c r="G65">
        <v>0.6089071914414671</v>
      </c>
      <c r="H65">
        <v>9.7957688560950995E-2</v>
      </c>
      <c r="I65">
        <v>87.5</v>
      </c>
      <c r="J65">
        <v>77.083333333333343</v>
      </c>
      <c r="K65">
        <v>5.555555555555558</v>
      </c>
      <c r="L65">
        <v>38.888888888888893</v>
      </c>
      <c r="M65">
        <v>52.25694444444445</v>
      </c>
      <c r="N65">
        <v>64</v>
      </c>
      <c r="O65" t="s">
        <v>483</v>
      </c>
      <c r="P65" t="s">
        <v>483</v>
      </c>
      <c r="Q65">
        <v>18</v>
      </c>
      <c r="R65">
        <v>0.1555014273226305</v>
      </c>
      <c r="S65">
        <f>IF(P65=d_선택!$B$9,E65+ROW()/1000000000,"")</f>
        <v>-0.2043208201341071</v>
      </c>
    </row>
    <row r="66" spans="1:19">
      <c r="A66" t="s">
        <v>354</v>
      </c>
      <c r="B66" t="s">
        <v>531</v>
      </c>
      <c r="C66" t="s">
        <v>454</v>
      </c>
      <c r="D66" t="s">
        <v>455</v>
      </c>
      <c r="E66">
        <v>0.10148973844596761</v>
      </c>
      <c r="F66">
        <v>3.6425000000000001</v>
      </c>
      <c r="G66">
        <v>0.4772326391753387</v>
      </c>
      <c r="H66">
        <v>8.4842084736358597E-2</v>
      </c>
      <c r="I66">
        <v>27.083333333333339</v>
      </c>
      <c r="J66">
        <v>35.416666666666657</v>
      </c>
      <c r="K66">
        <v>76.388888888888886</v>
      </c>
      <c r="L66">
        <v>68.75</v>
      </c>
      <c r="M66">
        <v>51.909722222222221</v>
      </c>
      <c r="N66">
        <v>65</v>
      </c>
      <c r="O66" t="s">
        <v>487</v>
      </c>
      <c r="P66" t="s">
        <v>487</v>
      </c>
      <c r="Q66">
        <v>106</v>
      </c>
      <c r="R66">
        <v>7.1920048064732095E-2</v>
      </c>
      <c r="S66" t="str">
        <f>IF(P66=d_선택!$B$9,E66+ROW()/1000000000,"")</f>
        <v/>
      </c>
    </row>
    <row r="67" spans="1:19">
      <c r="A67" t="s">
        <v>359</v>
      </c>
      <c r="B67" t="s">
        <v>532</v>
      </c>
      <c r="C67" t="s">
        <v>460</v>
      </c>
      <c r="D67" t="s">
        <v>461</v>
      </c>
      <c r="E67">
        <v>0.12733457164952261</v>
      </c>
      <c r="F67">
        <v>4.2383333333333333</v>
      </c>
      <c r="G67">
        <v>0.44436197481712758</v>
      </c>
      <c r="H67">
        <v>7.1967676413897605E-2</v>
      </c>
      <c r="I67">
        <v>23.611111111111111</v>
      </c>
      <c r="J67">
        <v>0.69444444444444198</v>
      </c>
      <c r="K67">
        <v>87.5</v>
      </c>
      <c r="L67">
        <v>95.138888888888886</v>
      </c>
      <c r="M67">
        <v>51.736111111111107</v>
      </c>
      <c r="N67">
        <v>66</v>
      </c>
      <c r="O67" t="s">
        <v>463</v>
      </c>
      <c r="P67" t="s">
        <v>463</v>
      </c>
      <c r="Q67">
        <v>111</v>
      </c>
      <c r="R67">
        <v>7.9403528063162407E-2</v>
      </c>
      <c r="S67" t="str">
        <f>IF(P67=d_선택!$B$9,E67+ROW()/1000000000,"")</f>
        <v/>
      </c>
    </row>
    <row r="68" spans="1:19">
      <c r="A68" t="s">
        <v>300</v>
      </c>
      <c r="B68" t="s">
        <v>533</v>
      </c>
      <c r="C68" t="s">
        <v>454</v>
      </c>
      <c r="D68" t="s">
        <v>455</v>
      </c>
      <c r="E68">
        <v>-6.2191625729361898E-2</v>
      </c>
      <c r="F68">
        <v>3.4866666666666668</v>
      </c>
      <c r="G68">
        <v>0.53890877660532288</v>
      </c>
      <c r="H68">
        <v>9.5066907717960503E-2</v>
      </c>
      <c r="I68">
        <v>63.194444444444443</v>
      </c>
      <c r="J68">
        <v>58.680555555555557</v>
      </c>
      <c r="K68">
        <v>36.805555555555557</v>
      </c>
      <c r="L68">
        <v>45.833333333333343</v>
      </c>
      <c r="M68">
        <v>51.128472222222221</v>
      </c>
      <c r="N68">
        <v>67</v>
      </c>
      <c r="P68" t="s">
        <v>489</v>
      </c>
      <c r="Q68">
        <v>52</v>
      </c>
      <c r="R68">
        <v>0.1067981172792815</v>
      </c>
      <c r="S68" t="str">
        <f>IF(P68=d_선택!$B$9,E68+ROW()/1000000000,"")</f>
        <v/>
      </c>
    </row>
    <row r="69" spans="1:19">
      <c r="A69" t="s">
        <v>322</v>
      </c>
      <c r="B69" t="s">
        <v>534</v>
      </c>
      <c r="C69" t="s">
        <v>454</v>
      </c>
      <c r="D69" t="s">
        <v>455</v>
      </c>
      <c r="E69">
        <v>-2.0261864287943701E-2</v>
      </c>
      <c r="F69">
        <v>3.05</v>
      </c>
      <c r="G69">
        <v>0.52296963689454445</v>
      </c>
      <c r="H69">
        <v>0.1088988867183695</v>
      </c>
      <c r="I69">
        <v>49.305555555555557</v>
      </c>
      <c r="J69">
        <v>85.763888888888886</v>
      </c>
      <c r="K69">
        <v>48.611111111111107</v>
      </c>
      <c r="L69">
        <v>17.361111111111111</v>
      </c>
      <c r="M69">
        <v>50.260416666666671</v>
      </c>
      <c r="N69">
        <v>68</v>
      </c>
      <c r="O69" t="s">
        <v>178</v>
      </c>
      <c r="P69" t="s">
        <v>178</v>
      </c>
      <c r="Q69">
        <v>74</v>
      </c>
      <c r="R69">
        <v>-8.5338600430976998E-3</v>
      </c>
      <c r="S69" t="str">
        <f>IF(P69=d_선택!$B$9,E69+ROW()/1000000000,"")</f>
        <v/>
      </c>
    </row>
    <row r="70" spans="1:19">
      <c r="A70" t="s">
        <v>320</v>
      </c>
      <c r="B70" t="s">
        <v>535</v>
      </c>
      <c r="C70" t="s">
        <v>460</v>
      </c>
      <c r="D70" t="s">
        <v>461</v>
      </c>
      <c r="E70">
        <v>-2.2502512500403402E-2</v>
      </c>
      <c r="F70">
        <v>2.8725000000000001</v>
      </c>
      <c r="G70">
        <v>0.53669166377501032</v>
      </c>
      <c r="H70">
        <v>0.1063069530980013</v>
      </c>
      <c r="I70">
        <v>50.694444444444443</v>
      </c>
      <c r="J70">
        <v>91.666666666666657</v>
      </c>
      <c r="K70">
        <v>37.5</v>
      </c>
      <c r="L70">
        <v>20.833333333333339</v>
      </c>
      <c r="M70">
        <v>50.173611111111107</v>
      </c>
      <c r="N70">
        <v>69</v>
      </c>
      <c r="O70" t="s">
        <v>178</v>
      </c>
      <c r="P70" t="s">
        <v>178</v>
      </c>
      <c r="Q70">
        <v>72</v>
      </c>
      <c r="R70">
        <v>7.8617776755312396E-2</v>
      </c>
      <c r="S70" t="str">
        <f>IF(P70=d_선택!$B$9,E70+ROW()/1000000000,"")</f>
        <v/>
      </c>
    </row>
    <row r="71" spans="1:19">
      <c r="A71" t="s">
        <v>261</v>
      </c>
      <c r="B71" t="s">
        <v>536</v>
      </c>
      <c r="C71" t="s">
        <v>454</v>
      </c>
      <c r="D71" t="s">
        <v>455</v>
      </c>
      <c r="E71">
        <v>-0.24364010548996759</v>
      </c>
      <c r="F71">
        <v>3.4424999999999999</v>
      </c>
      <c r="G71">
        <v>0.58026819466692903</v>
      </c>
      <c r="H71">
        <v>0.1016204881894761</v>
      </c>
      <c r="I71">
        <v>91.666666666666657</v>
      </c>
      <c r="J71">
        <v>63.888888888888893</v>
      </c>
      <c r="K71">
        <v>14.583333333333339</v>
      </c>
      <c r="L71">
        <v>29.166666666666661</v>
      </c>
      <c r="M71">
        <v>49.826388888888893</v>
      </c>
      <c r="N71">
        <v>70</v>
      </c>
      <c r="O71" t="s">
        <v>471</v>
      </c>
      <c r="P71" t="s">
        <v>471</v>
      </c>
      <c r="Q71">
        <v>12</v>
      </c>
      <c r="R71">
        <v>0.20296377184044401</v>
      </c>
      <c r="S71" t="str">
        <f>IF(P71=d_선택!$B$9,E71+ROW()/1000000000,"")</f>
        <v/>
      </c>
    </row>
    <row r="72" spans="1:19">
      <c r="A72" t="s">
        <v>347</v>
      </c>
      <c r="B72" t="s">
        <v>537</v>
      </c>
      <c r="C72" t="s">
        <v>454</v>
      </c>
      <c r="D72" t="s">
        <v>455</v>
      </c>
      <c r="E72">
        <v>7.7462899392836099E-2</v>
      </c>
      <c r="F72">
        <v>3.2850000000000001</v>
      </c>
      <c r="G72">
        <v>0.51914559082493472</v>
      </c>
      <c r="H72">
        <v>9.5216780922955102E-2</v>
      </c>
      <c r="I72">
        <v>31.944444444444439</v>
      </c>
      <c r="J72">
        <v>72.916666666666671</v>
      </c>
      <c r="K72">
        <v>50</v>
      </c>
      <c r="L72">
        <v>43.055555555555557</v>
      </c>
      <c r="M72">
        <v>49.479166666666671</v>
      </c>
      <c r="N72">
        <v>71</v>
      </c>
      <c r="P72" t="s">
        <v>489</v>
      </c>
      <c r="Q72">
        <v>99</v>
      </c>
      <c r="R72">
        <v>-4.37903736174729E-2</v>
      </c>
      <c r="S72" t="str">
        <f>IF(P72=d_선택!$B$9,E72+ROW()/1000000000,"")</f>
        <v/>
      </c>
    </row>
    <row r="73" spans="1:19">
      <c r="A73" t="s">
        <v>374</v>
      </c>
      <c r="B73" t="s">
        <v>538</v>
      </c>
      <c r="C73" t="s">
        <v>454</v>
      </c>
      <c r="D73" t="s">
        <v>455</v>
      </c>
      <c r="E73">
        <v>0.27875952088911871</v>
      </c>
      <c r="F73">
        <v>3.4824999999999999</v>
      </c>
      <c r="G73">
        <v>0.49095006769579219</v>
      </c>
      <c r="H73">
        <v>9.11599538789018E-2</v>
      </c>
      <c r="I73">
        <v>13.194444444444439</v>
      </c>
      <c r="J73">
        <v>60.416666666666671</v>
      </c>
      <c r="K73">
        <v>69.444444444444443</v>
      </c>
      <c r="L73">
        <v>54.861111111111107</v>
      </c>
      <c r="M73">
        <v>49.479166666666657</v>
      </c>
      <c r="N73">
        <v>72</v>
      </c>
      <c r="P73" t="s">
        <v>489</v>
      </c>
      <c r="Q73">
        <v>126</v>
      </c>
      <c r="R73">
        <v>3.5739531389073299E-2</v>
      </c>
      <c r="S73" t="str">
        <f>IF(P73=d_선택!$B$9,E73+ROW()/1000000000,"")</f>
        <v/>
      </c>
    </row>
    <row r="74" spans="1:19">
      <c r="A74" t="s">
        <v>299</v>
      </c>
      <c r="B74" t="s">
        <v>539</v>
      </c>
      <c r="C74" t="s">
        <v>454</v>
      </c>
      <c r="D74" t="s">
        <v>455</v>
      </c>
      <c r="E74">
        <v>-6.2715042256696399E-2</v>
      </c>
      <c r="F74">
        <v>3.8408333333333329</v>
      </c>
      <c r="G74">
        <v>0.50796291381410863</v>
      </c>
      <c r="H74">
        <v>8.8303422601423903E-2</v>
      </c>
      <c r="I74">
        <v>63.888888888888893</v>
      </c>
      <c r="J74">
        <v>13.88888888888888</v>
      </c>
      <c r="K74">
        <v>57.638888888888893</v>
      </c>
      <c r="L74">
        <v>60.416666666666671</v>
      </c>
      <c r="M74">
        <v>48.958333333333329</v>
      </c>
      <c r="N74">
        <v>73</v>
      </c>
      <c r="P74" t="s">
        <v>489</v>
      </c>
      <c r="Q74">
        <v>51</v>
      </c>
      <c r="R74">
        <v>5.8642973129226797E-2</v>
      </c>
      <c r="S74" t="str">
        <f>IF(P74=d_선택!$B$9,E74+ROW()/1000000000,"")</f>
        <v/>
      </c>
    </row>
    <row r="75" spans="1:19">
      <c r="A75" t="s">
        <v>332</v>
      </c>
      <c r="B75" t="s">
        <v>540</v>
      </c>
      <c r="C75" t="s">
        <v>454</v>
      </c>
      <c r="D75" t="s">
        <v>455</v>
      </c>
      <c r="E75">
        <v>7.7339125757129E-3</v>
      </c>
      <c r="F75">
        <v>4.0324999999999998</v>
      </c>
      <c r="G75">
        <v>0.4752353807882444</v>
      </c>
      <c r="H75">
        <v>8.4224769168711605E-2</v>
      </c>
      <c r="I75">
        <v>42.361111111111107</v>
      </c>
      <c r="J75">
        <v>4.1666666666666634</v>
      </c>
      <c r="K75">
        <v>77.083333333333343</v>
      </c>
      <c r="L75">
        <v>72.222222222222214</v>
      </c>
      <c r="M75">
        <v>48.958333333333329</v>
      </c>
      <c r="N75">
        <v>73</v>
      </c>
      <c r="O75" t="s">
        <v>487</v>
      </c>
      <c r="P75" t="s">
        <v>487</v>
      </c>
      <c r="Q75">
        <v>84</v>
      </c>
      <c r="R75">
        <v>0.166454585168166</v>
      </c>
      <c r="S75" t="str">
        <f>IF(P75=d_선택!$B$9,E75+ROW()/1000000000,"")</f>
        <v/>
      </c>
    </row>
    <row r="76" spans="1:19">
      <c r="A76" t="s">
        <v>328</v>
      </c>
      <c r="B76" t="s">
        <v>541</v>
      </c>
      <c r="C76" t="s">
        <v>454</v>
      </c>
      <c r="D76" t="s">
        <v>455</v>
      </c>
      <c r="E76">
        <v>-9.4575798945825996E-3</v>
      </c>
      <c r="F76">
        <v>3.7324999999999999</v>
      </c>
      <c r="G76">
        <v>0.51432565887541226</v>
      </c>
      <c r="H76">
        <v>8.3086946772867404E-2</v>
      </c>
      <c r="I76">
        <v>45.138888888888893</v>
      </c>
      <c r="J76">
        <v>21.527777777777779</v>
      </c>
      <c r="K76">
        <v>54.166666666666671</v>
      </c>
      <c r="L76">
        <v>74.305555555555557</v>
      </c>
      <c r="M76">
        <v>48.784722222222221</v>
      </c>
      <c r="N76">
        <v>75</v>
      </c>
      <c r="P76" t="s">
        <v>489</v>
      </c>
      <c r="Q76">
        <v>80</v>
      </c>
      <c r="R76">
        <v>3.4045048935981301E-2</v>
      </c>
      <c r="S76" t="str">
        <f>IF(P76=d_선택!$B$9,E76+ROW()/1000000000,"")</f>
        <v/>
      </c>
    </row>
    <row r="77" spans="1:19">
      <c r="A77" t="s">
        <v>360</v>
      </c>
      <c r="B77" t="s">
        <v>542</v>
      </c>
      <c r="C77" t="s">
        <v>454</v>
      </c>
      <c r="D77" t="s">
        <v>455</v>
      </c>
      <c r="E77">
        <v>0.12905080460799939</v>
      </c>
      <c r="F77">
        <v>3.5891666666666668</v>
      </c>
      <c r="G77">
        <v>0.47057417803383589</v>
      </c>
      <c r="H77">
        <v>9.20205799848616E-2</v>
      </c>
      <c r="I77">
        <v>22.916666666666661</v>
      </c>
      <c r="J77">
        <v>39.583333333333343</v>
      </c>
      <c r="K77">
        <v>81.25</v>
      </c>
      <c r="L77">
        <v>51.388888888888893</v>
      </c>
      <c r="M77">
        <v>48.784722222222221</v>
      </c>
      <c r="N77">
        <v>75</v>
      </c>
      <c r="O77" t="s">
        <v>487</v>
      </c>
      <c r="P77" t="s">
        <v>487</v>
      </c>
      <c r="Q77">
        <v>112</v>
      </c>
      <c r="R77">
        <v>1.7928924537393202E-2</v>
      </c>
      <c r="S77" t="str">
        <f>IF(P77=d_선택!$B$9,E77+ROW()/1000000000,"")</f>
        <v/>
      </c>
    </row>
    <row r="78" spans="1:19">
      <c r="A78" t="s">
        <v>394</v>
      </c>
      <c r="B78" t="s">
        <v>543</v>
      </c>
      <c r="C78" t="s">
        <v>454</v>
      </c>
      <c r="D78" t="s">
        <v>455</v>
      </c>
      <c r="E78">
        <v>13.428677478497191</v>
      </c>
      <c r="F78">
        <v>3.6541666666666668</v>
      </c>
      <c r="G78">
        <v>0.48938568735189769</v>
      </c>
      <c r="H78">
        <v>7.4174982260596004E-2</v>
      </c>
      <c r="I78">
        <v>0</v>
      </c>
      <c r="J78">
        <v>32.638888888888893</v>
      </c>
      <c r="K78">
        <v>70.138888888888886</v>
      </c>
      <c r="L78">
        <v>92.361111111111114</v>
      </c>
      <c r="M78">
        <v>48.784722222222221</v>
      </c>
      <c r="N78">
        <v>75</v>
      </c>
      <c r="O78" t="s">
        <v>492</v>
      </c>
      <c r="P78" t="s">
        <v>492</v>
      </c>
      <c r="Q78">
        <v>146</v>
      </c>
      <c r="R78">
        <v>6.5266031349314899E-2</v>
      </c>
      <c r="S78" t="str">
        <f>IF(P78=d_선택!$B$9,E78+ROW()/1000000000,"")</f>
        <v/>
      </c>
    </row>
    <row r="79" spans="1:19">
      <c r="A79" t="s">
        <v>296</v>
      </c>
      <c r="B79" t="s">
        <v>544</v>
      </c>
      <c r="C79" t="s">
        <v>460</v>
      </c>
      <c r="D79" t="s">
        <v>461</v>
      </c>
      <c r="E79">
        <v>-7.4274627505913807E-2</v>
      </c>
      <c r="F79">
        <v>3.7041666666666671</v>
      </c>
      <c r="G79">
        <v>0.52692410686602931</v>
      </c>
      <c r="H79">
        <v>8.97376461963863E-2</v>
      </c>
      <c r="I79">
        <v>65.972222222222214</v>
      </c>
      <c r="J79">
        <v>23.611111111111111</v>
      </c>
      <c r="K79">
        <v>47.222222222222221</v>
      </c>
      <c r="L79">
        <v>56.944444444444443</v>
      </c>
      <c r="M79">
        <v>48.4375</v>
      </c>
      <c r="N79">
        <v>78</v>
      </c>
      <c r="P79" t="s">
        <v>489</v>
      </c>
      <c r="Q79">
        <v>48</v>
      </c>
      <c r="R79">
        <v>8.8100864061171999E-2</v>
      </c>
      <c r="S79" t="str">
        <f>IF(P79=d_선택!$B$9,E79+ROW()/1000000000,"")</f>
        <v/>
      </c>
    </row>
    <row r="80" spans="1:19">
      <c r="A80" t="s">
        <v>326</v>
      </c>
      <c r="B80" t="s">
        <v>545</v>
      </c>
      <c r="C80" t="s">
        <v>454</v>
      </c>
      <c r="D80" t="s">
        <v>455</v>
      </c>
      <c r="E80">
        <v>-1.39921049233137E-2</v>
      </c>
      <c r="F80">
        <v>3.9091666666666671</v>
      </c>
      <c r="G80">
        <v>0.51723066484462443</v>
      </c>
      <c r="H80">
        <v>7.69141863877843E-2</v>
      </c>
      <c r="I80">
        <v>46.527777777777779</v>
      </c>
      <c r="J80">
        <v>9.7222222222222197</v>
      </c>
      <c r="K80">
        <v>52.083333333333329</v>
      </c>
      <c r="L80">
        <v>85.416666666666657</v>
      </c>
      <c r="M80">
        <v>48.4375</v>
      </c>
      <c r="N80">
        <v>78</v>
      </c>
      <c r="O80" t="s">
        <v>492</v>
      </c>
      <c r="P80" t="s">
        <v>492</v>
      </c>
      <c r="Q80">
        <v>78</v>
      </c>
      <c r="R80">
        <v>1.6139112575176098E-2</v>
      </c>
      <c r="S80" t="str">
        <f>IF(P80=d_선택!$B$9,E80+ROW()/1000000000,"")</f>
        <v/>
      </c>
    </row>
    <row r="81" spans="1:19">
      <c r="A81" t="s">
        <v>389</v>
      </c>
      <c r="B81" t="s">
        <v>546</v>
      </c>
      <c r="C81" t="s">
        <v>454</v>
      </c>
      <c r="D81" t="s">
        <v>455</v>
      </c>
      <c r="E81">
        <v>0.79384022670144616</v>
      </c>
      <c r="F81">
        <v>3.9233333333333338</v>
      </c>
      <c r="G81">
        <v>0.43684657011687988</v>
      </c>
      <c r="H81">
        <v>7.4999841019510002E-2</v>
      </c>
      <c r="I81">
        <v>2.777777777777779</v>
      </c>
      <c r="J81">
        <v>9.0277777777777803</v>
      </c>
      <c r="K81">
        <v>90.9722222222222</v>
      </c>
      <c r="L81">
        <v>90.2777777777778</v>
      </c>
      <c r="M81">
        <v>48.263888888888893</v>
      </c>
      <c r="N81">
        <v>80</v>
      </c>
      <c r="O81" t="s">
        <v>463</v>
      </c>
      <c r="P81" t="s">
        <v>463</v>
      </c>
      <c r="Q81">
        <v>141</v>
      </c>
      <c r="R81">
        <v>4.0956210058202297E-2</v>
      </c>
      <c r="S81" t="str">
        <f>IF(P81=d_선택!$B$9,E81+ROW()/1000000000,"")</f>
        <v/>
      </c>
    </row>
    <row r="82" spans="1:19">
      <c r="A82" t="s">
        <v>291</v>
      </c>
      <c r="B82" t="s">
        <v>547</v>
      </c>
      <c r="C82" t="s">
        <v>454</v>
      </c>
      <c r="D82" t="s">
        <v>455</v>
      </c>
      <c r="E82">
        <v>-9.5855448949180799E-2</v>
      </c>
      <c r="F82">
        <v>2.605833333333333</v>
      </c>
      <c r="G82">
        <v>0.57537977007520913</v>
      </c>
      <c r="H82">
        <v>0.1209439249804594</v>
      </c>
      <c r="I82">
        <v>69.444444444444443</v>
      </c>
      <c r="J82">
        <v>96.5277777777778</v>
      </c>
      <c r="K82">
        <v>18.055555555555561</v>
      </c>
      <c r="L82">
        <v>7.638888888888884</v>
      </c>
      <c r="M82">
        <v>47.916666666666657</v>
      </c>
      <c r="N82">
        <v>81</v>
      </c>
      <c r="O82" t="s">
        <v>178</v>
      </c>
      <c r="P82" t="s">
        <v>178</v>
      </c>
      <c r="Q82">
        <v>43</v>
      </c>
      <c r="R82">
        <v>6.1165339423319802E-2</v>
      </c>
      <c r="S82" t="str">
        <f>IF(P82=d_선택!$B$9,E82+ROW()/1000000000,"")</f>
        <v/>
      </c>
    </row>
    <row r="83" spans="1:19">
      <c r="A83" t="s">
        <v>315</v>
      </c>
      <c r="B83" t="s">
        <v>548</v>
      </c>
      <c r="C83" t="s">
        <v>454</v>
      </c>
      <c r="D83" t="s">
        <v>455</v>
      </c>
      <c r="E83">
        <v>-3.3467880996143902E-2</v>
      </c>
      <c r="F83">
        <v>3.7366666666666668</v>
      </c>
      <c r="G83">
        <v>0.51199640298059901</v>
      </c>
      <c r="H83">
        <v>8.8317038162864805E-2</v>
      </c>
      <c r="I83">
        <v>54.166666666666671</v>
      </c>
      <c r="J83">
        <v>20.833333333333339</v>
      </c>
      <c r="K83">
        <v>56.25</v>
      </c>
      <c r="L83">
        <v>59.722222222222221</v>
      </c>
      <c r="M83">
        <v>47.743055555555557</v>
      </c>
      <c r="N83">
        <v>82</v>
      </c>
      <c r="P83" t="s">
        <v>489</v>
      </c>
      <c r="Q83">
        <v>67</v>
      </c>
      <c r="R83">
        <v>2.5547627460390299E-2</v>
      </c>
      <c r="S83" t="str">
        <f>IF(P83=d_선택!$B$9,E83+ROW()/1000000000,"")</f>
        <v/>
      </c>
    </row>
    <row r="84" spans="1:19">
      <c r="A84" t="s">
        <v>274</v>
      </c>
      <c r="B84" t="s">
        <v>549</v>
      </c>
      <c r="C84" t="s">
        <v>454</v>
      </c>
      <c r="D84" t="s">
        <v>455</v>
      </c>
      <c r="E84">
        <v>-0.14848000865295591</v>
      </c>
      <c r="F84">
        <v>2.8658333333333328</v>
      </c>
      <c r="G84">
        <v>0.58695949820948634</v>
      </c>
      <c r="H84">
        <v>0.1248103583746404</v>
      </c>
      <c r="I84">
        <v>81.944444444444443</v>
      </c>
      <c r="J84">
        <v>92.361111111111114</v>
      </c>
      <c r="K84">
        <v>11.805555555555561</v>
      </c>
      <c r="L84">
        <v>4.861111111111116</v>
      </c>
      <c r="M84">
        <v>47.74305555555555</v>
      </c>
      <c r="N84">
        <v>83</v>
      </c>
      <c r="O84" t="s">
        <v>483</v>
      </c>
      <c r="P84" t="s">
        <v>483</v>
      </c>
      <c r="Q84">
        <v>26</v>
      </c>
      <c r="R84">
        <v>5.3750661193657699E-2</v>
      </c>
      <c r="S84">
        <f>IF(P84=d_선택!$B$9,E84+ROW()/1000000000,"")</f>
        <v>-0.1484799246529559</v>
      </c>
    </row>
    <row r="85" spans="1:19">
      <c r="A85" t="s">
        <v>319</v>
      </c>
      <c r="B85" t="s">
        <v>550</v>
      </c>
      <c r="C85" t="s">
        <v>460</v>
      </c>
      <c r="D85" t="s">
        <v>461</v>
      </c>
      <c r="E85">
        <v>-2.4974171009385399E-2</v>
      </c>
      <c r="F85">
        <v>3.5375000000000001</v>
      </c>
      <c r="G85">
        <v>0.52951122562975639</v>
      </c>
      <c r="H85">
        <v>9.5388269329099704E-2</v>
      </c>
      <c r="I85">
        <v>51.388888888888893</v>
      </c>
      <c r="J85">
        <v>51.736111111111107</v>
      </c>
      <c r="K85">
        <v>45.138888888888893</v>
      </c>
      <c r="L85">
        <v>42.361111111111107</v>
      </c>
      <c r="M85">
        <v>47.65625</v>
      </c>
      <c r="N85">
        <v>84</v>
      </c>
      <c r="P85" t="s">
        <v>489</v>
      </c>
      <c r="Q85">
        <v>71</v>
      </c>
      <c r="R85">
        <v>5.8597437648276199E-2</v>
      </c>
      <c r="S85" t="str">
        <f>IF(P85=d_선택!$B$9,E85+ROW()/1000000000,"")</f>
        <v/>
      </c>
    </row>
    <row r="86" spans="1:19">
      <c r="A86" t="s">
        <v>292</v>
      </c>
      <c r="B86" t="s">
        <v>551</v>
      </c>
      <c r="C86" t="s">
        <v>454</v>
      </c>
      <c r="D86" t="s">
        <v>455</v>
      </c>
      <c r="E86">
        <v>-9.5798397306280494E-2</v>
      </c>
      <c r="F86">
        <v>3.7808333333333342</v>
      </c>
      <c r="G86">
        <v>0.53481238809631271</v>
      </c>
      <c r="H86">
        <v>8.9368001270747094E-2</v>
      </c>
      <c r="I86">
        <v>68.75</v>
      </c>
      <c r="J86">
        <v>17.361111111111111</v>
      </c>
      <c r="K86">
        <v>40.972222222222221</v>
      </c>
      <c r="L86">
        <v>58.333333333333329</v>
      </c>
      <c r="M86">
        <v>46.354166666666671</v>
      </c>
      <c r="N86">
        <v>85</v>
      </c>
      <c r="P86" t="s">
        <v>489</v>
      </c>
      <c r="Q86">
        <v>44</v>
      </c>
      <c r="R86">
        <v>7.67421814572668E-2</v>
      </c>
      <c r="S86" t="str">
        <f>IF(P86=d_선택!$B$9,E86+ROW()/1000000000,"")</f>
        <v/>
      </c>
    </row>
    <row r="87" spans="1:19">
      <c r="A87" t="s">
        <v>262</v>
      </c>
      <c r="B87" t="s">
        <v>552</v>
      </c>
      <c r="C87" t="s">
        <v>454</v>
      </c>
      <c r="D87" t="s">
        <v>455</v>
      </c>
      <c r="E87">
        <v>-0.24058173236203881</v>
      </c>
      <c r="F87">
        <v>4.0925000000000002</v>
      </c>
      <c r="G87">
        <v>0.51048860839882515</v>
      </c>
      <c r="H87">
        <v>9.84813642998629E-2</v>
      </c>
      <c r="I87">
        <v>90.9722222222222</v>
      </c>
      <c r="J87">
        <v>1.388888888888884</v>
      </c>
      <c r="K87">
        <v>56.944444444444443</v>
      </c>
      <c r="L87">
        <v>36.111111111111107</v>
      </c>
      <c r="M87">
        <v>46.354166666666657</v>
      </c>
      <c r="N87">
        <v>86</v>
      </c>
      <c r="O87" t="s">
        <v>471</v>
      </c>
      <c r="P87" t="s">
        <v>471</v>
      </c>
      <c r="Q87">
        <v>13</v>
      </c>
      <c r="R87">
        <v>1.8902973420304101E-2</v>
      </c>
      <c r="S87" t="str">
        <f>IF(P87=d_선택!$B$9,E87+ROW()/1000000000,"")</f>
        <v/>
      </c>
    </row>
    <row r="88" spans="1:19">
      <c r="A88" t="s">
        <v>338</v>
      </c>
      <c r="B88" t="s">
        <v>553</v>
      </c>
      <c r="C88" t="s">
        <v>454</v>
      </c>
      <c r="D88" t="s">
        <v>455</v>
      </c>
      <c r="E88">
        <v>2.50423490780784E-2</v>
      </c>
      <c r="F88">
        <v>3.754166666666666</v>
      </c>
      <c r="G88">
        <v>0.52885040288974439</v>
      </c>
      <c r="H88">
        <v>7.8808554149098001E-2</v>
      </c>
      <c r="I88">
        <v>38.194444444444443</v>
      </c>
      <c r="J88">
        <v>19.791666666666661</v>
      </c>
      <c r="K88">
        <v>45.833333333333343</v>
      </c>
      <c r="L88">
        <v>81.25</v>
      </c>
      <c r="M88">
        <v>46.267361111111107</v>
      </c>
      <c r="N88">
        <v>87</v>
      </c>
      <c r="O88" t="s">
        <v>492</v>
      </c>
      <c r="P88" t="s">
        <v>492</v>
      </c>
      <c r="Q88">
        <v>90</v>
      </c>
      <c r="R88">
        <v>4.02658634062147E-2</v>
      </c>
      <c r="S88" t="str">
        <f>IF(P88=d_선택!$B$9,E88+ROW()/1000000000,"")</f>
        <v/>
      </c>
    </row>
    <row r="89" spans="1:19">
      <c r="A89" t="s">
        <v>393</v>
      </c>
      <c r="B89" t="s">
        <v>554</v>
      </c>
      <c r="C89" t="s">
        <v>454</v>
      </c>
      <c r="D89" t="s">
        <v>455</v>
      </c>
      <c r="E89">
        <v>-0.14139400076658901</v>
      </c>
      <c r="F89">
        <v>3.625833333333333</v>
      </c>
      <c r="G89">
        <v>0.55639133053185874</v>
      </c>
      <c r="H89">
        <v>9.7431416171060894E-2</v>
      </c>
      <c r="I89">
        <v>80.555555555555557</v>
      </c>
      <c r="J89">
        <v>36.805555555555557</v>
      </c>
      <c r="K89">
        <v>26.388888888888889</v>
      </c>
      <c r="L89">
        <v>40.972222222222221</v>
      </c>
      <c r="M89">
        <v>46.180555555555557</v>
      </c>
      <c r="N89">
        <v>88</v>
      </c>
      <c r="O89" t="s">
        <v>471</v>
      </c>
      <c r="P89" t="s">
        <v>471</v>
      </c>
      <c r="Q89">
        <v>145</v>
      </c>
      <c r="R89">
        <v>-0.87552508871281376</v>
      </c>
      <c r="S89" t="str">
        <f>IF(P89=d_선택!$B$9,E89+ROW()/1000000000,"")</f>
        <v/>
      </c>
    </row>
    <row r="90" spans="1:19">
      <c r="A90" t="s">
        <v>339</v>
      </c>
      <c r="B90" t="s">
        <v>555</v>
      </c>
      <c r="C90" t="s">
        <v>460</v>
      </c>
      <c r="D90" t="s">
        <v>461</v>
      </c>
      <c r="E90">
        <v>2.6997991205796899E-2</v>
      </c>
      <c r="F90">
        <v>3.4083333333333332</v>
      </c>
      <c r="G90">
        <v>0.54525445933742334</v>
      </c>
      <c r="H90">
        <v>9.4068964047469603E-2</v>
      </c>
      <c r="I90">
        <v>37.5</v>
      </c>
      <c r="J90">
        <v>65.277777777777786</v>
      </c>
      <c r="K90">
        <v>32.638888888888893</v>
      </c>
      <c r="L90">
        <v>47.916666666666657</v>
      </c>
      <c r="M90">
        <v>45.833333333333343</v>
      </c>
      <c r="N90">
        <v>89</v>
      </c>
      <c r="P90" t="s">
        <v>489</v>
      </c>
      <c r="Q90">
        <v>91</v>
      </c>
      <c r="R90">
        <v>2.66315412604596E-2</v>
      </c>
      <c r="S90" t="str">
        <f>IF(P90=d_선택!$B$9,E90+ROW()/1000000000,"")</f>
        <v/>
      </c>
    </row>
    <row r="91" spans="1:19">
      <c r="A91" t="s">
        <v>304</v>
      </c>
      <c r="B91" t="s">
        <v>556</v>
      </c>
      <c r="C91" t="s">
        <v>454</v>
      </c>
      <c r="D91" t="s">
        <v>455</v>
      </c>
      <c r="E91">
        <v>-4.9216401415298101E-2</v>
      </c>
      <c r="F91">
        <v>3.5308333333333328</v>
      </c>
      <c r="G91">
        <v>0.5682257185376226</v>
      </c>
      <c r="H91">
        <v>9.5045605967350302E-2</v>
      </c>
      <c r="I91">
        <v>60.416666666666671</v>
      </c>
      <c r="J91">
        <v>53.472222222222221</v>
      </c>
      <c r="K91">
        <v>20.833333333333339</v>
      </c>
      <c r="L91">
        <v>46.527777777777779</v>
      </c>
      <c r="M91">
        <v>45.3125</v>
      </c>
      <c r="N91">
        <v>90</v>
      </c>
      <c r="P91" t="s">
        <v>489</v>
      </c>
      <c r="Q91">
        <v>56</v>
      </c>
      <c r="R91">
        <v>5.5133068427100002E-2</v>
      </c>
      <c r="S91" t="str">
        <f>IF(P91=d_선택!$B$9,E91+ROW()/1000000000,"")</f>
        <v/>
      </c>
    </row>
    <row r="92" spans="1:19">
      <c r="A92" t="s">
        <v>353</v>
      </c>
      <c r="B92" t="s">
        <v>557</v>
      </c>
      <c r="C92" t="s">
        <v>454</v>
      </c>
      <c r="D92" t="s">
        <v>455</v>
      </c>
      <c r="E92">
        <v>0.100750488764491</v>
      </c>
      <c r="F92">
        <v>3.5691666666666659</v>
      </c>
      <c r="G92">
        <v>0.49468422056169692</v>
      </c>
      <c r="H92">
        <v>9.5695021462089594E-2</v>
      </c>
      <c r="I92">
        <v>27.777777777777779</v>
      </c>
      <c r="J92">
        <v>46.527777777777779</v>
      </c>
      <c r="K92">
        <v>64.583333333333329</v>
      </c>
      <c r="L92">
        <v>41.666666666666657</v>
      </c>
      <c r="M92">
        <v>45.138888888888893</v>
      </c>
      <c r="N92">
        <v>91</v>
      </c>
      <c r="P92" t="s">
        <v>489</v>
      </c>
      <c r="Q92">
        <v>105</v>
      </c>
      <c r="R92">
        <v>1.9925592152035998E-3</v>
      </c>
      <c r="S92" t="str">
        <f>IF(P92=d_선택!$B$9,E92+ROW()/1000000000,"")</f>
        <v/>
      </c>
    </row>
    <row r="93" spans="1:19">
      <c r="A93" t="s">
        <v>256</v>
      </c>
      <c r="B93" t="s">
        <v>558</v>
      </c>
      <c r="C93" t="s">
        <v>460</v>
      </c>
      <c r="D93" t="s">
        <v>461</v>
      </c>
      <c r="E93">
        <v>-0.28984345457545968</v>
      </c>
      <c r="F93">
        <v>3.563333333333333</v>
      </c>
      <c r="G93">
        <v>0.57236571449980078</v>
      </c>
      <c r="H93">
        <v>0.1088552232344782</v>
      </c>
      <c r="I93">
        <v>95.138888888888886</v>
      </c>
      <c r="J93">
        <v>48.611111111111107</v>
      </c>
      <c r="K93">
        <v>18.75</v>
      </c>
      <c r="L93">
        <v>18.055555555555561</v>
      </c>
      <c r="M93">
        <v>45.138888888888893</v>
      </c>
      <c r="N93">
        <v>91</v>
      </c>
      <c r="O93" t="s">
        <v>471</v>
      </c>
      <c r="P93" t="s">
        <v>471</v>
      </c>
      <c r="Q93">
        <v>7</v>
      </c>
      <c r="R93">
        <v>3.3585661410535803E-2</v>
      </c>
      <c r="S93" t="str">
        <f>IF(P93=d_선택!$B$9,E93+ROW()/1000000000,"")</f>
        <v/>
      </c>
    </row>
    <row r="94" spans="1:19">
      <c r="A94" t="s">
        <v>373</v>
      </c>
      <c r="B94" t="s">
        <v>559</v>
      </c>
      <c r="C94" t="s">
        <v>454</v>
      </c>
      <c r="D94" t="s">
        <v>455</v>
      </c>
      <c r="E94">
        <v>0.26417193739693512</v>
      </c>
      <c r="F94">
        <v>2.9116666666666662</v>
      </c>
      <c r="G94">
        <v>0.53567305361454032</v>
      </c>
      <c r="H94">
        <v>9.9756729566689697E-2</v>
      </c>
      <c r="I94">
        <v>13.88888888888888</v>
      </c>
      <c r="J94">
        <v>89.930555555555557</v>
      </c>
      <c r="K94">
        <v>38.888888888888893</v>
      </c>
      <c r="L94">
        <v>33.333333333333343</v>
      </c>
      <c r="M94">
        <v>44.010416666666657</v>
      </c>
      <c r="N94">
        <v>93</v>
      </c>
      <c r="O94" t="s">
        <v>178</v>
      </c>
      <c r="P94" t="s">
        <v>178</v>
      </c>
      <c r="Q94">
        <v>125</v>
      </c>
      <c r="R94">
        <v>-1.60921684989292E-2</v>
      </c>
      <c r="S94" t="str">
        <f>IF(P94=d_선택!$B$9,E94+ROW()/1000000000,"")</f>
        <v/>
      </c>
    </row>
    <row r="95" spans="1:19">
      <c r="A95" t="s">
        <v>272</v>
      </c>
      <c r="B95" t="s">
        <v>560</v>
      </c>
      <c r="C95" t="s">
        <v>454</v>
      </c>
      <c r="D95" t="s">
        <v>455</v>
      </c>
      <c r="E95">
        <v>-0.15582950563515161</v>
      </c>
      <c r="F95">
        <v>3.6891666666666669</v>
      </c>
      <c r="G95">
        <v>0.54684075551040123</v>
      </c>
      <c r="H95">
        <v>9.9070486079504694E-2</v>
      </c>
      <c r="I95">
        <v>83.333333333333343</v>
      </c>
      <c r="J95">
        <v>24.652777777777779</v>
      </c>
      <c r="K95">
        <v>31.25</v>
      </c>
      <c r="L95">
        <v>34.722222222222221</v>
      </c>
      <c r="M95">
        <v>43.489583333333343</v>
      </c>
      <c r="N95">
        <v>94</v>
      </c>
      <c r="O95" t="s">
        <v>471</v>
      </c>
      <c r="P95" t="s">
        <v>471</v>
      </c>
      <c r="Q95">
        <v>24</v>
      </c>
      <c r="R95">
        <v>0.1040637964814075</v>
      </c>
      <c r="S95" t="str">
        <f>IF(P95=d_선택!$B$9,E95+ROW()/1000000000,"")</f>
        <v/>
      </c>
    </row>
    <row r="96" spans="1:19">
      <c r="A96" t="s">
        <v>280</v>
      </c>
      <c r="B96" t="s">
        <v>561</v>
      </c>
      <c r="C96" t="s">
        <v>454</v>
      </c>
      <c r="D96" t="s">
        <v>455</v>
      </c>
      <c r="E96">
        <v>-0.1252572405924427</v>
      </c>
      <c r="F96">
        <v>3.808333333333334</v>
      </c>
      <c r="G96">
        <v>0.57575262679012584</v>
      </c>
      <c r="H96">
        <v>8.8178381665891994E-2</v>
      </c>
      <c r="I96">
        <v>77.083333333333343</v>
      </c>
      <c r="J96">
        <v>16.319444444444439</v>
      </c>
      <c r="K96">
        <v>17.361111111111111</v>
      </c>
      <c r="L96">
        <v>61.805555555555557</v>
      </c>
      <c r="M96">
        <v>43.142361111111107</v>
      </c>
      <c r="N96">
        <v>95</v>
      </c>
      <c r="O96" t="s">
        <v>471</v>
      </c>
      <c r="P96" t="s">
        <v>471</v>
      </c>
      <c r="Q96">
        <v>32</v>
      </c>
      <c r="R96">
        <v>7.9774023616011602E-2</v>
      </c>
      <c r="S96" t="str">
        <f>IF(P96=d_선택!$B$9,E96+ROW()/1000000000,"")</f>
        <v/>
      </c>
    </row>
    <row r="97" spans="1:19">
      <c r="A97" t="s">
        <v>363</v>
      </c>
      <c r="B97" t="s">
        <v>562</v>
      </c>
      <c r="C97" t="s">
        <v>454</v>
      </c>
      <c r="D97" t="s">
        <v>455</v>
      </c>
      <c r="E97">
        <v>0.14519710145131981</v>
      </c>
      <c r="F97">
        <v>3.9066666666666658</v>
      </c>
      <c r="G97">
        <v>0.47088133855691983</v>
      </c>
      <c r="H97">
        <v>8.8950722523186296E-2</v>
      </c>
      <c r="I97">
        <v>20.833333333333339</v>
      </c>
      <c r="J97">
        <v>10.416666666666661</v>
      </c>
      <c r="K97">
        <v>80.555555555555557</v>
      </c>
      <c r="L97">
        <v>59.027777777777779</v>
      </c>
      <c r="M97">
        <v>42.708333333333343</v>
      </c>
      <c r="N97">
        <v>96</v>
      </c>
      <c r="O97" t="s">
        <v>487</v>
      </c>
      <c r="P97" t="s">
        <v>487</v>
      </c>
      <c r="Q97">
        <v>115</v>
      </c>
      <c r="R97">
        <v>7.4768968036872094E-2</v>
      </c>
      <c r="S97" t="str">
        <f>IF(P97=d_선택!$B$9,E97+ROW()/1000000000,"")</f>
        <v/>
      </c>
    </row>
    <row r="98" spans="1:19">
      <c r="A98" t="s">
        <v>333</v>
      </c>
      <c r="B98" t="s">
        <v>563</v>
      </c>
      <c r="C98" t="s">
        <v>460</v>
      </c>
      <c r="D98" t="s">
        <v>461</v>
      </c>
      <c r="E98">
        <v>1.6613615880296501E-2</v>
      </c>
      <c r="F98">
        <v>3.0649999999999999</v>
      </c>
      <c r="G98">
        <v>0.54974864899756581</v>
      </c>
      <c r="H98">
        <v>0.1102537689964663</v>
      </c>
      <c r="I98">
        <v>41.666666666666657</v>
      </c>
      <c r="J98">
        <v>83.333333333333343</v>
      </c>
      <c r="K98">
        <v>30.555555555555561</v>
      </c>
      <c r="L98">
        <v>14.583333333333339</v>
      </c>
      <c r="M98">
        <v>42.534722222222221</v>
      </c>
      <c r="N98">
        <v>97</v>
      </c>
      <c r="O98" t="s">
        <v>178</v>
      </c>
      <c r="P98" t="s">
        <v>178</v>
      </c>
      <c r="Q98">
        <v>85</v>
      </c>
      <c r="R98">
        <v>0.13069211268161449</v>
      </c>
      <c r="S98" t="str">
        <f>IF(P98=d_선택!$B$9,E98+ROW()/1000000000,"")</f>
        <v/>
      </c>
    </row>
    <row r="99" spans="1:19">
      <c r="A99" t="s">
        <v>317</v>
      </c>
      <c r="B99" t="s">
        <v>564</v>
      </c>
      <c r="C99" t="s">
        <v>460</v>
      </c>
      <c r="D99" t="s">
        <v>461</v>
      </c>
      <c r="E99">
        <v>-3.03751815156891E-2</v>
      </c>
      <c r="F99">
        <v>3.604166666666667</v>
      </c>
      <c r="G99">
        <v>0.553845582677847</v>
      </c>
      <c r="H99">
        <v>9.2039066234175904E-2</v>
      </c>
      <c r="I99">
        <v>52.777777777777779</v>
      </c>
      <c r="J99">
        <v>37.5</v>
      </c>
      <c r="K99">
        <v>27.777777777777779</v>
      </c>
      <c r="L99">
        <v>50</v>
      </c>
      <c r="M99">
        <v>42.013888888888893</v>
      </c>
      <c r="N99">
        <v>98</v>
      </c>
      <c r="P99" t="s">
        <v>489</v>
      </c>
      <c r="Q99">
        <v>69</v>
      </c>
      <c r="R99">
        <v>3.6164519194005401E-2</v>
      </c>
      <c r="S99" t="str">
        <f>IF(P99=d_선택!$B$9,E99+ROW()/1000000000,"")</f>
        <v/>
      </c>
    </row>
    <row r="100" spans="1:19">
      <c r="A100" t="s">
        <v>305</v>
      </c>
      <c r="B100" t="s">
        <v>565</v>
      </c>
      <c r="C100" t="s">
        <v>460</v>
      </c>
      <c r="D100" t="s">
        <v>461</v>
      </c>
      <c r="E100">
        <v>-4.8099583088363998E-2</v>
      </c>
      <c r="F100">
        <v>3.4816666666666669</v>
      </c>
      <c r="G100">
        <v>0.56179296788051403</v>
      </c>
      <c r="H100">
        <v>0.1055006346416715</v>
      </c>
      <c r="I100">
        <v>59.722222222222221</v>
      </c>
      <c r="J100">
        <v>61.111111111111107</v>
      </c>
      <c r="K100">
        <v>24.305555555555561</v>
      </c>
      <c r="L100">
        <v>21.527777777777779</v>
      </c>
      <c r="M100">
        <v>41.666666666666671</v>
      </c>
      <c r="N100">
        <v>99</v>
      </c>
      <c r="P100" t="s">
        <v>489</v>
      </c>
      <c r="Q100">
        <v>57</v>
      </c>
      <c r="R100">
        <v>-1.0487348897164499E-2</v>
      </c>
      <c r="S100" t="str">
        <f>IF(P100=d_선택!$B$9,E100+ROW()/1000000000,"")</f>
        <v/>
      </c>
    </row>
    <row r="101" spans="1:19">
      <c r="A101" t="s">
        <v>368</v>
      </c>
      <c r="B101" t="s">
        <v>566</v>
      </c>
      <c r="C101" t="s">
        <v>454</v>
      </c>
      <c r="D101" t="s">
        <v>455</v>
      </c>
      <c r="E101">
        <v>0.19565290387882719</v>
      </c>
      <c r="F101">
        <v>3.6549999999999998</v>
      </c>
      <c r="G101">
        <v>0.4996307895805609</v>
      </c>
      <c r="H101">
        <v>9.0106832240302498E-2</v>
      </c>
      <c r="I101">
        <v>17.361111111111111</v>
      </c>
      <c r="J101">
        <v>30.902777777777779</v>
      </c>
      <c r="K101">
        <v>61.805555555555557</v>
      </c>
      <c r="L101">
        <v>56.25</v>
      </c>
      <c r="M101">
        <v>41.579861111111107</v>
      </c>
      <c r="N101">
        <v>100</v>
      </c>
      <c r="P101" t="s">
        <v>489</v>
      </c>
      <c r="Q101">
        <v>120</v>
      </c>
      <c r="R101">
        <v>1.8026222781973598E-2</v>
      </c>
      <c r="S101" t="str">
        <f>IF(P101=d_선택!$B$9,E101+ROW()/1000000000,"")</f>
        <v/>
      </c>
    </row>
    <row r="102" spans="1:19">
      <c r="A102" t="s">
        <v>323</v>
      </c>
      <c r="B102" t="s">
        <v>567</v>
      </c>
      <c r="C102" t="s">
        <v>460</v>
      </c>
      <c r="D102" t="s">
        <v>461</v>
      </c>
      <c r="E102">
        <v>-1.6915259289045199E-2</v>
      </c>
      <c r="F102">
        <v>3.5141666666666671</v>
      </c>
      <c r="G102">
        <v>0.59950061558898382</v>
      </c>
      <c r="H102">
        <v>9.1308778438549607E-2</v>
      </c>
      <c r="I102">
        <v>48.611111111111107</v>
      </c>
      <c r="J102">
        <v>54.861111111111107</v>
      </c>
      <c r="K102">
        <v>7.638888888888884</v>
      </c>
      <c r="L102">
        <v>53.472222222222221</v>
      </c>
      <c r="M102">
        <v>41.145833333333343</v>
      </c>
      <c r="N102">
        <v>101</v>
      </c>
      <c r="P102" t="s">
        <v>489</v>
      </c>
      <c r="Q102">
        <v>75</v>
      </c>
      <c r="R102">
        <v>7.1485413978435705E-2</v>
      </c>
      <c r="S102" t="str">
        <f>IF(P102=d_선택!$B$9,E102+ROW()/1000000000,"")</f>
        <v/>
      </c>
    </row>
    <row r="103" spans="1:19">
      <c r="A103" t="s">
        <v>388</v>
      </c>
      <c r="B103" t="s">
        <v>568</v>
      </c>
      <c r="C103" t="s">
        <v>460</v>
      </c>
      <c r="D103" t="s">
        <v>461</v>
      </c>
      <c r="E103">
        <v>0.70466229868609576</v>
      </c>
      <c r="F103">
        <v>3.71</v>
      </c>
      <c r="G103">
        <v>0.45643553923879349</v>
      </c>
      <c r="H103">
        <v>9.1166444465808599E-2</v>
      </c>
      <c r="I103">
        <v>3.472222222222221</v>
      </c>
      <c r="J103">
        <v>22.916666666666661</v>
      </c>
      <c r="K103">
        <v>84.027777777777786</v>
      </c>
      <c r="L103">
        <v>54.166666666666671</v>
      </c>
      <c r="M103">
        <v>41.145833333333343</v>
      </c>
      <c r="N103">
        <v>101</v>
      </c>
      <c r="O103" t="s">
        <v>487</v>
      </c>
      <c r="P103" t="s">
        <v>487</v>
      </c>
      <c r="Q103">
        <v>140</v>
      </c>
      <c r="R103">
        <v>-4.5140894306471002E-3</v>
      </c>
      <c r="S103" t="str">
        <f>IF(P103=d_선택!$B$9,E103+ROW()/1000000000,"")</f>
        <v/>
      </c>
    </row>
    <row r="104" spans="1:19">
      <c r="A104" t="s">
        <v>313</v>
      </c>
      <c r="B104" t="s">
        <v>569</v>
      </c>
      <c r="C104" t="s">
        <v>454</v>
      </c>
      <c r="D104" t="s">
        <v>455</v>
      </c>
      <c r="E104">
        <v>-3.4450844007641299E-2</v>
      </c>
      <c r="F104">
        <v>3.9016666666666668</v>
      </c>
      <c r="G104">
        <v>0.54320879158875002</v>
      </c>
      <c r="H104">
        <v>8.7465283645767194E-2</v>
      </c>
      <c r="I104">
        <v>54.861111111111107</v>
      </c>
      <c r="J104">
        <v>11.11111111111112</v>
      </c>
      <c r="K104">
        <v>34.027777777777779</v>
      </c>
      <c r="L104">
        <v>63.888888888888893</v>
      </c>
      <c r="M104">
        <v>40.972222222222221</v>
      </c>
      <c r="N104">
        <v>103</v>
      </c>
      <c r="P104" t="s">
        <v>489</v>
      </c>
      <c r="Q104">
        <v>65</v>
      </c>
      <c r="R104">
        <v>-1.7243138247771701E-2</v>
      </c>
      <c r="S104" t="str">
        <f>IF(P104=d_선택!$B$9,E104+ROW()/1000000000,"")</f>
        <v/>
      </c>
    </row>
    <row r="105" spans="1:19">
      <c r="A105" t="s">
        <v>324</v>
      </c>
      <c r="B105" t="s">
        <v>570</v>
      </c>
      <c r="C105" t="s">
        <v>454</v>
      </c>
      <c r="D105" t="s">
        <v>455</v>
      </c>
      <c r="E105">
        <v>-1.6457425378208601E-2</v>
      </c>
      <c r="F105">
        <v>3.7183333333333342</v>
      </c>
      <c r="G105">
        <v>0.53412641141753558</v>
      </c>
      <c r="H105">
        <v>9.2025291469901099E-2</v>
      </c>
      <c r="I105">
        <v>47.916666666666657</v>
      </c>
      <c r="J105">
        <v>22.222222222222221</v>
      </c>
      <c r="K105">
        <v>42.361111111111107</v>
      </c>
      <c r="L105">
        <v>50.694444444444443</v>
      </c>
      <c r="M105">
        <v>40.798611111111107</v>
      </c>
      <c r="N105">
        <v>104</v>
      </c>
      <c r="P105" t="s">
        <v>489</v>
      </c>
      <c r="Q105">
        <v>76</v>
      </c>
      <c r="R105">
        <v>8.5814102372704995E-2</v>
      </c>
      <c r="S105" t="str">
        <f>IF(P105=d_선택!$B$9,E105+ROW()/1000000000,"")</f>
        <v/>
      </c>
    </row>
    <row r="106" spans="1:19">
      <c r="A106" t="s">
        <v>366</v>
      </c>
      <c r="B106" t="s">
        <v>571</v>
      </c>
      <c r="C106" t="s">
        <v>454</v>
      </c>
      <c r="D106" t="s">
        <v>455</v>
      </c>
      <c r="E106">
        <v>0.17372570633291051</v>
      </c>
      <c r="F106">
        <v>3.6541666666666668</v>
      </c>
      <c r="G106">
        <v>0.5409582250454924</v>
      </c>
      <c r="H106">
        <v>8.4681016206818505E-2</v>
      </c>
      <c r="I106">
        <v>18.75</v>
      </c>
      <c r="J106">
        <v>32.638888888888893</v>
      </c>
      <c r="K106">
        <v>35.416666666666657</v>
      </c>
      <c r="L106">
        <v>69.444444444444443</v>
      </c>
      <c r="M106">
        <v>39.0625</v>
      </c>
      <c r="N106">
        <v>105</v>
      </c>
      <c r="P106" t="s">
        <v>489</v>
      </c>
      <c r="Q106">
        <v>118</v>
      </c>
      <c r="R106">
        <v>0.1085042769832065</v>
      </c>
      <c r="S106" t="str">
        <f>IF(P106=d_선택!$B$9,E106+ROW()/1000000000,"")</f>
        <v/>
      </c>
    </row>
    <row r="107" spans="1:19">
      <c r="A107" t="s">
        <v>301</v>
      </c>
      <c r="B107" t="s">
        <v>572</v>
      </c>
      <c r="C107" t="s">
        <v>454</v>
      </c>
      <c r="D107" t="s">
        <v>455</v>
      </c>
      <c r="E107">
        <v>-5.9646552631586601E-2</v>
      </c>
      <c r="F107">
        <v>3.061666666666667</v>
      </c>
      <c r="G107">
        <v>0.59348811558546788</v>
      </c>
      <c r="H107">
        <v>0.13300153572342691</v>
      </c>
      <c r="I107">
        <v>62.5</v>
      </c>
      <c r="J107">
        <v>84.027777777777786</v>
      </c>
      <c r="K107">
        <v>9.7222222222222197</v>
      </c>
      <c r="L107">
        <v>0</v>
      </c>
      <c r="M107">
        <v>39.0625</v>
      </c>
      <c r="N107">
        <v>105</v>
      </c>
      <c r="O107" t="s">
        <v>178</v>
      </c>
      <c r="P107" t="s">
        <v>178</v>
      </c>
      <c r="Q107">
        <v>53</v>
      </c>
      <c r="R107">
        <v>-4.3240573801685998E-3</v>
      </c>
      <c r="S107" t="str">
        <f>IF(P107=d_선택!$B$9,E107+ROW()/1000000000,"")</f>
        <v/>
      </c>
    </row>
    <row r="108" spans="1:19">
      <c r="A108" t="s">
        <v>311</v>
      </c>
      <c r="B108" t="s">
        <v>573</v>
      </c>
      <c r="C108" t="s">
        <v>460</v>
      </c>
      <c r="D108" t="s">
        <v>461</v>
      </c>
      <c r="E108">
        <v>-3.7634997787654501E-2</v>
      </c>
      <c r="F108">
        <v>2.5708333333333329</v>
      </c>
      <c r="G108">
        <v>0.66569887876170164</v>
      </c>
      <c r="H108">
        <v>0.13262002968782241</v>
      </c>
      <c r="I108">
        <v>55.555555555555557</v>
      </c>
      <c r="J108">
        <v>97.2222222222222</v>
      </c>
      <c r="K108">
        <v>0.69444444444444198</v>
      </c>
      <c r="L108">
        <v>1.388888888888884</v>
      </c>
      <c r="M108">
        <v>38.715277777777771</v>
      </c>
      <c r="N108">
        <v>107</v>
      </c>
      <c r="O108" t="s">
        <v>178</v>
      </c>
      <c r="P108" t="s">
        <v>178</v>
      </c>
      <c r="Q108">
        <v>63</v>
      </c>
      <c r="R108">
        <v>8.0742452699998898E-2</v>
      </c>
      <c r="S108" t="str">
        <f>IF(P108=d_선택!$B$9,E108+ROW()/1000000000,"")</f>
        <v/>
      </c>
    </row>
    <row r="109" spans="1:19">
      <c r="A109" t="s">
        <v>384</v>
      </c>
      <c r="B109" t="s">
        <v>574</v>
      </c>
      <c r="C109" t="s">
        <v>460</v>
      </c>
      <c r="D109" t="s">
        <v>461</v>
      </c>
      <c r="E109">
        <v>0.52980008353895602</v>
      </c>
      <c r="F109">
        <v>3.4075000000000002</v>
      </c>
      <c r="G109">
        <v>0.51795407581038155</v>
      </c>
      <c r="H109">
        <v>0.1012016340304978</v>
      </c>
      <c r="I109">
        <v>6.25</v>
      </c>
      <c r="J109">
        <v>65.972222222222214</v>
      </c>
      <c r="K109">
        <v>51.388888888888893</v>
      </c>
      <c r="L109">
        <v>30.555555555555561</v>
      </c>
      <c r="M109">
        <v>38.541666666666657</v>
      </c>
      <c r="N109">
        <v>108</v>
      </c>
      <c r="P109" t="s">
        <v>489</v>
      </c>
      <c r="Q109">
        <v>136</v>
      </c>
      <c r="R109">
        <v>-1.62458295921575E-2</v>
      </c>
      <c r="S109" t="str">
        <f>IF(P109=d_선택!$B$9,E109+ROW()/1000000000,"")</f>
        <v/>
      </c>
    </row>
    <row r="110" spans="1:19">
      <c r="A110" t="s">
        <v>327</v>
      </c>
      <c r="B110" t="s">
        <v>575</v>
      </c>
      <c r="C110" t="s">
        <v>460</v>
      </c>
      <c r="D110" t="s">
        <v>461</v>
      </c>
      <c r="E110">
        <v>-1.3976208688075999E-2</v>
      </c>
      <c r="F110">
        <v>2.6625000000000001</v>
      </c>
      <c r="G110">
        <v>0.6126570737815461</v>
      </c>
      <c r="H110">
        <v>0.12775708730016189</v>
      </c>
      <c r="I110">
        <v>45.833333333333343</v>
      </c>
      <c r="J110">
        <v>95.138888888888886</v>
      </c>
      <c r="K110">
        <v>4.861111111111116</v>
      </c>
      <c r="L110">
        <v>4.1666666666666634</v>
      </c>
      <c r="M110">
        <v>37.5</v>
      </c>
      <c r="N110">
        <v>109</v>
      </c>
      <c r="O110" t="s">
        <v>178</v>
      </c>
      <c r="P110" t="s">
        <v>178</v>
      </c>
      <c r="Q110">
        <v>79</v>
      </c>
      <c r="R110">
        <v>-5.1269446047428703E-2</v>
      </c>
      <c r="S110" t="str">
        <f>IF(P110=d_선택!$B$9,E110+ROW()/1000000000,"")</f>
        <v/>
      </c>
    </row>
    <row r="111" spans="1:19">
      <c r="A111" t="s">
        <v>382</v>
      </c>
      <c r="B111" t="s">
        <v>576</v>
      </c>
      <c r="C111" t="s">
        <v>454</v>
      </c>
      <c r="D111" t="s">
        <v>455</v>
      </c>
      <c r="E111">
        <v>0.42943151661897128</v>
      </c>
      <c r="F111">
        <v>3.66</v>
      </c>
      <c r="G111">
        <v>0.4986410043272827</v>
      </c>
      <c r="H111">
        <v>9.2228747250679796E-2</v>
      </c>
      <c r="I111">
        <v>7.638888888888884</v>
      </c>
      <c r="J111">
        <v>29.861111111111111</v>
      </c>
      <c r="K111">
        <v>62.5</v>
      </c>
      <c r="L111">
        <v>49.305555555555557</v>
      </c>
      <c r="M111">
        <v>37.326388888888893</v>
      </c>
      <c r="N111">
        <v>110</v>
      </c>
      <c r="P111" t="s">
        <v>489</v>
      </c>
      <c r="Q111">
        <v>134</v>
      </c>
      <c r="R111">
        <v>2.2668990198509702E-2</v>
      </c>
      <c r="S111" t="str">
        <f>IF(P111=d_선택!$B$9,E111+ROW()/1000000000,"")</f>
        <v/>
      </c>
    </row>
    <row r="112" spans="1:19">
      <c r="A112" t="s">
        <v>375</v>
      </c>
      <c r="B112" t="s">
        <v>577</v>
      </c>
      <c r="C112" t="s">
        <v>454</v>
      </c>
      <c r="D112" t="s">
        <v>455</v>
      </c>
      <c r="E112">
        <v>0.31559400914252927</v>
      </c>
      <c r="F112">
        <v>3.05</v>
      </c>
      <c r="G112">
        <v>0.53646846505430157</v>
      </c>
      <c r="H112">
        <v>0.1127027981546373</v>
      </c>
      <c r="I112">
        <v>12.5</v>
      </c>
      <c r="J112">
        <v>85.763888888888886</v>
      </c>
      <c r="K112">
        <v>38.194444444444443</v>
      </c>
      <c r="L112">
        <v>12.5</v>
      </c>
      <c r="M112">
        <v>37.239583333333329</v>
      </c>
      <c r="N112">
        <v>111</v>
      </c>
      <c r="O112" t="s">
        <v>178</v>
      </c>
      <c r="P112" t="s">
        <v>178</v>
      </c>
      <c r="Q112">
        <v>127</v>
      </c>
      <c r="R112">
        <v>7.2079809257763004E-3</v>
      </c>
      <c r="S112" t="str">
        <f>IF(P112=d_선택!$B$9,E112+ROW()/1000000000,"")</f>
        <v/>
      </c>
    </row>
    <row r="113" spans="1:19">
      <c r="A113" t="s">
        <v>281</v>
      </c>
      <c r="B113" t="s">
        <v>578</v>
      </c>
      <c r="C113" t="s">
        <v>454</v>
      </c>
      <c r="D113" t="s">
        <v>455</v>
      </c>
      <c r="E113">
        <v>-0.1190541794021663</v>
      </c>
      <c r="F113">
        <v>3.6691666666666669</v>
      </c>
      <c r="G113">
        <v>0.58089302057658232</v>
      </c>
      <c r="H113">
        <v>0.102131079038315</v>
      </c>
      <c r="I113">
        <v>76.388888888888886</v>
      </c>
      <c r="J113">
        <v>27.777777777777779</v>
      </c>
      <c r="K113">
        <v>13.88888888888888</v>
      </c>
      <c r="L113">
        <v>28.472222222222221</v>
      </c>
      <c r="M113">
        <v>36.631944444444443</v>
      </c>
      <c r="N113">
        <v>112</v>
      </c>
      <c r="O113" t="s">
        <v>471</v>
      </c>
      <c r="P113" t="s">
        <v>471</v>
      </c>
      <c r="Q113">
        <v>33</v>
      </c>
      <c r="R113">
        <v>0.1100319074647666</v>
      </c>
      <c r="S113" t="str">
        <f>IF(P113=d_선택!$B$9,E113+ROW()/1000000000,"")</f>
        <v/>
      </c>
    </row>
    <row r="114" spans="1:19">
      <c r="A114" t="s">
        <v>352</v>
      </c>
      <c r="B114" t="s">
        <v>579</v>
      </c>
      <c r="C114" t="s">
        <v>454</v>
      </c>
      <c r="D114" t="s">
        <v>455</v>
      </c>
      <c r="E114">
        <v>9.4700410064564006E-2</v>
      </c>
      <c r="F114">
        <v>3.7791666666666668</v>
      </c>
      <c r="G114">
        <v>0.52766933527605986</v>
      </c>
      <c r="H114">
        <v>9.1500933949503899E-2</v>
      </c>
      <c r="I114">
        <v>28.472222222222221</v>
      </c>
      <c r="J114">
        <v>18.055555555555561</v>
      </c>
      <c r="K114">
        <v>46.527777777777779</v>
      </c>
      <c r="L114">
        <v>52.777777777777779</v>
      </c>
      <c r="M114">
        <v>36.458333333333343</v>
      </c>
      <c r="N114">
        <v>113</v>
      </c>
      <c r="P114" t="s">
        <v>489</v>
      </c>
      <c r="Q114">
        <v>104</v>
      </c>
      <c r="R114">
        <v>2.507449993313E-2</v>
      </c>
      <c r="S114" t="str">
        <f>IF(P114=d_선택!$B$9,E114+ROW()/1000000000,"")</f>
        <v/>
      </c>
    </row>
    <row r="115" spans="1:19">
      <c r="A115" t="s">
        <v>372</v>
      </c>
      <c r="B115" t="s">
        <v>580</v>
      </c>
      <c r="C115" t="s">
        <v>454</v>
      </c>
      <c r="D115" t="s">
        <v>455</v>
      </c>
      <c r="E115">
        <v>0.2399003174971206</v>
      </c>
      <c r="F115">
        <v>3.145</v>
      </c>
      <c r="G115">
        <v>0.55169552434418068</v>
      </c>
      <c r="H115">
        <v>0.10421146873076741</v>
      </c>
      <c r="I115">
        <v>14.583333333333339</v>
      </c>
      <c r="J115">
        <v>78.472222222222214</v>
      </c>
      <c r="K115">
        <v>28.472222222222221</v>
      </c>
      <c r="L115">
        <v>24.305555555555561</v>
      </c>
      <c r="M115">
        <v>36.458333333333329</v>
      </c>
      <c r="N115">
        <v>114</v>
      </c>
      <c r="O115" t="s">
        <v>178</v>
      </c>
      <c r="P115" t="s">
        <v>178</v>
      </c>
      <c r="Q115">
        <v>124</v>
      </c>
      <c r="R115">
        <v>0.1263041928054755</v>
      </c>
      <c r="S115" t="str">
        <f>IF(P115=d_선택!$B$9,E115+ROW()/1000000000,"")</f>
        <v/>
      </c>
    </row>
    <row r="116" spans="1:19">
      <c r="A116" t="s">
        <v>365</v>
      </c>
      <c r="B116" t="s">
        <v>581</v>
      </c>
      <c r="C116" t="s">
        <v>454</v>
      </c>
      <c r="D116" t="s">
        <v>455</v>
      </c>
      <c r="E116">
        <v>0.16440256140385379</v>
      </c>
      <c r="F116">
        <v>3.5891666666666668</v>
      </c>
      <c r="G116">
        <v>0.59719238459351098</v>
      </c>
      <c r="H116">
        <v>8.2017554293600498E-2</v>
      </c>
      <c r="I116">
        <v>19.444444444444439</v>
      </c>
      <c r="J116">
        <v>39.583333333333343</v>
      </c>
      <c r="K116">
        <v>9.0277777777777803</v>
      </c>
      <c r="L116">
        <v>77.083333333333343</v>
      </c>
      <c r="M116">
        <v>36.284722222222229</v>
      </c>
      <c r="N116">
        <v>115</v>
      </c>
      <c r="O116" t="s">
        <v>492</v>
      </c>
      <c r="P116" t="s">
        <v>492</v>
      </c>
      <c r="Q116">
        <v>117</v>
      </c>
      <c r="R116">
        <v>5.34946134333385E-2</v>
      </c>
      <c r="S116" t="str">
        <f>IF(P116=d_선택!$B$9,E116+ROW()/1000000000,"")</f>
        <v/>
      </c>
    </row>
    <row r="117" spans="1:19">
      <c r="A117" t="s">
        <v>355</v>
      </c>
      <c r="B117" t="s">
        <v>582</v>
      </c>
      <c r="C117" t="s">
        <v>454</v>
      </c>
      <c r="D117" t="s">
        <v>455</v>
      </c>
      <c r="E117">
        <v>0.1023476874097479</v>
      </c>
      <c r="F117">
        <v>3.9350000000000001</v>
      </c>
      <c r="G117">
        <v>0.48595859807125519</v>
      </c>
      <c r="H117">
        <v>9.8322684985585898E-2</v>
      </c>
      <c r="I117">
        <v>26.388888888888889</v>
      </c>
      <c r="J117">
        <v>7.638888888888884</v>
      </c>
      <c r="K117">
        <v>72.916666666666671</v>
      </c>
      <c r="L117">
        <v>37.5</v>
      </c>
      <c r="M117">
        <v>36.111111111111107</v>
      </c>
      <c r="N117">
        <v>116</v>
      </c>
      <c r="P117" t="s">
        <v>489</v>
      </c>
      <c r="Q117">
        <v>107</v>
      </c>
      <c r="R117">
        <v>0.106483009229426</v>
      </c>
      <c r="S117" t="str">
        <f>IF(P117=d_선택!$B$9,E117+ROW()/1000000000,"")</f>
        <v/>
      </c>
    </row>
    <row r="118" spans="1:19">
      <c r="A118" t="s">
        <v>376</v>
      </c>
      <c r="B118" t="s">
        <v>583</v>
      </c>
      <c r="C118" t="s">
        <v>454</v>
      </c>
      <c r="D118" t="s">
        <v>455</v>
      </c>
      <c r="E118">
        <v>0.32533148314798321</v>
      </c>
      <c r="F118">
        <v>3.524166666666666</v>
      </c>
      <c r="G118">
        <v>0.56869991006060006</v>
      </c>
      <c r="H118">
        <v>8.9526512234525304E-2</v>
      </c>
      <c r="I118">
        <v>11.805555555555561</v>
      </c>
      <c r="J118">
        <v>54.166666666666671</v>
      </c>
      <c r="K118">
        <v>20.138888888888889</v>
      </c>
      <c r="L118">
        <v>57.638888888888893</v>
      </c>
      <c r="M118">
        <v>35.9375</v>
      </c>
      <c r="N118">
        <v>117</v>
      </c>
      <c r="P118" t="s">
        <v>489</v>
      </c>
      <c r="Q118">
        <v>128</v>
      </c>
      <c r="R118">
        <v>1.8055779413873999E-2</v>
      </c>
      <c r="S118" t="str">
        <f>IF(P118=d_선택!$B$9,E118+ROW()/1000000000,"")</f>
        <v/>
      </c>
    </row>
    <row r="119" spans="1:19">
      <c r="A119" t="s">
        <v>346</v>
      </c>
      <c r="B119" t="s">
        <v>584</v>
      </c>
      <c r="C119" t="s">
        <v>454</v>
      </c>
      <c r="D119" t="s">
        <v>455</v>
      </c>
      <c r="E119">
        <v>7.4197049831629294E-2</v>
      </c>
      <c r="F119">
        <v>2.565833333333333</v>
      </c>
      <c r="G119">
        <v>0.60225664171608995</v>
      </c>
      <c r="H119">
        <v>0.1230012148937519</v>
      </c>
      <c r="I119">
        <v>32.638888888888893</v>
      </c>
      <c r="J119">
        <v>97.916666666666657</v>
      </c>
      <c r="K119">
        <v>6.25</v>
      </c>
      <c r="L119">
        <v>5.555555555555558</v>
      </c>
      <c r="M119">
        <v>35.590277777777779</v>
      </c>
      <c r="N119">
        <v>118</v>
      </c>
      <c r="O119" t="s">
        <v>178</v>
      </c>
      <c r="P119" t="s">
        <v>178</v>
      </c>
      <c r="Q119">
        <v>98</v>
      </c>
      <c r="R119">
        <v>3.8030192944843402E-2</v>
      </c>
      <c r="S119" t="str">
        <f>IF(P119=d_선택!$B$9,E119+ROW()/1000000000,"")</f>
        <v/>
      </c>
    </row>
    <row r="120" spans="1:19">
      <c r="A120" t="s">
        <v>309</v>
      </c>
      <c r="B120" t="s">
        <v>585</v>
      </c>
      <c r="C120" t="s">
        <v>454</v>
      </c>
      <c r="D120" t="s">
        <v>455</v>
      </c>
      <c r="E120">
        <v>-4.3941738183027802E-2</v>
      </c>
      <c r="F120">
        <v>3.5733333333333341</v>
      </c>
      <c r="G120">
        <v>0.55133863955999474</v>
      </c>
      <c r="H120">
        <v>0.11442202340618569</v>
      </c>
      <c r="I120">
        <v>56.944444444444443</v>
      </c>
      <c r="J120">
        <v>43.402777777777779</v>
      </c>
      <c r="K120">
        <v>29.166666666666661</v>
      </c>
      <c r="L120">
        <v>11.11111111111112</v>
      </c>
      <c r="M120">
        <v>35.15625</v>
      </c>
      <c r="N120">
        <v>119</v>
      </c>
      <c r="P120" t="s">
        <v>489</v>
      </c>
      <c r="Q120">
        <v>61</v>
      </c>
      <c r="R120">
        <v>1.48028035343124E-2</v>
      </c>
      <c r="S120" t="str">
        <f>IF(P120=d_선택!$B$9,E120+ROW()/1000000000,"")</f>
        <v/>
      </c>
    </row>
    <row r="121" spans="1:19">
      <c r="A121" t="s">
        <v>369</v>
      </c>
      <c r="B121" t="s">
        <v>586</v>
      </c>
      <c r="C121" t="s">
        <v>454</v>
      </c>
      <c r="D121" t="s">
        <v>455</v>
      </c>
      <c r="E121">
        <v>0.21119534086968489</v>
      </c>
      <c r="F121">
        <v>3.129166666666666</v>
      </c>
      <c r="G121">
        <v>0.56714218589469423</v>
      </c>
      <c r="H121">
        <v>0.1086640596722043</v>
      </c>
      <c r="I121">
        <v>16.666666666666661</v>
      </c>
      <c r="J121">
        <v>80.208333333333343</v>
      </c>
      <c r="K121">
        <v>22.222222222222221</v>
      </c>
      <c r="L121">
        <v>18.75</v>
      </c>
      <c r="M121">
        <v>34.461805555555557</v>
      </c>
      <c r="N121">
        <v>120</v>
      </c>
      <c r="O121" t="s">
        <v>178</v>
      </c>
      <c r="P121" t="s">
        <v>178</v>
      </c>
      <c r="Q121">
        <v>121</v>
      </c>
      <c r="R121">
        <v>-1.9730079472533898E-2</v>
      </c>
      <c r="S121" t="str">
        <f>IF(P121=d_선택!$B$9,E121+ROW()/1000000000,"")</f>
        <v/>
      </c>
    </row>
    <row r="122" spans="1:19">
      <c r="A122" t="s">
        <v>268</v>
      </c>
      <c r="B122" t="s">
        <v>587</v>
      </c>
      <c r="C122" t="s">
        <v>454</v>
      </c>
      <c r="D122" t="s">
        <v>455</v>
      </c>
      <c r="E122">
        <v>-0.18601263339026641</v>
      </c>
      <c r="F122">
        <v>4.0633333333333326</v>
      </c>
      <c r="G122">
        <v>0.56719215776663379</v>
      </c>
      <c r="H122">
        <v>0.1035631089219444</v>
      </c>
      <c r="I122">
        <v>86.805555555555557</v>
      </c>
      <c r="J122">
        <v>3.472222222222221</v>
      </c>
      <c r="K122">
        <v>21.527777777777779</v>
      </c>
      <c r="L122">
        <v>25.694444444444439</v>
      </c>
      <c r="M122">
        <v>34.375</v>
      </c>
      <c r="N122">
        <v>121</v>
      </c>
      <c r="O122" t="s">
        <v>471</v>
      </c>
      <c r="P122" t="s">
        <v>471</v>
      </c>
      <c r="Q122">
        <v>19</v>
      </c>
      <c r="R122">
        <v>6.7987110208497598E-2</v>
      </c>
      <c r="S122" t="str">
        <f>IF(P122=d_선택!$B$9,E122+ROW()/1000000000,"")</f>
        <v/>
      </c>
    </row>
    <row r="123" spans="1:19">
      <c r="A123" t="s">
        <v>266</v>
      </c>
      <c r="B123" t="s">
        <v>588</v>
      </c>
      <c r="C123" t="s">
        <v>460</v>
      </c>
      <c r="D123" t="s">
        <v>461</v>
      </c>
      <c r="E123">
        <v>-0.2047893935828432</v>
      </c>
      <c r="F123">
        <v>3.6891666666666669</v>
      </c>
      <c r="G123">
        <v>0.59300280631531044</v>
      </c>
      <c r="H123">
        <v>0.1116139195000683</v>
      </c>
      <c r="I123">
        <v>88.194444444444443</v>
      </c>
      <c r="J123">
        <v>24.652777777777779</v>
      </c>
      <c r="K123">
        <v>10.416666666666661</v>
      </c>
      <c r="L123">
        <v>13.88888888888888</v>
      </c>
      <c r="M123">
        <v>34.288194444444443</v>
      </c>
      <c r="N123">
        <v>122</v>
      </c>
      <c r="O123" t="s">
        <v>471</v>
      </c>
      <c r="P123" t="s">
        <v>471</v>
      </c>
      <c r="Q123">
        <v>17</v>
      </c>
      <c r="R123">
        <v>2.0880439037369102E-2</v>
      </c>
      <c r="S123" t="str">
        <f>IF(P123=d_선택!$B$9,E123+ROW()/1000000000,"")</f>
        <v/>
      </c>
    </row>
    <row r="124" spans="1:19">
      <c r="A124" t="s">
        <v>335</v>
      </c>
      <c r="B124" t="s">
        <v>589</v>
      </c>
      <c r="C124" t="s">
        <v>460</v>
      </c>
      <c r="D124" t="s">
        <v>461</v>
      </c>
      <c r="E124">
        <v>1.90013948427794E-2</v>
      </c>
      <c r="F124">
        <v>2.835</v>
      </c>
      <c r="G124">
        <v>0.69841939601955971</v>
      </c>
      <c r="H124">
        <v>0.1311080996862159</v>
      </c>
      <c r="I124">
        <v>40.277777777777779</v>
      </c>
      <c r="J124">
        <v>93.055555555555557</v>
      </c>
      <c r="K124">
        <v>0</v>
      </c>
      <c r="L124">
        <v>2.083333333333337</v>
      </c>
      <c r="M124">
        <v>33.854166666666671</v>
      </c>
      <c r="N124">
        <v>123</v>
      </c>
      <c r="O124" t="s">
        <v>178</v>
      </c>
      <c r="P124" t="s">
        <v>178</v>
      </c>
      <c r="Q124">
        <v>87</v>
      </c>
      <c r="R124">
        <v>1.21925732564314E-2</v>
      </c>
      <c r="S124" t="str">
        <f>IF(P124=d_선택!$B$9,E124+ROW()/1000000000,"")</f>
        <v/>
      </c>
    </row>
    <row r="125" spans="1:19">
      <c r="A125" t="s">
        <v>307</v>
      </c>
      <c r="B125" t="s">
        <v>590</v>
      </c>
      <c r="C125" t="s">
        <v>454</v>
      </c>
      <c r="D125" t="s">
        <v>455</v>
      </c>
      <c r="E125">
        <v>-4.7389157571239099E-2</v>
      </c>
      <c r="F125">
        <v>3.683333333333334</v>
      </c>
      <c r="G125">
        <v>0.56970690259477963</v>
      </c>
      <c r="H125">
        <v>0.10152513470619499</v>
      </c>
      <c r="I125">
        <v>58.333333333333329</v>
      </c>
      <c r="J125">
        <v>25.694444444444439</v>
      </c>
      <c r="K125">
        <v>19.444444444444439</v>
      </c>
      <c r="L125">
        <v>29.861111111111111</v>
      </c>
      <c r="M125">
        <v>33.333333333333329</v>
      </c>
      <c r="N125">
        <v>124</v>
      </c>
      <c r="P125" t="s">
        <v>489</v>
      </c>
      <c r="Q125">
        <v>59</v>
      </c>
      <c r="R125">
        <v>6.8756367884978298E-2</v>
      </c>
      <c r="S125" t="str">
        <f>IF(P125=d_선택!$B$9,E125+ROW()/1000000000,"")</f>
        <v/>
      </c>
    </row>
    <row r="126" spans="1:19">
      <c r="A126" t="s">
        <v>329</v>
      </c>
      <c r="B126" t="s">
        <v>591</v>
      </c>
      <c r="C126" t="s">
        <v>460</v>
      </c>
      <c r="D126" t="s">
        <v>461</v>
      </c>
      <c r="E126">
        <v>-4.7052200807311002E-3</v>
      </c>
      <c r="F126">
        <v>3.6391666666666662</v>
      </c>
      <c r="G126">
        <v>0.57943117436243985</v>
      </c>
      <c r="H126">
        <v>9.8331188535346697E-2</v>
      </c>
      <c r="I126">
        <v>44.444444444444443</v>
      </c>
      <c r="J126">
        <v>36.111111111111107</v>
      </c>
      <c r="K126">
        <v>15.27777777777778</v>
      </c>
      <c r="L126">
        <v>36.805555555555557</v>
      </c>
      <c r="M126">
        <v>33.159722222222229</v>
      </c>
      <c r="N126">
        <v>125</v>
      </c>
      <c r="P126" t="s">
        <v>489</v>
      </c>
      <c r="Q126">
        <v>81</v>
      </c>
      <c r="R126">
        <v>7.1033878205761999E-2</v>
      </c>
      <c r="S126" t="str">
        <f>IF(P126=d_선택!$B$9,E126+ROW()/1000000000,"")</f>
        <v/>
      </c>
    </row>
    <row r="127" spans="1:19">
      <c r="A127" t="s">
        <v>308</v>
      </c>
      <c r="B127" t="s">
        <v>592</v>
      </c>
      <c r="C127" t="s">
        <v>454</v>
      </c>
      <c r="D127" t="s">
        <v>455</v>
      </c>
      <c r="E127">
        <v>-4.5697320509670999E-2</v>
      </c>
      <c r="F127">
        <v>3.8808333333333338</v>
      </c>
      <c r="G127">
        <v>0.53049626925140492</v>
      </c>
      <c r="H127">
        <v>0.1094538504742784</v>
      </c>
      <c r="I127">
        <v>57.638888888888893</v>
      </c>
      <c r="J127">
        <v>12.5</v>
      </c>
      <c r="K127">
        <v>44.444444444444443</v>
      </c>
      <c r="L127">
        <v>15.97222222222222</v>
      </c>
      <c r="M127">
        <v>32.638888888888893</v>
      </c>
      <c r="N127">
        <v>126</v>
      </c>
      <c r="P127" t="s">
        <v>489</v>
      </c>
      <c r="Q127">
        <v>60</v>
      </c>
      <c r="R127">
        <v>-6.1112837105682999E-3</v>
      </c>
      <c r="S127" t="str">
        <f>IF(P127=d_선택!$B$9,E127+ROW()/1000000000,"")</f>
        <v/>
      </c>
    </row>
    <row r="128" spans="1:19">
      <c r="A128" t="s">
        <v>337</v>
      </c>
      <c r="B128" t="s">
        <v>593</v>
      </c>
      <c r="C128" t="s">
        <v>460</v>
      </c>
      <c r="D128" t="s">
        <v>461</v>
      </c>
      <c r="E128">
        <v>2.3337926369473499E-2</v>
      </c>
      <c r="F128">
        <v>3.9008333333333338</v>
      </c>
      <c r="G128">
        <v>0.54559590790179446</v>
      </c>
      <c r="H128">
        <v>9.5215699196672304E-2</v>
      </c>
      <c r="I128">
        <v>38.888888888888893</v>
      </c>
      <c r="J128">
        <v>11.805555555555561</v>
      </c>
      <c r="K128">
        <v>31.944444444444439</v>
      </c>
      <c r="L128">
        <v>43.75</v>
      </c>
      <c r="M128">
        <v>31.597222222222221</v>
      </c>
      <c r="N128">
        <v>127</v>
      </c>
      <c r="P128" t="s">
        <v>489</v>
      </c>
      <c r="Q128">
        <v>89</v>
      </c>
      <c r="R128">
        <v>3.9924884280115203E-2</v>
      </c>
      <c r="S128" t="str">
        <f>IF(P128=d_선택!$B$9,E128+ROW()/1000000000,"")</f>
        <v/>
      </c>
    </row>
    <row r="129" spans="1:19">
      <c r="A129" t="s">
        <v>379</v>
      </c>
      <c r="B129" t="s">
        <v>594</v>
      </c>
      <c r="C129" t="s">
        <v>454</v>
      </c>
      <c r="D129" t="s">
        <v>455</v>
      </c>
      <c r="E129">
        <v>0.36720748820150079</v>
      </c>
      <c r="F129">
        <v>3.5674999999999999</v>
      </c>
      <c r="G129">
        <v>0.5351228669898288</v>
      </c>
      <c r="H129">
        <v>0.1032771620639534</v>
      </c>
      <c r="I129">
        <v>9.7222222222222197</v>
      </c>
      <c r="J129">
        <v>47.222222222222221</v>
      </c>
      <c r="K129">
        <v>40.277777777777779</v>
      </c>
      <c r="L129">
        <v>26.388888888888889</v>
      </c>
      <c r="M129">
        <v>30.902777777777779</v>
      </c>
      <c r="N129">
        <v>128</v>
      </c>
      <c r="P129" t="s">
        <v>489</v>
      </c>
      <c r="Q129">
        <v>131</v>
      </c>
      <c r="R129">
        <v>2.3018847578226202E-2</v>
      </c>
      <c r="S129" t="str">
        <f>IF(P129=d_선택!$B$9,E129+ROW()/1000000000,"")</f>
        <v/>
      </c>
    </row>
    <row r="130" spans="1:19">
      <c r="A130" t="s">
        <v>357</v>
      </c>
      <c r="B130" t="s">
        <v>595</v>
      </c>
      <c r="C130" t="s">
        <v>454</v>
      </c>
      <c r="D130" t="s">
        <v>455</v>
      </c>
      <c r="E130">
        <v>0.1163986871333333</v>
      </c>
      <c r="F130">
        <v>3.4716666666666658</v>
      </c>
      <c r="G130">
        <v>0.56361495317565125</v>
      </c>
      <c r="H130">
        <v>0.1118805554548887</v>
      </c>
      <c r="I130">
        <v>25</v>
      </c>
      <c r="J130">
        <v>62.5</v>
      </c>
      <c r="K130">
        <v>22.916666666666661</v>
      </c>
      <c r="L130">
        <v>13.194444444444439</v>
      </c>
      <c r="M130">
        <v>30.902777777777779</v>
      </c>
      <c r="N130">
        <v>129</v>
      </c>
      <c r="P130" t="s">
        <v>489</v>
      </c>
      <c r="Q130">
        <v>109</v>
      </c>
      <c r="R130">
        <v>6.3307879209434301E-2</v>
      </c>
      <c r="S130" t="str">
        <f>IF(P130=d_선택!$B$9,E130+ROW()/1000000000,"")</f>
        <v/>
      </c>
    </row>
    <row r="131" spans="1:19">
      <c r="A131" t="s">
        <v>336</v>
      </c>
      <c r="B131" t="s">
        <v>596</v>
      </c>
      <c r="C131" t="s">
        <v>460</v>
      </c>
      <c r="D131" t="s">
        <v>461</v>
      </c>
      <c r="E131">
        <v>2.0296784888687601E-2</v>
      </c>
      <c r="F131">
        <v>3.2749999999999999</v>
      </c>
      <c r="G131">
        <v>0.62397680501596342</v>
      </c>
      <c r="H131">
        <v>0.13054593487891189</v>
      </c>
      <c r="I131">
        <v>39.583333333333343</v>
      </c>
      <c r="J131">
        <v>73.611111111111114</v>
      </c>
      <c r="K131">
        <v>4.1666666666666634</v>
      </c>
      <c r="L131">
        <v>2.777777777777779</v>
      </c>
      <c r="M131">
        <v>30.034722222222221</v>
      </c>
      <c r="N131">
        <v>130</v>
      </c>
      <c r="P131" t="s">
        <v>489</v>
      </c>
      <c r="Q131">
        <v>88</v>
      </c>
      <c r="R131">
        <v>1.89065498589156E-2</v>
      </c>
      <c r="S131" t="str">
        <f>IF(P131=d_선택!$B$9,E131+ROW()/1000000000,"")</f>
        <v/>
      </c>
    </row>
    <row r="132" spans="1:19">
      <c r="A132" t="s">
        <v>348</v>
      </c>
      <c r="B132" t="s">
        <v>597</v>
      </c>
      <c r="C132" t="s">
        <v>460</v>
      </c>
      <c r="D132" t="s">
        <v>461</v>
      </c>
      <c r="E132">
        <v>7.7798350470813696E-2</v>
      </c>
      <c r="F132">
        <v>3.22</v>
      </c>
      <c r="G132">
        <v>0.59810084827856869</v>
      </c>
      <c r="H132">
        <v>0.1299566805306272</v>
      </c>
      <c r="I132">
        <v>31.25</v>
      </c>
      <c r="J132">
        <v>76.388888888888886</v>
      </c>
      <c r="K132">
        <v>8.3333333333333375</v>
      </c>
      <c r="L132">
        <v>3.472222222222221</v>
      </c>
      <c r="M132">
        <v>29.861111111111111</v>
      </c>
      <c r="N132">
        <v>131</v>
      </c>
      <c r="O132" t="s">
        <v>178</v>
      </c>
      <c r="P132" t="s">
        <v>178</v>
      </c>
      <c r="Q132">
        <v>100</v>
      </c>
      <c r="R132">
        <v>4.5287901514040997E-3</v>
      </c>
      <c r="S132" t="str">
        <f>IF(P132=d_선택!$B$9,E132+ROW()/1000000000,"")</f>
        <v/>
      </c>
    </row>
    <row r="133" spans="1:19">
      <c r="A133" t="s">
        <v>342</v>
      </c>
      <c r="B133" t="s">
        <v>598</v>
      </c>
      <c r="C133" t="s">
        <v>460</v>
      </c>
      <c r="D133" t="s">
        <v>461</v>
      </c>
      <c r="E133">
        <v>4.8684899443358597E-2</v>
      </c>
      <c r="F133">
        <v>3.6541666666666668</v>
      </c>
      <c r="G133">
        <v>0.63491799477244037</v>
      </c>
      <c r="H133">
        <v>9.4694531012656902E-2</v>
      </c>
      <c r="I133">
        <v>35.416666666666657</v>
      </c>
      <c r="J133">
        <v>32.638888888888893</v>
      </c>
      <c r="K133">
        <v>2.777777777777779</v>
      </c>
      <c r="L133">
        <v>47.222222222222221</v>
      </c>
      <c r="M133">
        <v>29.513888888888889</v>
      </c>
      <c r="N133">
        <v>132</v>
      </c>
      <c r="P133" t="s">
        <v>489</v>
      </c>
      <c r="Q133">
        <v>94</v>
      </c>
      <c r="R133">
        <v>2.6514788057745799E-2</v>
      </c>
      <c r="S133" t="str">
        <f>IF(P133=d_선택!$B$9,E133+ROW()/1000000000,"")</f>
        <v/>
      </c>
    </row>
    <row r="134" spans="1:19">
      <c r="A134" t="s">
        <v>380</v>
      </c>
      <c r="B134" t="s">
        <v>599</v>
      </c>
      <c r="C134" t="s">
        <v>454</v>
      </c>
      <c r="D134" t="s">
        <v>455</v>
      </c>
      <c r="E134">
        <v>0.36899056952385401</v>
      </c>
      <c r="F134">
        <v>3.0783333333333331</v>
      </c>
      <c r="G134">
        <v>0.5848738641953739</v>
      </c>
      <c r="H134">
        <v>0.12217965842607049</v>
      </c>
      <c r="I134">
        <v>9.0277777777777803</v>
      </c>
      <c r="J134">
        <v>81.944444444444443</v>
      </c>
      <c r="K134">
        <v>13.194444444444439</v>
      </c>
      <c r="L134">
        <v>6.944444444444442</v>
      </c>
      <c r="M134">
        <v>27.777777777777779</v>
      </c>
      <c r="N134">
        <v>133</v>
      </c>
      <c r="O134" t="s">
        <v>178</v>
      </c>
      <c r="P134" t="s">
        <v>178</v>
      </c>
      <c r="Q134">
        <v>132</v>
      </c>
      <c r="R134">
        <v>-8.6708366992852993E-3</v>
      </c>
      <c r="S134" t="str">
        <f>IF(P134=d_선택!$B$9,E134+ROW()/1000000000,"")</f>
        <v/>
      </c>
    </row>
    <row r="135" spans="1:19">
      <c r="A135" t="s">
        <v>334</v>
      </c>
      <c r="B135" t="s">
        <v>600</v>
      </c>
      <c r="C135" t="s">
        <v>454</v>
      </c>
      <c r="D135" t="s">
        <v>455</v>
      </c>
      <c r="E135">
        <v>1.6820626569411901E-2</v>
      </c>
      <c r="F135">
        <v>3.7591666666666672</v>
      </c>
      <c r="G135">
        <v>0.57802915746824235</v>
      </c>
      <c r="H135">
        <v>0.1001677561962227</v>
      </c>
      <c r="I135">
        <v>40.972222222222221</v>
      </c>
      <c r="J135">
        <v>18.75</v>
      </c>
      <c r="K135">
        <v>15.97222222222222</v>
      </c>
      <c r="L135">
        <v>32.638888888888893</v>
      </c>
      <c r="M135">
        <v>27.083333333333329</v>
      </c>
      <c r="N135">
        <v>134</v>
      </c>
      <c r="P135" t="s">
        <v>489</v>
      </c>
      <c r="Q135">
        <v>86</v>
      </c>
      <c r="R135">
        <v>-7.3036982914548104E-2</v>
      </c>
      <c r="S135" t="str">
        <f>IF(P135=d_선택!$B$9,E135+ROW()/1000000000,"")</f>
        <v/>
      </c>
    </row>
    <row r="136" spans="1:19">
      <c r="A136" t="s">
        <v>349</v>
      </c>
      <c r="B136" t="s">
        <v>601</v>
      </c>
      <c r="C136" t="s">
        <v>460</v>
      </c>
      <c r="D136" t="s">
        <v>461</v>
      </c>
      <c r="E136">
        <v>8.3799456607736397E-2</v>
      </c>
      <c r="F136">
        <v>3.5733333333333341</v>
      </c>
      <c r="G136">
        <v>0.58611864751467369</v>
      </c>
      <c r="H136">
        <v>0.10904690831738351</v>
      </c>
      <c r="I136">
        <v>30.555555555555561</v>
      </c>
      <c r="J136">
        <v>43.402777777777779</v>
      </c>
      <c r="K136">
        <v>12.5</v>
      </c>
      <c r="L136">
        <v>16.666666666666661</v>
      </c>
      <c r="M136">
        <v>25.78125</v>
      </c>
      <c r="N136">
        <v>135</v>
      </c>
      <c r="P136" t="s">
        <v>489</v>
      </c>
      <c r="Q136">
        <v>101</v>
      </c>
      <c r="R136">
        <v>3.5086994451518402E-2</v>
      </c>
      <c r="S136" t="str">
        <f>IF(P136=d_선택!$B$9,E136+ROW()/1000000000,"")</f>
        <v/>
      </c>
    </row>
    <row r="137" spans="1:19">
      <c r="A137" t="s">
        <v>350</v>
      </c>
      <c r="B137" t="s">
        <v>602</v>
      </c>
      <c r="C137" t="s">
        <v>460</v>
      </c>
      <c r="D137" t="s">
        <v>461</v>
      </c>
      <c r="E137">
        <v>9.2059470264820295E-2</v>
      </c>
      <c r="F137">
        <v>3.3424999999999998</v>
      </c>
      <c r="G137">
        <v>0.6420649661912694</v>
      </c>
      <c r="H137">
        <v>0.13274123894140499</v>
      </c>
      <c r="I137">
        <v>29.861111111111111</v>
      </c>
      <c r="J137">
        <v>70.833333333333329</v>
      </c>
      <c r="K137">
        <v>1.388888888888884</v>
      </c>
      <c r="L137">
        <v>0.69444444444444198</v>
      </c>
      <c r="M137">
        <v>25.694444444444439</v>
      </c>
      <c r="N137">
        <v>136</v>
      </c>
      <c r="P137" t="s">
        <v>489</v>
      </c>
      <c r="Q137">
        <v>102</v>
      </c>
      <c r="R137">
        <v>-8.8591094623548996E-3</v>
      </c>
      <c r="S137" t="str">
        <f>IF(P137=d_선택!$B$9,E137+ROW()/1000000000,"")</f>
        <v/>
      </c>
    </row>
    <row r="138" spans="1:19">
      <c r="A138" t="s">
        <v>341</v>
      </c>
      <c r="B138" t="s">
        <v>603</v>
      </c>
      <c r="C138" t="s">
        <v>454</v>
      </c>
      <c r="D138" t="s">
        <v>455</v>
      </c>
      <c r="E138">
        <v>4.3498831770454299E-2</v>
      </c>
      <c r="F138">
        <v>3.6741666666666668</v>
      </c>
      <c r="G138">
        <v>0.63180277174479105</v>
      </c>
      <c r="H138">
        <v>9.8495534300749601E-2</v>
      </c>
      <c r="I138">
        <v>36.111111111111107</v>
      </c>
      <c r="J138">
        <v>27.083333333333339</v>
      </c>
      <c r="K138">
        <v>3.472222222222221</v>
      </c>
      <c r="L138">
        <v>35.416666666666657</v>
      </c>
      <c r="M138">
        <v>25.520833333333339</v>
      </c>
      <c r="N138">
        <v>137</v>
      </c>
      <c r="P138" t="s">
        <v>489</v>
      </c>
      <c r="Q138">
        <v>93</v>
      </c>
      <c r="R138">
        <v>9.0553554371909595E-2</v>
      </c>
      <c r="S138" t="str">
        <f>IF(P138=d_선택!$B$9,E138+ROW()/1000000000,"")</f>
        <v/>
      </c>
    </row>
    <row r="139" spans="1:19">
      <c r="A139" t="s">
        <v>361</v>
      </c>
      <c r="B139" t="s">
        <v>604</v>
      </c>
      <c r="C139" t="s">
        <v>454</v>
      </c>
      <c r="D139" t="s">
        <v>455</v>
      </c>
      <c r="E139">
        <v>0.13697549794818009</v>
      </c>
      <c r="F139">
        <v>3.6433333333333331</v>
      </c>
      <c r="G139">
        <v>0.54428776421378644</v>
      </c>
      <c r="H139">
        <v>0.1151859729014585</v>
      </c>
      <c r="I139">
        <v>22.222222222222221</v>
      </c>
      <c r="J139">
        <v>34.375</v>
      </c>
      <c r="K139">
        <v>33.333333333333343</v>
      </c>
      <c r="L139">
        <v>9.7222222222222197</v>
      </c>
      <c r="M139">
        <v>24.913194444444439</v>
      </c>
      <c r="N139">
        <v>138</v>
      </c>
      <c r="P139" t="s">
        <v>489</v>
      </c>
      <c r="Q139">
        <v>113</v>
      </c>
      <c r="R139">
        <v>3.4121934116659598E-2</v>
      </c>
      <c r="S139" t="str">
        <f>IF(P139=d_선택!$B$9,E139+ROW()/1000000000,"")</f>
        <v/>
      </c>
    </row>
    <row r="140" spans="1:19">
      <c r="A140" t="s">
        <v>377</v>
      </c>
      <c r="B140" t="s">
        <v>605</v>
      </c>
      <c r="C140" t="s">
        <v>460</v>
      </c>
      <c r="D140" t="s">
        <v>461</v>
      </c>
      <c r="E140">
        <v>0.3362704539941932</v>
      </c>
      <c r="F140">
        <v>3.2650000000000001</v>
      </c>
      <c r="G140">
        <v>0.63924543007247991</v>
      </c>
      <c r="H140">
        <v>0.1174682668118041</v>
      </c>
      <c r="I140">
        <v>11.11111111111112</v>
      </c>
      <c r="J140">
        <v>75</v>
      </c>
      <c r="K140">
        <v>2.083333333333337</v>
      </c>
      <c r="L140">
        <v>9.0277777777777803</v>
      </c>
      <c r="M140">
        <v>24.305555555555561</v>
      </c>
      <c r="N140">
        <v>139</v>
      </c>
      <c r="O140" t="s">
        <v>178</v>
      </c>
      <c r="P140" t="s">
        <v>178</v>
      </c>
      <c r="Q140">
        <v>129</v>
      </c>
      <c r="R140">
        <v>1.9205778658778999E-3</v>
      </c>
      <c r="S140" t="str">
        <f>IF(P140=d_선택!$B$9,E140+ROW()/1000000000,"")</f>
        <v/>
      </c>
    </row>
    <row r="141" spans="1:19">
      <c r="A141" t="s">
        <v>378</v>
      </c>
      <c r="B141" t="s">
        <v>606</v>
      </c>
      <c r="C141" t="s">
        <v>460</v>
      </c>
      <c r="D141" t="s">
        <v>461</v>
      </c>
      <c r="E141">
        <v>0.34213182491760019</v>
      </c>
      <c r="F141">
        <v>3.5575000000000001</v>
      </c>
      <c r="G141">
        <v>0.57625886089521072</v>
      </c>
      <c r="H141">
        <v>0.10677363788748789</v>
      </c>
      <c r="I141">
        <v>10.416666666666661</v>
      </c>
      <c r="J141">
        <v>49.305555555555557</v>
      </c>
      <c r="K141">
        <v>16.666666666666661</v>
      </c>
      <c r="L141">
        <v>20.138888888888889</v>
      </c>
      <c r="M141">
        <v>24.131944444444439</v>
      </c>
      <c r="N141">
        <v>140</v>
      </c>
      <c r="P141" t="s">
        <v>489</v>
      </c>
      <c r="Q141">
        <v>130</v>
      </c>
      <c r="R141">
        <v>4.1411788130726698E-2</v>
      </c>
      <c r="S141" t="str">
        <f>IF(P141=d_선택!$B$9,E141+ROW()/1000000000,"")</f>
        <v/>
      </c>
    </row>
    <row r="142" spans="1:19">
      <c r="A142" t="s">
        <v>367</v>
      </c>
      <c r="B142" t="s">
        <v>607</v>
      </c>
      <c r="C142" t="s">
        <v>454</v>
      </c>
      <c r="D142" t="s">
        <v>455</v>
      </c>
      <c r="E142">
        <v>0.1782781495339269</v>
      </c>
      <c r="F142">
        <v>4.0233333333333334</v>
      </c>
      <c r="G142">
        <v>0.55878430943451585</v>
      </c>
      <c r="H142">
        <v>9.7463582890504594E-2</v>
      </c>
      <c r="I142">
        <v>18.055555555555561</v>
      </c>
      <c r="J142">
        <v>5.555555555555558</v>
      </c>
      <c r="K142">
        <v>25</v>
      </c>
      <c r="L142">
        <v>40.277777777777779</v>
      </c>
      <c r="M142">
        <v>22.222222222222221</v>
      </c>
      <c r="N142">
        <v>141</v>
      </c>
      <c r="P142" t="s">
        <v>489</v>
      </c>
      <c r="Q142">
        <v>119</v>
      </c>
      <c r="R142">
        <v>3.6971854148201999E-3</v>
      </c>
      <c r="S142" t="str">
        <f>IF(P142=d_선택!$B$9,E142+ROW()/1000000000,"")</f>
        <v/>
      </c>
    </row>
    <row r="143" spans="1:19">
      <c r="A143" t="s">
        <v>362</v>
      </c>
      <c r="B143" t="s">
        <v>608</v>
      </c>
      <c r="C143" t="s">
        <v>460</v>
      </c>
      <c r="D143" t="s">
        <v>461</v>
      </c>
      <c r="E143">
        <v>0.14376067008462101</v>
      </c>
      <c r="F143">
        <v>3.6675</v>
      </c>
      <c r="G143">
        <v>0.60042258013076066</v>
      </c>
      <c r="H143">
        <v>0.10713017818831309</v>
      </c>
      <c r="I143">
        <v>21.527777777777779</v>
      </c>
      <c r="J143">
        <v>28.472222222222221</v>
      </c>
      <c r="K143">
        <v>6.944444444444442</v>
      </c>
      <c r="L143">
        <v>19.444444444444439</v>
      </c>
      <c r="M143">
        <v>19.097222222222221</v>
      </c>
      <c r="N143">
        <v>142</v>
      </c>
      <c r="P143" t="s">
        <v>489</v>
      </c>
      <c r="Q143">
        <v>114</v>
      </c>
      <c r="R143">
        <v>-8.2899356020504009E-3</v>
      </c>
      <c r="S143" t="str">
        <f>IF(P143=d_선택!$B$9,E143+ROW()/1000000000,"")</f>
        <v/>
      </c>
    </row>
    <row r="144" spans="1:19">
      <c r="A144" t="s">
        <v>390</v>
      </c>
      <c r="B144" t="s">
        <v>609</v>
      </c>
      <c r="C144" t="s">
        <v>460</v>
      </c>
      <c r="D144" t="s">
        <v>461</v>
      </c>
      <c r="E144">
        <v>0.84115637051427083</v>
      </c>
      <c r="F144">
        <v>3.57</v>
      </c>
      <c r="G144">
        <v>0.59066414361487529</v>
      </c>
      <c r="H144">
        <v>0.1137263194348733</v>
      </c>
      <c r="I144">
        <v>2.083333333333337</v>
      </c>
      <c r="J144">
        <v>45.833333333333343</v>
      </c>
      <c r="K144">
        <v>11.11111111111112</v>
      </c>
      <c r="L144">
        <v>11.805555555555561</v>
      </c>
      <c r="M144">
        <v>17.708333333333339</v>
      </c>
      <c r="N144">
        <v>143</v>
      </c>
      <c r="P144" t="s">
        <v>489</v>
      </c>
      <c r="Q144">
        <v>142</v>
      </c>
      <c r="R144">
        <v>6.9723552784792794E-2</v>
      </c>
      <c r="S144" t="str">
        <f>IF(P144=d_선택!$B$9,E144+ROW()/1000000000,"")</f>
        <v/>
      </c>
    </row>
    <row r="145" spans="1:19">
      <c r="A145" t="s">
        <v>387</v>
      </c>
      <c r="B145" t="s">
        <v>610</v>
      </c>
      <c r="C145" t="s">
        <v>454</v>
      </c>
      <c r="D145" t="s">
        <v>455</v>
      </c>
      <c r="E145">
        <v>0.65902343119421825</v>
      </c>
      <c r="F145">
        <v>4.081666666666667</v>
      </c>
      <c r="G145">
        <v>0.53106366608963262</v>
      </c>
      <c r="H145">
        <v>0.11505270069044279</v>
      </c>
      <c r="I145">
        <v>4.1666666666666634</v>
      </c>
      <c r="J145">
        <v>2.777777777777779</v>
      </c>
      <c r="K145">
        <v>43.055555555555557</v>
      </c>
      <c r="L145">
        <v>10.416666666666661</v>
      </c>
      <c r="M145">
        <v>15.10416666666667</v>
      </c>
      <c r="N145">
        <v>144</v>
      </c>
      <c r="P145" t="s">
        <v>489</v>
      </c>
      <c r="Q145">
        <v>139</v>
      </c>
      <c r="R145">
        <v>4.6615466120034997E-2</v>
      </c>
      <c r="S145" t="str">
        <f>IF(P145=d_선택!$B$9,E145+ROW()/1000000000,"")</f>
        <v/>
      </c>
    </row>
  </sheetData>
  <phoneticPr fontId="44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45"/>
  <sheetViews>
    <sheetView workbookViewId="0"/>
  </sheetViews>
  <sheetFormatPr baseColWidth="10" defaultColWidth="8.83203125" defaultRowHeight="17"/>
  <sheetData>
    <row r="1" spans="1:1">
      <c r="A1" t="s">
        <v>244</v>
      </c>
    </row>
    <row r="2" spans="1:1">
      <c r="A2" t="s">
        <v>373</v>
      </c>
    </row>
    <row r="3" spans="1:1">
      <c r="A3" t="s">
        <v>274</v>
      </c>
    </row>
    <row r="4" spans="1:1">
      <c r="A4" t="s">
        <v>340</v>
      </c>
    </row>
    <row r="5" spans="1:1">
      <c r="A5" t="s">
        <v>330</v>
      </c>
    </row>
    <row r="6" spans="1:1">
      <c r="A6" t="s">
        <v>336</v>
      </c>
    </row>
    <row r="7" spans="1:1">
      <c r="A7" t="s">
        <v>262</v>
      </c>
    </row>
    <row r="8" spans="1:1">
      <c r="A8" t="s">
        <v>268</v>
      </c>
    </row>
    <row r="9" spans="1:1">
      <c r="A9" t="s">
        <v>320</v>
      </c>
    </row>
    <row r="10" spans="1:1">
      <c r="A10" t="s">
        <v>376</v>
      </c>
    </row>
    <row r="11" spans="1:1">
      <c r="A11" t="s">
        <v>275</v>
      </c>
    </row>
    <row r="12" spans="1:1">
      <c r="A12" t="s">
        <v>363</v>
      </c>
    </row>
    <row r="13" spans="1:1">
      <c r="A13" t="s">
        <v>361</v>
      </c>
    </row>
    <row r="14" spans="1:1">
      <c r="A14" t="s">
        <v>391</v>
      </c>
    </row>
    <row r="15" spans="1:1">
      <c r="A15" t="s">
        <v>344</v>
      </c>
    </row>
    <row r="16" spans="1:1">
      <c r="A16" t="s">
        <v>394</v>
      </c>
    </row>
    <row r="17" spans="1:1">
      <c r="A17" t="s">
        <v>267</v>
      </c>
    </row>
    <row r="18" spans="1:1">
      <c r="A18" t="s">
        <v>316</v>
      </c>
    </row>
    <row r="19" spans="1:1">
      <c r="A19" t="s">
        <v>339</v>
      </c>
    </row>
    <row r="20" spans="1:1">
      <c r="A20" t="s">
        <v>298</v>
      </c>
    </row>
    <row r="21" spans="1:1">
      <c r="A21" t="s">
        <v>392</v>
      </c>
    </row>
    <row r="22" spans="1:1">
      <c r="A22" t="s">
        <v>323</v>
      </c>
    </row>
    <row r="23" spans="1:1">
      <c r="A23" t="s">
        <v>266</v>
      </c>
    </row>
    <row r="24" spans="1:1">
      <c r="A24" t="s">
        <v>357</v>
      </c>
    </row>
    <row r="25" spans="1:1">
      <c r="A25" t="s">
        <v>371</v>
      </c>
    </row>
    <row r="26" spans="1:1">
      <c r="A26" t="s">
        <v>342</v>
      </c>
    </row>
    <row r="27" spans="1:1">
      <c r="A27" t="s">
        <v>285</v>
      </c>
    </row>
    <row r="28" spans="1:1">
      <c r="A28" t="s">
        <v>270</v>
      </c>
    </row>
    <row r="29" spans="1:1">
      <c r="A29" t="s">
        <v>359</v>
      </c>
    </row>
    <row r="30" spans="1:1">
      <c r="A30" t="s">
        <v>307</v>
      </c>
    </row>
    <row r="31" spans="1:1">
      <c r="A31" t="s">
        <v>297</v>
      </c>
    </row>
    <row r="32" spans="1:1">
      <c r="A32" t="s">
        <v>296</v>
      </c>
    </row>
    <row r="33" spans="1:1">
      <c r="A33" t="s">
        <v>269</v>
      </c>
    </row>
    <row r="34" spans="1:1">
      <c r="A34" t="s">
        <v>317</v>
      </c>
    </row>
    <row r="35" spans="1:1">
      <c r="A35" t="s">
        <v>288</v>
      </c>
    </row>
    <row r="36" spans="1:1">
      <c r="A36" t="s">
        <v>251</v>
      </c>
    </row>
    <row r="37" spans="1:1">
      <c r="A37" t="s">
        <v>315</v>
      </c>
    </row>
    <row r="38" spans="1:1">
      <c r="A38" t="s">
        <v>290</v>
      </c>
    </row>
    <row r="39" spans="1:1">
      <c r="A39" t="s">
        <v>328</v>
      </c>
    </row>
    <row r="40" spans="1:1">
      <c r="A40" t="s">
        <v>358</v>
      </c>
    </row>
    <row r="41" spans="1:1">
      <c r="A41" t="s">
        <v>347</v>
      </c>
    </row>
    <row r="42" spans="1:1">
      <c r="A42" t="s">
        <v>367</v>
      </c>
    </row>
    <row r="43" spans="1:1">
      <c r="A43" t="s">
        <v>333</v>
      </c>
    </row>
    <row r="44" spans="1:1">
      <c r="A44" t="s">
        <v>335</v>
      </c>
    </row>
    <row r="45" spans="1:1">
      <c r="A45" t="s">
        <v>324</v>
      </c>
    </row>
    <row r="46" spans="1:1">
      <c r="A46" t="s">
        <v>384</v>
      </c>
    </row>
    <row r="47" spans="1:1">
      <c r="A47" t="s">
        <v>276</v>
      </c>
    </row>
    <row r="48" spans="1:1">
      <c r="A48" t="s">
        <v>271</v>
      </c>
    </row>
    <row r="49" spans="1:1">
      <c r="A49" t="s">
        <v>380</v>
      </c>
    </row>
    <row r="50" spans="1:1">
      <c r="A50" t="s">
        <v>345</v>
      </c>
    </row>
    <row r="51" spans="1:1">
      <c r="A51" t="s">
        <v>386</v>
      </c>
    </row>
    <row r="52" spans="1:1">
      <c r="A52" t="s">
        <v>388</v>
      </c>
    </row>
    <row r="53" spans="1:1">
      <c r="A53" t="s">
        <v>294</v>
      </c>
    </row>
    <row r="54" spans="1:1">
      <c r="A54" t="s">
        <v>282</v>
      </c>
    </row>
    <row r="55" spans="1:1">
      <c r="A55" t="s">
        <v>368</v>
      </c>
    </row>
    <row r="56" spans="1:1">
      <c r="A56" t="s">
        <v>385</v>
      </c>
    </row>
    <row r="57" spans="1:1">
      <c r="A57" t="s">
        <v>322</v>
      </c>
    </row>
    <row r="58" spans="1:1">
      <c r="A58" t="s">
        <v>337</v>
      </c>
    </row>
    <row r="59" spans="1:1">
      <c r="A59" t="s">
        <v>348</v>
      </c>
    </row>
    <row r="60" spans="1:1">
      <c r="A60" t="s">
        <v>287</v>
      </c>
    </row>
    <row r="61" spans="1:1">
      <c r="A61" t="s">
        <v>295</v>
      </c>
    </row>
    <row r="62" spans="1:1">
      <c r="A62" t="s">
        <v>253</v>
      </c>
    </row>
    <row r="63" spans="1:1">
      <c r="A63" t="s">
        <v>311</v>
      </c>
    </row>
    <row r="64" spans="1:1">
      <c r="A64" t="s">
        <v>286</v>
      </c>
    </row>
    <row r="65" spans="1:1">
      <c r="A65" t="s">
        <v>277</v>
      </c>
    </row>
    <row r="66" spans="1:1">
      <c r="A66" t="s">
        <v>304</v>
      </c>
    </row>
    <row r="67" spans="1:1">
      <c r="A67" t="s">
        <v>331</v>
      </c>
    </row>
    <row r="68" spans="1:1">
      <c r="A68" t="s">
        <v>272</v>
      </c>
    </row>
    <row r="69" spans="1:1">
      <c r="A69" t="s">
        <v>157</v>
      </c>
    </row>
    <row r="70" spans="1:1">
      <c r="A70" t="s">
        <v>366</v>
      </c>
    </row>
    <row r="71" spans="1:1">
      <c r="A71" t="s">
        <v>362</v>
      </c>
    </row>
    <row r="72" spans="1:1">
      <c r="A72" t="s">
        <v>299</v>
      </c>
    </row>
    <row r="73" spans="1:1">
      <c r="A73" t="s">
        <v>260</v>
      </c>
    </row>
    <row r="74" spans="1:1">
      <c r="A74" t="s">
        <v>318</v>
      </c>
    </row>
    <row r="75" spans="1:1">
      <c r="A75" t="s">
        <v>370</v>
      </c>
    </row>
    <row r="76" spans="1:1">
      <c r="A76" t="s">
        <v>327</v>
      </c>
    </row>
    <row r="77" spans="1:1">
      <c r="A77" t="s">
        <v>343</v>
      </c>
    </row>
    <row r="78" spans="1:1">
      <c r="A78" t="s">
        <v>278</v>
      </c>
    </row>
    <row r="79" spans="1:1">
      <c r="A79" t="s">
        <v>353</v>
      </c>
    </row>
    <row r="80" spans="1:1">
      <c r="A80" t="s">
        <v>265</v>
      </c>
    </row>
    <row r="81" spans="1:1">
      <c r="A81" t="s">
        <v>352</v>
      </c>
    </row>
    <row r="82" spans="1:1">
      <c r="A82" t="s">
        <v>389</v>
      </c>
    </row>
    <row r="83" spans="1:1">
      <c r="A83" t="s">
        <v>387</v>
      </c>
    </row>
    <row r="84" spans="1:1">
      <c r="A84" t="s">
        <v>303</v>
      </c>
    </row>
    <row r="85" spans="1:1">
      <c r="A85" t="s">
        <v>256</v>
      </c>
    </row>
    <row r="86" spans="1:1">
      <c r="A86" t="s">
        <v>310</v>
      </c>
    </row>
    <row r="87" spans="1:1">
      <c r="A87" t="s">
        <v>258</v>
      </c>
    </row>
    <row r="88" spans="1:1">
      <c r="A88" t="s">
        <v>379</v>
      </c>
    </row>
    <row r="89" spans="1:1">
      <c r="A89" t="s">
        <v>341</v>
      </c>
    </row>
    <row r="90" spans="1:1">
      <c r="A90" t="s">
        <v>325</v>
      </c>
    </row>
    <row r="91" spans="1:1">
      <c r="A91" t="s">
        <v>306</v>
      </c>
    </row>
    <row r="92" spans="1:1">
      <c r="A92" t="s">
        <v>390</v>
      </c>
    </row>
    <row r="93" spans="1:1">
      <c r="A93" t="s">
        <v>255</v>
      </c>
    </row>
    <row r="94" spans="1:1">
      <c r="A94" t="s">
        <v>356</v>
      </c>
    </row>
    <row r="95" spans="1:1">
      <c r="A95" t="s">
        <v>250</v>
      </c>
    </row>
    <row r="96" spans="1:1">
      <c r="A96" t="s">
        <v>349</v>
      </c>
    </row>
    <row r="97" spans="1:1">
      <c r="A97" t="s">
        <v>257</v>
      </c>
    </row>
    <row r="98" spans="1:1">
      <c r="A98" t="s">
        <v>283</v>
      </c>
    </row>
    <row r="99" spans="1:1">
      <c r="A99" t="s">
        <v>259</v>
      </c>
    </row>
    <row r="100" spans="1:1">
      <c r="A100" t="s">
        <v>365</v>
      </c>
    </row>
    <row r="101" spans="1:1">
      <c r="A101" t="s">
        <v>329</v>
      </c>
    </row>
    <row r="102" spans="1:1">
      <c r="A102" t="s">
        <v>292</v>
      </c>
    </row>
    <row r="103" spans="1:1">
      <c r="A103" t="s">
        <v>281</v>
      </c>
    </row>
    <row r="104" spans="1:1">
      <c r="A104" t="s">
        <v>254</v>
      </c>
    </row>
    <row r="105" spans="1:1">
      <c r="A105" t="s">
        <v>364</v>
      </c>
    </row>
    <row r="106" spans="1:1">
      <c r="A106" t="s">
        <v>383</v>
      </c>
    </row>
    <row r="107" spans="1:1">
      <c r="A107" t="s">
        <v>381</v>
      </c>
    </row>
    <row r="108" spans="1:1">
      <c r="A108" t="s">
        <v>382</v>
      </c>
    </row>
    <row r="109" spans="1:1">
      <c r="A109" t="s">
        <v>301</v>
      </c>
    </row>
    <row r="110" spans="1:1">
      <c r="A110" t="s">
        <v>284</v>
      </c>
    </row>
    <row r="111" spans="1:1">
      <c r="A111" t="s">
        <v>350</v>
      </c>
    </row>
    <row r="112" spans="1:1">
      <c r="A112" t="s">
        <v>309</v>
      </c>
    </row>
    <row r="113" spans="1:1">
      <c r="A113" t="s">
        <v>338</v>
      </c>
    </row>
    <row r="114" spans="1:1">
      <c r="A114" t="s">
        <v>377</v>
      </c>
    </row>
    <row r="115" spans="1:1">
      <c r="A115" t="s">
        <v>252</v>
      </c>
    </row>
    <row r="116" spans="1:1">
      <c r="A116" t="s">
        <v>378</v>
      </c>
    </row>
    <row r="117" spans="1:1">
      <c r="A117" t="s">
        <v>264</v>
      </c>
    </row>
    <row r="118" spans="1:1">
      <c r="A118" t="s">
        <v>289</v>
      </c>
    </row>
    <row r="119" spans="1:1">
      <c r="A119" t="s">
        <v>334</v>
      </c>
    </row>
    <row r="120" spans="1:1">
      <c r="A120" t="s">
        <v>263</v>
      </c>
    </row>
    <row r="121" spans="1:1">
      <c r="A121" t="s">
        <v>360</v>
      </c>
    </row>
    <row r="122" spans="1:1">
      <c r="A122" t="s">
        <v>355</v>
      </c>
    </row>
    <row r="123" spans="1:1">
      <c r="A123" t="s">
        <v>369</v>
      </c>
    </row>
    <row r="124" spans="1:1">
      <c r="A124" t="s">
        <v>305</v>
      </c>
    </row>
    <row r="125" spans="1:1">
      <c r="A125" t="s">
        <v>326</v>
      </c>
    </row>
    <row r="126" spans="1:1">
      <c r="A126" t="s">
        <v>308</v>
      </c>
    </row>
    <row r="127" spans="1:1">
      <c r="A127" t="s">
        <v>291</v>
      </c>
    </row>
    <row r="128" spans="1:1">
      <c r="A128" t="s">
        <v>346</v>
      </c>
    </row>
    <row r="129" spans="1:1">
      <c r="A129" t="s">
        <v>319</v>
      </c>
    </row>
    <row r="130" spans="1:1">
      <c r="A130" t="s">
        <v>375</v>
      </c>
    </row>
    <row r="131" spans="1:1">
      <c r="A131" t="s">
        <v>261</v>
      </c>
    </row>
    <row r="132" spans="1:1">
      <c r="A132" t="s">
        <v>354</v>
      </c>
    </row>
    <row r="133" spans="1:1">
      <c r="A133" t="s">
        <v>280</v>
      </c>
    </row>
    <row r="134" spans="1:1">
      <c r="A134" t="s">
        <v>321</v>
      </c>
    </row>
    <row r="135" spans="1:1">
      <c r="A135" t="s">
        <v>351</v>
      </c>
    </row>
    <row r="136" spans="1:1">
      <c r="A136" t="s">
        <v>332</v>
      </c>
    </row>
    <row r="137" spans="1:1">
      <c r="A137" t="s">
        <v>302</v>
      </c>
    </row>
    <row r="138" spans="1:1">
      <c r="A138" t="s">
        <v>293</v>
      </c>
    </row>
    <row r="139" spans="1:1">
      <c r="A139" t="s">
        <v>374</v>
      </c>
    </row>
    <row r="140" spans="1:1">
      <c r="A140" t="s">
        <v>300</v>
      </c>
    </row>
    <row r="141" spans="1:1">
      <c r="A141" t="s">
        <v>372</v>
      </c>
    </row>
    <row r="142" spans="1:1">
      <c r="A142" t="s">
        <v>393</v>
      </c>
    </row>
    <row r="143" spans="1:1">
      <c r="A143" t="s">
        <v>279</v>
      </c>
    </row>
    <row r="144" spans="1:1">
      <c r="A144" t="s">
        <v>313</v>
      </c>
    </row>
    <row r="145" spans="1:1">
      <c r="A145" t="s">
        <v>273</v>
      </c>
    </row>
  </sheetData>
  <phoneticPr fontId="44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39"/>
  <sheetViews>
    <sheetView workbookViewId="0"/>
  </sheetViews>
  <sheetFormatPr baseColWidth="10" defaultColWidth="8.83203125" defaultRowHeight="17"/>
  <sheetData>
    <row r="1" spans="1:2">
      <c r="A1" t="s">
        <v>611</v>
      </c>
      <c r="B1" t="s">
        <v>612</v>
      </c>
    </row>
    <row r="2" spans="1:2">
      <c r="A2" t="s">
        <v>613</v>
      </c>
      <c r="B2" t="str">
        <f>'4 시·군 진단'!$AC$3</f>
        <v>안동시</v>
      </c>
    </row>
    <row r="3" spans="1:2">
      <c r="A3" t="s">
        <v>614</v>
      </c>
      <c r="B3">
        <f>MATCH(B2,d_진단!$A$2:$A$145,0)</f>
        <v>57</v>
      </c>
    </row>
    <row r="4" spans="1:2">
      <c r="A4" t="s">
        <v>437</v>
      </c>
      <c r="B4" t="str">
        <f>INDEX(d_진단!$B$2:$B$145,$B$3)</f>
        <v>안동</v>
      </c>
    </row>
    <row r="5" spans="1:2">
      <c r="A5" t="s">
        <v>438</v>
      </c>
      <c r="B5" t="str">
        <f>INDEX(d_진단!$C$2:$C$145,$B$3)</f>
        <v>과</v>
      </c>
    </row>
    <row r="6" spans="1:2">
      <c r="A6" t="s">
        <v>439</v>
      </c>
      <c r="B6" t="str">
        <f>INDEX(d_진단!$D$2:$D$145,$B$3)</f>
        <v>은</v>
      </c>
    </row>
    <row r="7" spans="1:2">
      <c r="A7" t="s">
        <v>448</v>
      </c>
      <c r="B7" t="str">
        <f>INDEX(d_진단!$O$2:$O$145,$B$3)</f>
        <v>체험·문화 · 숙박일수</v>
      </c>
    </row>
    <row r="8" spans="1:2">
      <c r="A8" t="s">
        <v>615</v>
      </c>
      <c r="B8" t="str">
        <f>IF(B7="","없음",B7)</f>
        <v>체험·문화 · 숙박일수</v>
      </c>
    </row>
    <row r="9" spans="1:2">
      <c r="A9" t="s">
        <v>449</v>
      </c>
      <c r="B9" t="str">
        <f>INDEX(d_진단!$P$2:$P$145,$B$3)</f>
        <v>체험·문화 · 숙박일수</v>
      </c>
    </row>
    <row r="10" spans="1:2">
      <c r="A10" t="s">
        <v>616</v>
      </c>
      <c r="B10">
        <f>COUNTIF(d_진단!$P$2:$P$145,B9)</f>
        <v>7</v>
      </c>
    </row>
    <row r="11" spans="1:2">
      <c r="A11" t="s">
        <v>617</v>
      </c>
      <c r="B11" t="str">
        <f>IF(B7="",B4&amp;B6&amp;" 네 지표 모두 문제 구간 밖",IF(B10=1,B4&amp;B5&amp;" 같은 유형은 이곳뿐",B4&amp;B5&amp;" 같은 문제를 가진 곳 전국 "&amp;(B10-1)&amp;"곳"))</f>
        <v>안동과 같은 문제를 가진 곳 전국 6곳</v>
      </c>
    </row>
    <row r="12" spans="1:2">
      <c r="A12" t="s">
        <v>440</v>
      </c>
      <c r="B12">
        <f>INDEX(d_진단!$E$2:$E$145,$B$3)</f>
        <v>-0.16790570949358949</v>
      </c>
    </row>
    <row r="13" spans="1:2">
      <c r="A13" t="s">
        <v>618</v>
      </c>
      <c r="B13">
        <f>INDEX(d_진단!$F$2:$F$145,$B$3)</f>
        <v>3.065833333333333</v>
      </c>
    </row>
    <row r="14" spans="1:2">
      <c r="A14" t="s">
        <v>619</v>
      </c>
      <c r="B14">
        <f>INDEX(d_진단!$G$2:$G$145,$B$3)</f>
        <v>0.5573177986427954</v>
      </c>
    </row>
    <row r="15" spans="1:2">
      <c r="A15" t="s">
        <v>620</v>
      </c>
      <c r="B15">
        <f>INDEX(d_진단!$H$2:$H$145,$B$3)</f>
        <v>0.1050741769176029</v>
      </c>
    </row>
    <row r="16" spans="1:2">
      <c r="A16" t="s">
        <v>443</v>
      </c>
      <c r="B16">
        <f>INDEX(d_진단!$I$2:$I$145,$B$3)</f>
        <v>84.722222222222214</v>
      </c>
    </row>
    <row r="17" spans="1:5">
      <c r="A17" t="s">
        <v>444</v>
      </c>
      <c r="B17">
        <f>INDEX(d_진단!$J$2:$J$145,$B$3)</f>
        <v>82.638888888888886</v>
      </c>
    </row>
    <row r="18" spans="1:5">
      <c r="A18" t="s">
        <v>445</v>
      </c>
      <c r="B18">
        <f>INDEX(d_진단!$K$2:$K$145,$B$3)</f>
        <v>25.694444444444439</v>
      </c>
    </row>
    <row r="19" spans="1:5">
      <c r="A19" t="s">
        <v>446</v>
      </c>
      <c r="B19">
        <f>INDEX(d_진단!$L$2:$L$145,$B$3)</f>
        <v>22.916666666666661</v>
      </c>
    </row>
    <row r="20" spans="1:5">
      <c r="A20" t="s">
        <v>447</v>
      </c>
      <c r="B20">
        <f>INDEX(d_진단!$M$2:$M$145,$B$3)</f>
        <v>53.99305555555555</v>
      </c>
    </row>
    <row r="21" spans="1:5">
      <c r="A21" t="s">
        <v>411</v>
      </c>
      <c r="B21">
        <f>INDEX(d_진단!$N$2:$N$145,$B$3)</f>
        <v>57</v>
      </c>
    </row>
    <row r="22" spans="1:5">
      <c r="A22" t="s">
        <v>450</v>
      </c>
      <c r="B22">
        <f>INDEX(d_진단!$Q$2:$Q$145,$B$3)</f>
        <v>22</v>
      </c>
    </row>
    <row r="23" spans="1:5">
      <c r="A23" t="s">
        <v>451</v>
      </c>
      <c r="B23">
        <f>INDEX(d_진단!$R$2:$R$145,$B$3)</f>
        <v>5.64163196573432E-2</v>
      </c>
    </row>
    <row r="24" spans="1:5">
      <c r="A24" t="s">
        <v>621</v>
      </c>
      <c r="B24">
        <f>INDEX(d_진단!$S$2:$S$145,$B$3)</f>
        <v>-0.16790565149358949</v>
      </c>
    </row>
    <row r="25" spans="1:5">
      <c r="A25" t="s">
        <v>622</v>
      </c>
      <c r="B25">
        <f>COUNTIF(d_진단!$S$2:$S$145,"&lt;"&amp;B24)+1</f>
        <v>6</v>
      </c>
    </row>
    <row r="26" spans="1:5">
      <c r="A26" t="s">
        <v>623</v>
      </c>
      <c r="B26" t="str">
        <f>IF(B7="","문제 구간 밖인 곳 "&amp;B10&amp;"곳","같은 유형 "&amp;B10&amp;"곳")</f>
        <v>같은 유형 7곳</v>
      </c>
    </row>
    <row r="27" spans="1:5">
      <c r="A27" t="s">
        <v>624</v>
      </c>
      <c r="B27" t="str">
        <f>IF(B10&gt;8,"외 "&amp;(B10-8)&amp;"곳","")</f>
        <v/>
      </c>
    </row>
    <row r="28" spans="1:5">
      <c r="A28" t="s">
        <v>625</v>
      </c>
      <c r="B28" t="str">
        <f>B4&amp;"의 네 지표"</f>
        <v>안동의 네 지표</v>
      </c>
    </row>
    <row r="29" spans="1:5">
      <c r="A29" t="s">
        <v>626</v>
      </c>
      <c r="B29" t="str">
        <f>B4&amp;"의 유형("&amp;B9&amp;")은 144곳 중 "&amp;B10&amp;"곳이 같다."</f>
        <v>안동의 유형(체험·문화 · 숙박일수)은 144곳 중 7곳이 같다.</v>
      </c>
    </row>
    <row r="31" spans="1:5">
      <c r="A31" t="s">
        <v>627</v>
      </c>
      <c r="B31" t="s">
        <v>244</v>
      </c>
      <c r="C31" t="s">
        <v>440</v>
      </c>
      <c r="D31" t="s">
        <v>618</v>
      </c>
      <c r="E31" t="s">
        <v>628</v>
      </c>
    </row>
    <row r="32" spans="1:5">
      <c r="A32">
        <v>1</v>
      </c>
      <c r="B32" t="str">
        <f>IF(1&gt;$B$10,"",IF(AND(1=8,$B$25&gt;8),$B$2,INDEX(d_진단!$A$2:$A$145,MATCH(SMALL(d_진단!$S$2:$S$145,1),d_진단!$S$2:$S$145,0))))</f>
        <v>울진군</v>
      </c>
      <c r="C32">
        <f>IF(B32="","",INDEX(d_진단!$E$2:$E$145,MATCH(B32,d_진단!$A$2:$A$145,0)))</f>
        <v>-0.53918032157257934</v>
      </c>
      <c r="D32">
        <f>IF(B32="","",INDEX(d_진단!$F$2:$F$145,MATCH(B32,d_진단!$A$2:$A$145,0)))</f>
        <v>3.0575000000000001</v>
      </c>
      <c r="E32">
        <f t="shared" ref="E32:E39" si="0">IF(B32="","",INT((MAX(-0.5999,MIN(0.5999,C32))+0.6)/0.1))</f>
        <v>0</v>
      </c>
    </row>
    <row r="33" spans="1:5">
      <c r="A33">
        <v>2</v>
      </c>
      <c r="B33" t="str">
        <f>IF(2&gt;$B$10,"",IF(AND(2=8,$B$25&gt;8),$B$2,INDEX(d_진단!$A$2:$A$145,MATCH(SMALL(d_진단!$S$2:$S$145,2),d_진단!$S$2:$S$145,0))))</f>
        <v>남해군</v>
      </c>
      <c r="C33">
        <f>IF(B33="","",INDEX(d_진단!$E$2:$E$145,MATCH(B33,d_진단!$A$2:$A$145,0)))</f>
        <v>-0.52077364435063067</v>
      </c>
      <c r="D33">
        <f>IF(B33="","",INDEX(d_진단!$F$2:$F$145,MATCH(B33,d_진단!$A$2:$A$145,0)))</f>
        <v>2.624166666666667</v>
      </c>
      <c r="E33">
        <f t="shared" si="0"/>
        <v>0</v>
      </c>
    </row>
    <row r="34" spans="1:5">
      <c r="A34">
        <v>3</v>
      </c>
      <c r="B34" t="str">
        <f>IF(3&gt;$B$10,"",IF(AND(3=8,$B$25&gt;8),$B$2,INDEX(d_진단!$A$2:$A$145,MATCH(SMALL(d_진단!$S$2:$S$145,3),d_진단!$S$2:$S$145,0))))</f>
        <v>양양군</v>
      </c>
      <c r="C34">
        <f>IF(B34="","",INDEX(d_진단!$E$2:$E$145,MATCH(B34,d_진단!$A$2:$A$145,0)))</f>
        <v>-0.24593867936641889</v>
      </c>
      <c r="D34">
        <f>IF(B34="","",INDEX(d_진단!$F$2:$F$145,MATCH(B34,d_진단!$A$2:$A$145,0)))</f>
        <v>2.5575000000000001</v>
      </c>
      <c r="E34">
        <f t="shared" si="0"/>
        <v>3</v>
      </c>
    </row>
    <row r="35" spans="1:5">
      <c r="A35">
        <v>4</v>
      </c>
      <c r="B35" t="str">
        <f>IF(4&gt;$B$10,"",IF(AND(4=8,$B$25&gt;8),$B$2,INDEX(d_진단!$A$2:$A$145,MATCH(SMALL(d_진단!$S$2:$S$145,4),d_진단!$S$2:$S$145,0))))</f>
        <v>영덕군</v>
      </c>
      <c r="C35">
        <f>IF(B35="","",INDEX(d_진단!$E$2:$E$145,MATCH(B35,d_진단!$A$2:$A$145,0)))</f>
        <v>-0.21094743120392631</v>
      </c>
      <c r="D35">
        <f>IF(B35="","",INDEX(d_진단!$F$2:$F$145,MATCH(B35,d_진단!$A$2:$A$145,0)))</f>
        <v>2.9116666666666662</v>
      </c>
      <c r="E35">
        <f t="shared" si="0"/>
        <v>3</v>
      </c>
    </row>
    <row r="36" spans="1:5">
      <c r="A36">
        <v>5</v>
      </c>
      <c r="B36" t="str">
        <f>IF(5&gt;$B$10,"",IF(AND(5=8,$B$25&gt;8),$B$2,INDEX(d_진단!$A$2:$A$145,MATCH(SMALL(d_진단!$S$2:$S$145,5),d_진단!$S$2:$S$145,0))))</f>
        <v>광명시</v>
      </c>
      <c r="C36">
        <f>IF(B36="","",INDEX(d_진단!$E$2:$E$145,MATCH(B36,d_진단!$A$2:$A$145,0)))</f>
        <v>-0.20432088513410709</v>
      </c>
      <c r="D36">
        <f>IF(B36="","",INDEX(d_진단!$F$2:$F$145,MATCH(B36,d_진단!$A$2:$A$145,0)))</f>
        <v>3.1891666666666669</v>
      </c>
      <c r="E36">
        <f t="shared" si="0"/>
        <v>3</v>
      </c>
    </row>
    <row r="37" spans="1:5">
      <c r="A37">
        <v>6</v>
      </c>
      <c r="B37" t="str">
        <f>IF(6&gt;$B$10,"",IF(AND(6=8,$B$25&gt;8),$B$2,INDEX(d_진단!$A$2:$A$145,MATCH(SMALL(d_진단!$S$2:$S$145,6),d_진단!$S$2:$S$145,0))))</f>
        <v>안동시</v>
      </c>
      <c r="C37">
        <f>IF(B37="","",INDEX(d_진단!$E$2:$E$145,MATCH(B37,d_진단!$A$2:$A$145,0)))</f>
        <v>-0.16790570949358949</v>
      </c>
      <c r="D37">
        <f>IF(B37="","",INDEX(d_진단!$F$2:$F$145,MATCH(B37,d_진단!$A$2:$A$145,0)))</f>
        <v>3.065833333333333</v>
      </c>
      <c r="E37">
        <f t="shared" si="0"/>
        <v>4</v>
      </c>
    </row>
    <row r="38" spans="1:5">
      <c r="A38">
        <v>7</v>
      </c>
      <c r="B38" t="str">
        <f>IF(7&gt;$B$10,"",IF(AND(7=8,$B$25&gt;8),$B$2,INDEX(d_진단!$A$2:$A$145,MATCH(SMALL(d_진단!$S$2:$S$145,7),d_진단!$S$2:$S$145,0))))</f>
        <v>강릉시</v>
      </c>
      <c r="C38">
        <f>IF(B38="","",INDEX(d_진단!$E$2:$E$145,MATCH(B38,d_진단!$A$2:$A$145,0)))</f>
        <v>-0.14848000865295591</v>
      </c>
      <c r="D38">
        <f>IF(B38="","",INDEX(d_진단!$F$2:$F$145,MATCH(B38,d_진단!$A$2:$A$145,0)))</f>
        <v>2.8658333333333328</v>
      </c>
      <c r="E38">
        <f t="shared" si="0"/>
        <v>4</v>
      </c>
    </row>
    <row r="39" spans="1:5">
      <c r="A39">
        <v>8</v>
      </c>
      <c r="B39" t="str">
        <f>IF(8&gt;$B$10,"",IF(AND(8=8,$B$25&gt;8),$B$2,INDEX(d_진단!$A$2:$A$145,MATCH(SMALL(d_진단!$S$2:$S$145,8),d_진단!$S$2:$S$145,0))))</f>
        <v/>
      </c>
      <c r="C39" t="str">
        <f>IF(B39="","",INDEX(d_진단!$E$2:$E$145,MATCH(B39,d_진단!$A$2:$A$145,0)))</f>
        <v/>
      </c>
      <c r="D39" t="str">
        <f>IF(B39="","",INDEX(d_진단!$F$2:$F$145,MATCH(B39,d_진단!$A$2:$A$145,0)))</f>
        <v/>
      </c>
      <c r="E39" t="str">
        <f t="shared" si="0"/>
        <v/>
      </c>
    </row>
  </sheetData>
  <phoneticPr fontId="44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2"/>
  <sheetViews>
    <sheetView workbookViewId="0"/>
  </sheetViews>
  <sheetFormatPr baseColWidth="10" defaultColWidth="8.83203125" defaultRowHeight="17"/>
  <sheetData>
    <row r="1" spans="1:3">
      <c r="A1" t="s">
        <v>448</v>
      </c>
      <c r="B1" t="s">
        <v>629</v>
      </c>
      <c r="C1" t="s">
        <v>630</v>
      </c>
    </row>
    <row r="2" spans="1:3">
      <c r="A2" t="s">
        <v>456</v>
      </c>
      <c r="B2" s="26">
        <v>1</v>
      </c>
      <c r="C2" t="e">
        <f>IF(A2=d_선택!$B$9,B2,NA())</f>
        <v>#N/A</v>
      </c>
    </row>
    <row r="3" spans="1:3">
      <c r="A3" t="s">
        <v>485</v>
      </c>
      <c r="B3" s="26">
        <v>1</v>
      </c>
      <c r="C3" t="e">
        <f>IF(A3=d_선택!$B$9,B3,NA())</f>
        <v>#N/A</v>
      </c>
    </row>
    <row r="4" spans="1:3">
      <c r="A4" t="s">
        <v>474</v>
      </c>
      <c r="B4" s="26">
        <v>2</v>
      </c>
      <c r="C4" t="e">
        <f>IF(A4=d_선택!$B$9,B4,NA())</f>
        <v>#N/A</v>
      </c>
    </row>
    <row r="5" spans="1:3">
      <c r="A5" t="s">
        <v>492</v>
      </c>
      <c r="B5" s="26">
        <v>5</v>
      </c>
      <c r="C5" t="e">
        <f>IF(A5=d_선택!$B$9,B5,NA())</f>
        <v>#N/A</v>
      </c>
    </row>
    <row r="6" spans="1:3">
      <c r="A6" t="s">
        <v>487</v>
      </c>
      <c r="B6" s="26">
        <v>6</v>
      </c>
      <c r="C6" t="e">
        <f>IF(A6=d_선택!$B$9,B6,NA())</f>
        <v>#N/A</v>
      </c>
    </row>
    <row r="7" spans="1:3">
      <c r="A7" t="s">
        <v>483</v>
      </c>
      <c r="B7" s="26">
        <v>7</v>
      </c>
      <c r="C7">
        <f>IF(A7=d_선택!$B$9,B7,NA())</f>
        <v>7</v>
      </c>
    </row>
    <row r="8" spans="1:3">
      <c r="A8" t="s">
        <v>458</v>
      </c>
      <c r="B8" s="26">
        <v>9</v>
      </c>
      <c r="C8" t="e">
        <f>IF(A8=d_선택!$B$9,B8,NA())</f>
        <v>#N/A</v>
      </c>
    </row>
    <row r="9" spans="1:3">
      <c r="A9" t="s">
        <v>463</v>
      </c>
      <c r="B9" s="26">
        <v>18</v>
      </c>
      <c r="C9" t="e">
        <f>IF(A9=d_선택!$B$9,B9,NA())</f>
        <v>#N/A</v>
      </c>
    </row>
    <row r="10" spans="1:3">
      <c r="A10" t="s">
        <v>471</v>
      </c>
      <c r="B10" s="26">
        <v>19</v>
      </c>
      <c r="C10" t="e">
        <f>IF(A10=d_선택!$B$9,B10,NA())</f>
        <v>#N/A</v>
      </c>
    </row>
    <row r="11" spans="1:3">
      <c r="A11" t="s">
        <v>178</v>
      </c>
      <c r="B11" s="26">
        <v>25</v>
      </c>
      <c r="C11" t="e">
        <f>IF(A11=d_선택!$B$9,B11,NA())</f>
        <v>#N/A</v>
      </c>
    </row>
    <row r="12" spans="1:3">
      <c r="A12" t="s">
        <v>489</v>
      </c>
      <c r="B12" s="26">
        <v>51</v>
      </c>
      <c r="C12" t="e">
        <f>IF(A12=d_선택!$B$9,B12,NA())</f>
        <v>#N/A</v>
      </c>
    </row>
  </sheetData>
  <phoneticPr fontId="44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7483"/>
  <sheetViews>
    <sheetView workbookViewId="0"/>
  </sheetViews>
  <sheetFormatPr baseColWidth="10" defaultColWidth="8.83203125" defaultRowHeight="17"/>
  <sheetData>
    <row r="1" spans="1:2">
      <c r="A1" t="s">
        <v>425</v>
      </c>
      <c r="B1" t="s">
        <v>426</v>
      </c>
    </row>
    <row r="2" spans="1:2">
      <c r="A2">
        <v>207.8</v>
      </c>
      <c r="B2">
        <v>489.9</v>
      </c>
    </row>
    <row r="3" spans="1:2">
      <c r="A3">
        <v>208.8</v>
      </c>
      <c r="B3">
        <v>487.4</v>
      </c>
    </row>
    <row r="4" spans="1:2">
      <c r="A4">
        <v>208</v>
      </c>
      <c r="B4">
        <v>486.5</v>
      </c>
    </row>
    <row r="5" spans="1:2">
      <c r="A5">
        <v>212</v>
      </c>
      <c r="B5">
        <v>483.7</v>
      </c>
    </row>
    <row r="6" spans="1:2">
      <c r="A6">
        <v>207.1</v>
      </c>
      <c r="B6">
        <v>483</v>
      </c>
    </row>
    <row r="7" spans="1:2">
      <c r="A7">
        <v>205.9</v>
      </c>
      <c r="B7">
        <v>484.4</v>
      </c>
    </row>
    <row r="8" spans="1:2">
      <c r="A8">
        <v>205.5</v>
      </c>
      <c r="B8">
        <v>489.3</v>
      </c>
    </row>
    <row r="9" spans="1:2">
      <c r="A9">
        <v>207.8</v>
      </c>
      <c r="B9">
        <v>489.9</v>
      </c>
    </row>
    <row r="11" spans="1:2">
      <c r="A11">
        <v>212</v>
      </c>
      <c r="B11">
        <v>483.7</v>
      </c>
    </row>
    <row r="12" spans="1:2">
      <c r="A12">
        <v>210.8</v>
      </c>
      <c r="B12">
        <v>480.7</v>
      </c>
    </row>
    <row r="13" spans="1:2">
      <c r="A13">
        <v>206.7</v>
      </c>
      <c r="B13">
        <v>481.5</v>
      </c>
    </row>
    <row r="14" spans="1:2">
      <c r="A14">
        <v>207.3</v>
      </c>
      <c r="B14">
        <v>483.3</v>
      </c>
    </row>
    <row r="15" spans="1:2">
      <c r="A15">
        <v>212</v>
      </c>
      <c r="B15">
        <v>483.7</v>
      </c>
    </row>
    <row r="17" spans="1:2">
      <c r="A17">
        <v>207.4</v>
      </c>
      <c r="B17">
        <v>481.7</v>
      </c>
    </row>
    <row r="18" spans="1:2">
      <c r="A18">
        <v>211.5</v>
      </c>
      <c r="B18">
        <v>480</v>
      </c>
    </row>
    <row r="19" spans="1:2">
      <c r="A19">
        <v>208.7</v>
      </c>
      <c r="B19">
        <v>476.6</v>
      </c>
    </row>
    <row r="20" spans="1:2">
      <c r="A20">
        <v>205.6</v>
      </c>
      <c r="B20">
        <v>477.8</v>
      </c>
    </row>
    <row r="21" spans="1:2">
      <c r="A21">
        <v>205.2</v>
      </c>
      <c r="B21">
        <v>479.5</v>
      </c>
    </row>
    <row r="22" spans="1:2">
      <c r="A22">
        <v>207.4</v>
      </c>
      <c r="B22">
        <v>481.7</v>
      </c>
    </row>
    <row r="24" spans="1:2">
      <c r="A24">
        <v>213.8</v>
      </c>
      <c r="B24">
        <v>483.7</v>
      </c>
    </row>
    <row r="25" spans="1:2">
      <c r="A25">
        <v>216.5</v>
      </c>
      <c r="B25">
        <v>482.3</v>
      </c>
    </row>
    <row r="26" spans="1:2">
      <c r="A26">
        <v>214.9</v>
      </c>
      <c r="B26">
        <v>479</v>
      </c>
    </row>
    <row r="27" spans="1:2">
      <c r="A27">
        <v>210.8</v>
      </c>
      <c r="B27">
        <v>480.4</v>
      </c>
    </row>
    <row r="28" spans="1:2">
      <c r="A28">
        <v>212</v>
      </c>
      <c r="B28">
        <v>483.7</v>
      </c>
    </row>
    <row r="29" spans="1:2">
      <c r="A29">
        <v>213.8</v>
      </c>
      <c r="B29">
        <v>483.7</v>
      </c>
    </row>
    <row r="31" spans="1:2">
      <c r="A31">
        <v>219.1</v>
      </c>
      <c r="B31">
        <v>483.5</v>
      </c>
    </row>
    <row r="32" spans="1:2">
      <c r="A32">
        <v>219.5</v>
      </c>
      <c r="B32">
        <v>480.4</v>
      </c>
    </row>
    <row r="33" spans="1:2">
      <c r="A33">
        <v>217</v>
      </c>
      <c r="B33">
        <v>478.4</v>
      </c>
    </row>
    <row r="34" spans="1:2">
      <c r="A34">
        <v>214.9</v>
      </c>
      <c r="B34">
        <v>479</v>
      </c>
    </row>
    <row r="35" spans="1:2">
      <c r="A35">
        <v>216.8</v>
      </c>
      <c r="B35">
        <v>483.7</v>
      </c>
    </row>
    <row r="36" spans="1:2">
      <c r="A36">
        <v>219.1</v>
      </c>
      <c r="B36">
        <v>483.5</v>
      </c>
    </row>
    <row r="38" spans="1:2">
      <c r="A38">
        <v>216.3</v>
      </c>
      <c r="B38">
        <v>486.7</v>
      </c>
    </row>
    <row r="39" spans="1:2">
      <c r="A39">
        <v>216.3</v>
      </c>
      <c r="B39">
        <v>482.4</v>
      </c>
    </row>
    <row r="40" spans="1:2">
      <c r="A40">
        <v>212</v>
      </c>
      <c r="B40">
        <v>483.7</v>
      </c>
    </row>
    <row r="41" spans="1:2">
      <c r="A41">
        <v>213.8</v>
      </c>
      <c r="B41">
        <v>486.4</v>
      </c>
    </row>
    <row r="42" spans="1:2">
      <c r="A42">
        <v>216</v>
      </c>
      <c r="B42">
        <v>487.7</v>
      </c>
    </row>
    <row r="43" spans="1:2">
      <c r="A43">
        <v>216.3</v>
      </c>
      <c r="B43">
        <v>486.7</v>
      </c>
    </row>
    <row r="45" spans="1:2">
      <c r="A45">
        <v>220.1</v>
      </c>
      <c r="B45">
        <v>488.8</v>
      </c>
    </row>
    <row r="46" spans="1:2">
      <c r="A46">
        <v>219.5</v>
      </c>
      <c r="B46">
        <v>484.9</v>
      </c>
    </row>
    <row r="47" spans="1:2">
      <c r="A47">
        <v>216.8</v>
      </c>
      <c r="B47">
        <v>483.7</v>
      </c>
    </row>
    <row r="48" spans="1:2">
      <c r="A48">
        <v>216.1</v>
      </c>
      <c r="B48">
        <v>488.4</v>
      </c>
    </row>
    <row r="49" spans="1:2">
      <c r="A49">
        <v>220.1</v>
      </c>
      <c r="B49">
        <v>488.8</v>
      </c>
    </row>
    <row r="51" spans="1:2">
      <c r="A51">
        <v>209.6</v>
      </c>
      <c r="B51">
        <v>490</v>
      </c>
    </row>
    <row r="52" spans="1:2">
      <c r="A52">
        <v>211.9</v>
      </c>
      <c r="B52">
        <v>487.9</v>
      </c>
    </row>
    <row r="53" spans="1:2">
      <c r="A53">
        <v>214.4</v>
      </c>
      <c r="B53">
        <v>489.3</v>
      </c>
    </row>
    <row r="54" spans="1:2">
      <c r="A54">
        <v>216.2</v>
      </c>
      <c r="B54">
        <v>487.5</v>
      </c>
    </row>
    <row r="55" spans="1:2">
      <c r="A55">
        <v>210.8</v>
      </c>
      <c r="B55">
        <v>484.6</v>
      </c>
    </row>
    <row r="56" spans="1:2">
      <c r="A56">
        <v>208</v>
      </c>
      <c r="B56">
        <v>486.5</v>
      </c>
    </row>
    <row r="57" spans="1:2">
      <c r="A57">
        <v>208.8</v>
      </c>
      <c r="B57">
        <v>487.4</v>
      </c>
    </row>
    <row r="58" spans="1:2">
      <c r="A58">
        <v>207.8</v>
      </c>
      <c r="B58">
        <v>490.1</v>
      </c>
    </row>
    <row r="59" spans="1:2">
      <c r="A59">
        <v>209.6</v>
      </c>
      <c r="B59">
        <v>490</v>
      </c>
    </row>
    <row r="61" spans="1:2">
      <c r="A61">
        <v>211.6</v>
      </c>
      <c r="B61">
        <v>494.4</v>
      </c>
    </row>
    <row r="62" spans="1:2">
      <c r="A62">
        <v>211.1</v>
      </c>
      <c r="B62">
        <v>492.2</v>
      </c>
    </row>
    <row r="63" spans="1:2">
      <c r="A63">
        <v>214.4</v>
      </c>
      <c r="B63">
        <v>489.3</v>
      </c>
    </row>
    <row r="64" spans="1:2">
      <c r="A64">
        <v>212.7</v>
      </c>
      <c r="B64">
        <v>487.7</v>
      </c>
    </row>
    <row r="65" spans="1:2">
      <c r="A65">
        <v>208.6</v>
      </c>
      <c r="B65">
        <v>490.6</v>
      </c>
    </row>
    <row r="66" spans="1:2">
      <c r="A66">
        <v>208.2</v>
      </c>
      <c r="B66">
        <v>492.8</v>
      </c>
    </row>
    <row r="67" spans="1:2">
      <c r="A67">
        <v>209.7</v>
      </c>
      <c r="B67">
        <v>495.6</v>
      </c>
    </row>
    <row r="68" spans="1:2">
      <c r="A68">
        <v>211.6</v>
      </c>
      <c r="B68">
        <v>494.4</v>
      </c>
    </row>
    <row r="70" spans="1:2">
      <c r="A70">
        <v>211.9</v>
      </c>
      <c r="B70">
        <v>497.5</v>
      </c>
    </row>
    <row r="71" spans="1:2">
      <c r="A71">
        <v>214.6</v>
      </c>
      <c r="B71">
        <v>495.9</v>
      </c>
    </row>
    <row r="72" spans="1:2">
      <c r="A72">
        <v>214.9</v>
      </c>
      <c r="B72">
        <v>491.1</v>
      </c>
    </row>
    <row r="73" spans="1:2">
      <c r="A73">
        <v>213.7</v>
      </c>
      <c r="B73">
        <v>490</v>
      </c>
    </row>
    <row r="74" spans="1:2">
      <c r="A74">
        <v>211.1</v>
      </c>
      <c r="B74">
        <v>492.3</v>
      </c>
    </row>
    <row r="75" spans="1:2">
      <c r="A75">
        <v>210.7</v>
      </c>
      <c r="B75">
        <v>496.4</v>
      </c>
    </row>
    <row r="76" spans="1:2">
      <c r="A76">
        <v>211.9</v>
      </c>
      <c r="B76">
        <v>497.5</v>
      </c>
    </row>
    <row r="78" spans="1:2">
      <c r="A78">
        <v>217.3</v>
      </c>
      <c r="B78">
        <v>496.9</v>
      </c>
    </row>
    <row r="79" spans="1:2">
      <c r="A79">
        <v>218.4</v>
      </c>
      <c r="B79">
        <v>496.3</v>
      </c>
    </row>
    <row r="80" spans="1:2">
      <c r="A80">
        <v>218.1</v>
      </c>
      <c r="B80">
        <v>492</v>
      </c>
    </row>
    <row r="81" spans="1:2">
      <c r="A81">
        <v>219.8</v>
      </c>
      <c r="B81">
        <v>490.2</v>
      </c>
    </row>
    <row r="82" spans="1:2">
      <c r="A82">
        <v>219.2</v>
      </c>
      <c r="B82">
        <v>488.9</v>
      </c>
    </row>
    <row r="83" spans="1:2">
      <c r="A83">
        <v>215.5</v>
      </c>
      <c r="B83">
        <v>488.3</v>
      </c>
    </row>
    <row r="84" spans="1:2">
      <c r="A84">
        <v>213.6</v>
      </c>
      <c r="B84">
        <v>490.1</v>
      </c>
    </row>
    <row r="85" spans="1:2">
      <c r="A85">
        <v>214.9</v>
      </c>
      <c r="B85">
        <v>491.1</v>
      </c>
    </row>
    <row r="86" spans="1:2">
      <c r="A86">
        <v>214.5</v>
      </c>
      <c r="B86">
        <v>496.1</v>
      </c>
    </row>
    <row r="87" spans="1:2">
      <c r="A87">
        <v>217.3</v>
      </c>
      <c r="B87">
        <v>496.9</v>
      </c>
    </row>
    <row r="89" spans="1:2">
      <c r="A89">
        <v>205.8</v>
      </c>
      <c r="B89">
        <v>492.6</v>
      </c>
    </row>
    <row r="90" spans="1:2">
      <c r="A90">
        <v>206.8</v>
      </c>
      <c r="B90">
        <v>490.3</v>
      </c>
    </row>
    <row r="91" spans="1:2">
      <c r="A91">
        <v>205.7</v>
      </c>
      <c r="B91">
        <v>487.9</v>
      </c>
    </row>
    <row r="92" spans="1:2">
      <c r="A92">
        <v>201.4</v>
      </c>
      <c r="B92">
        <v>484.1</v>
      </c>
    </row>
    <row r="93" spans="1:2">
      <c r="A93">
        <v>199.7</v>
      </c>
      <c r="B93">
        <v>485.7</v>
      </c>
    </row>
    <row r="94" spans="1:2">
      <c r="A94">
        <v>201.2</v>
      </c>
      <c r="B94">
        <v>485.6</v>
      </c>
    </row>
    <row r="95" spans="1:2">
      <c r="A95">
        <v>201.7</v>
      </c>
      <c r="B95">
        <v>492</v>
      </c>
    </row>
    <row r="96" spans="1:2">
      <c r="A96">
        <v>205.8</v>
      </c>
      <c r="B96">
        <v>492.6</v>
      </c>
    </row>
    <row r="98" spans="1:2">
      <c r="A98">
        <v>206.3</v>
      </c>
      <c r="B98">
        <v>486.5</v>
      </c>
    </row>
    <row r="99" spans="1:2">
      <c r="A99">
        <v>206.5</v>
      </c>
      <c r="B99">
        <v>482.1</v>
      </c>
    </row>
    <row r="100" spans="1:2">
      <c r="A100">
        <v>204.5</v>
      </c>
      <c r="B100">
        <v>481.8</v>
      </c>
    </row>
    <row r="101" spans="1:2">
      <c r="A101">
        <v>201.4</v>
      </c>
      <c r="B101">
        <v>484.1</v>
      </c>
    </row>
    <row r="102" spans="1:2">
      <c r="A102">
        <v>205.7</v>
      </c>
      <c r="B102">
        <v>487.9</v>
      </c>
    </row>
    <row r="103" spans="1:2">
      <c r="A103">
        <v>206.3</v>
      </c>
      <c r="B103">
        <v>486.5</v>
      </c>
    </row>
    <row r="105" spans="1:2">
      <c r="A105">
        <v>201.1</v>
      </c>
      <c r="B105">
        <v>484.4</v>
      </c>
    </row>
    <row r="106" spans="1:2">
      <c r="A106">
        <v>204.5</v>
      </c>
      <c r="B106">
        <v>481.8</v>
      </c>
    </row>
    <row r="107" spans="1:2">
      <c r="A107">
        <v>206.6</v>
      </c>
      <c r="B107">
        <v>482.3</v>
      </c>
    </row>
    <row r="108" spans="1:2">
      <c r="A108">
        <v>206.1</v>
      </c>
      <c r="B108">
        <v>480.2</v>
      </c>
    </row>
    <row r="109" spans="1:2">
      <c r="A109">
        <v>201.7</v>
      </c>
      <c r="B109">
        <v>480.4</v>
      </c>
    </row>
    <row r="110" spans="1:2">
      <c r="A110">
        <v>197.5</v>
      </c>
      <c r="B110">
        <v>483.3</v>
      </c>
    </row>
    <row r="111" spans="1:2">
      <c r="A111">
        <v>199.7</v>
      </c>
      <c r="B111">
        <v>485.7</v>
      </c>
    </row>
    <row r="112" spans="1:2">
      <c r="A112">
        <v>201.1</v>
      </c>
      <c r="B112">
        <v>484.4</v>
      </c>
    </row>
    <row r="114" spans="1:2">
      <c r="A114">
        <v>199</v>
      </c>
      <c r="B114">
        <v>477</v>
      </c>
    </row>
    <row r="115" spans="1:2">
      <c r="A115">
        <v>194.6</v>
      </c>
      <c r="B115">
        <v>477</v>
      </c>
    </row>
    <row r="116" spans="1:2">
      <c r="A116">
        <v>194.9</v>
      </c>
      <c r="B116">
        <v>481</v>
      </c>
    </row>
    <row r="117" spans="1:2">
      <c r="A117">
        <v>196</v>
      </c>
      <c r="B117">
        <v>478.8</v>
      </c>
    </row>
    <row r="118" spans="1:2">
      <c r="A118">
        <v>198.1</v>
      </c>
      <c r="B118">
        <v>479.1</v>
      </c>
    </row>
    <row r="119" spans="1:2">
      <c r="A119">
        <v>198.1</v>
      </c>
      <c r="B119">
        <v>481.4</v>
      </c>
    </row>
    <row r="120" spans="1:2">
      <c r="A120">
        <v>199.6</v>
      </c>
      <c r="B120">
        <v>481.1</v>
      </c>
    </row>
    <row r="121" spans="1:2">
      <c r="A121">
        <v>200.4</v>
      </c>
      <c r="B121">
        <v>479.3</v>
      </c>
    </row>
    <row r="122" spans="1:2">
      <c r="A122">
        <v>199</v>
      </c>
      <c r="B122">
        <v>477</v>
      </c>
    </row>
    <row r="124" spans="1:2">
      <c r="A124">
        <v>194.7</v>
      </c>
      <c r="B124">
        <v>485.5</v>
      </c>
    </row>
    <row r="125" spans="1:2">
      <c r="A125">
        <v>199.5</v>
      </c>
      <c r="B125">
        <v>482</v>
      </c>
    </row>
    <row r="126" spans="1:2">
      <c r="A126">
        <v>198.1</v>
      </c>
      <c r="B126">
        <v>481.4</v>
      </c>
    </row>
    <row r="127" spans="1:2">
      <c r="A127">
        <v>198.1</v>
      </c>
      <c r="B127">
        <v>479.1</v>
      </c>
    </row>
    <row r="128" spans="1:2">
      <c r="A128">
        <v>196</v>
      </c>
      <c r="B128">
        <v>478.8</v>
      </c>
    </row>
    <row r="129" spans="1:2">
      <c r="A129">
        <v>195.1</v>
      </c>
      <c r="B129">
        <v>481</v>
      </c>
    </row>
    <row r="130" spans="1:2">
      <c r="A130">
        <v>192</v>
      </c>
      <c r="B130">
        <v>479.8</v>
      </c>
    </row>
    <row r="131" spans="1:2">
      <c r="A131">
        <v>189.4</v>
      </c>
      <c r="B131">
        <v>481.9</v>
      </c>
    </row>
    <row r="132" spans="1:2">
      <c r="A132">
        <v>192.7</v>
      </c>
      <c r="B132">
        <v>487.2</v>
      </c>
    </row>
    <row r="133" spans="1:2">
      <c r="A133">
        <v>194.7</v>
      </c>
      <c r="B133">
        <v>485.5</v>
      </c>
    </row>
    <row r="135" spans="1:2">
      <c r="A135">
        <v>199</v>
      </c>
      <c r="B135">
        <v>477</v>
      </c>
    </row>
    <row r="136" spans="1:2">
      <c r="A136">
        <v>200.6</v>
      </c>
      <c r="B136">
        <v>476.9</v>
      </c>
    </row>
    <row r="137" spans="1:2">
      <c r="A137">
        <v>201.2</v>
      </c>
      <c r="B137">
        <v>473.6</v>
      </c>
    </row>
    <row r="138" spans="1:2">
      <c r="A138">
        <v>198.4</v>
      </c>
      <c r="B138">
        <v>475.3</v>
      </c>
    </row>
    <row r="139" spans="1:2">
      <c r="A139">
        <v>196.4</v>
      </c>
      <c r="B139">
        <v>473</v>
      </c>
    </row>
    <row r="140" spans="1:2">
      <c r="A140">
        <v>193.8</v>
      </c>
      <c r="B140">
        <v>473.2</v>
      </c>
    </row>
    <row r="141" spans="1:2">
      <c r="A141">
        <v>194.4</v>
      </c>
      <c r="B141">
        <v>476.7</v>
      </c>
    </row>
    <row r="142" spans="1:2">
      <c r="A142">
        <v>199</v>
      </c>
      <c r="B142">
        <v>477</v>
      </c>
    </row>
    <row r="144" spans="1:2">
      <c r="A144">
        <v>199.6</v>
      </c>
      <c r="B144">
        <v>474.3</v>
      </c>
    </row>
    <row r="145" spans="1:2">
      <c r="A145">
        <v>202.1</v>
      </c>
      <c r="B145">
        <v>473.8</v>
      </c>
    </row>
    <row r="146" spans="1:2">
      <c r="A146">
        <v>203.7</v>
      </c>
      <c r="B146">
        <v>470.6</v>
      </c>
    </row>
    <row r="147" spans="1:2">
      <c r="A147">
        <v>202.1</v>
      </c>
      <c r="B147">
        <v>468.7</v>
      </c>
    </row>
    <row r="148" spans="1:2">
      <c r="A148">
        <v>199.6</v>
      </c>
      <c r="B148">
        <v>474.3</v>
      </c>
    </row>
    <row r="150" spans="1:2">
      <c r="A150">
        <v>203.6</v>
      </c>
      <c r="B150">
        <v>480.1</v>
      </c>
    </row>
    <row r="151" spans="1:2">
      <c r="A151">
        <v>205.6</v>
      </c>
      <c r="B151">
        <v>477.8</v>
      </c>
    </row>
    <row r="152" spans="1:2">
      <c r="A152">
        <v>203.6</v>
      </c>
      <c r="B152">
        <v>477.6</v>
      </c>
    </row>
    <row r="153" spans="1:2">
      <c r="A153">
        <v>201.5</v>
      </c>
      <c r="B153">
        <v>474.3</v>
      </c>
    </row>
    <row r="154" spans="1:2">
      <c r="A154">
        <v>199.3</v>
      </c>
      <c r="B154">
        <v>477.9</v>
      </c>
    </row>
    <row r="155" spans="1:2">
      <c r="A155">
        <v>200.4</v>
      </c>
      <c r="B155">
        <v>479.3</v>
      </c>
    </row>
    <row r="156" spans="1:2">
      <c r="A156">
        <v>199.3</v>
      </c>
      <c r="B156">
        <v>481.6</v>
      </c>
    </row>
    <row r="157" spans="1:2">
      <c r="A157">
        <v>203.6</v>
      </c>
      <c r="B157">
        <v>480.1</v>
      </c>
    </row>
    <row r="159" spans="1:2">
      <c r="A159">
        <v>208.5</v>
      </c>
      <c r="B159">
        <v>475.4</v>
      </c>
    </row>
    <row r="160" spans="1:2">
      <c r="A160">
        <v>208.4</v>
      </c>
      <c r="B160">
        <v>473.3</v>
      </c>
    </row>
    <row r="161" spans="1:2">
      <c r="A161">
        <v>206.5</v>
      </c>
      <c r="B161">
        <v>475.2</v>
      </c>
    </row>
    <row r="162" spans="1:2">
      <c r="A162">
        <v>201.5</v>
      </c>
      <c r="B162">
        <v>474.3</v>
      </c>
    </row>
    <row r="163" spans="1:2">
      <c r="A163">
        <v>203.6</v>
      </c>
      <c r="B163">
        <v>477.6</v>
      </c>
    </row>
    <row r="164" spans="1:2">
      <c r="A164">
        <v>206.2</v>
      </c>
      <c r="B164">
        <v>477.5</v>
      </c>
    </row>
    <row r="165" spans="1:2">
      <c r="A165">
        <v>208.5</v>
      </c>
      <c r="B165">
        <v>475.4</v>
      </c>
    </row>
    <row r="167" spans="1:2">
      <c r="A167">
        <v>204.3</v>
      </c>
      <c r="B167">
        <v>475.1</v>
      </c>
    </row>
    <row r="168" spans="1:2">
      <c r="A168">
        <v>206.5</v>
      </c>
      <c r="B168">
        <v>475.2</v>
      </c>
    </row>
    <row r="169" spans="1:2">
      <c r="A169">
        <v>208.9</v>
      </c>
      <c r="B169">
        <v>472.4</v>
      </c>
    </row>
    <row r="170" spans="1:2">
      <c r="A170">
        <v>206.8</v>
      </c>
      <c r="B170">
        <v>469.4</v>
      </c>
    </row>
    <row r="171" spans="1:2">
      <c r="A171">
        <v>204.6</v>
      </c>
      <c r="B171">
        <v>469</v>
      </c>
    </row>
    <row r="172" spans="1:2">
      <c r="A172">
        <v>201.2</v>
      </c>
      <c r="B172">
        <v>473.6</v>
      </c>
    </row>
    <row r="173" spans="1:2">
      <c r="A173">
        <v>204.3</v>
      </c>
      <c r="B173">
        <v>475.1</v>
      </c>
    </row>
    <row r="175" spans="1:2">
      <c r="A175">
        <v>211.1</v>
      </c>
      <c r="B175">
        <v>478.4</v>
      </c>
    </row>
    <row r="176" spans="1:2">
      <c r="A176">
        <v>214.5</v>
      </c>
      <c r="B176">
        <v>472.4</v>
      </c>
    </row>
    <row r="177" spans="1:2">
      <c r="A177">
        <v>217.4</v>
      </c>
      <c r="B177">
        <v>473.3</v>
      </c>
    </row>
    <row r="178" spans="1:2">
      <c r="A178">
        <v>218.4</v>
      </c>
      <c r="B178">
        <v>471.7</v>
      </c>
    </row>
    <row r="179" spans="1:2">
      <c r="A179">
        <v>216.1</v>
      </c>
      <c r="B179">
        <v>468.4</v>
      </c>
    </row>
    <row r="180" spans="1:2">
      <c r="A180">
        <v>213.1</v>
      </c>
      <c r="B180">
        <v>469.3</v>
      </c>
    </row>
    <row r="181" spans="1:2">
      <c r="A181">
        <v>212.8</v>
      </c>
      <c r="B181">
        <v>472.2</v>
      </c>
    </row>
    <row r="182" spans="1:2">
      <c r="A182">
        <v>208.9</v>
      </c>
      <c r="B182">
        <v>471.5</v>
      </c>
    </row>
    <row r="183" spans="1:2">
      <c r="A183">
        <v>208.3</v>
      </c>
      <c r="B183">
        <v>476.6</v>
      </c>
    </row>
    <row r="184" spans="1:2">
      <c r="A184">
        <v>211.1</v>
      </c>
      <c r="B184">
        <v>478.4</v>
      </c>
    </row>
    <row r="186" spans="1:2">
      <c r="A186">
        <v>215.7</v>
      </c>
      <c r="B186">
        <v>478.6</v>
      </c>
    </row>
    <row r="187" spans="1:2">
      <c r="A187">
        <v>216.1</v>
      </c>
      <c r="B187">
        <v>476.2</v>
      </c>
    </row>
    <row r="188" spans="1:2">
      <c r="A188">
        <v>219.4</v>
      </c>
      <c r="B188">
        <v>474.7</v>
      </c>
    </row>
    <row r="189" spans="1:2">
      <c r="A189">
        <v>220.2</v>
      </c>
      <c r="B189">
        <v>471.4</v>
      </c>
    </row>
    <row r="190" spans="1:2">
      <c r="A190">
        <v>218.3</v>
      </c>
      <c r="B190">
        <v>471.2</v>
      </c>
    </row>
    <row r="191" spans="1:2">
      <c r="A191">
        <v>217.4</v>
      </c>
      <c r="B191">
        <v>473.3</v>
      </c>
    </row>
    <row r="192" spans="1:2">
      <c r="A192">
        <v>214.5</v>
      </c>
      <c r="B192">
        <v>472.4</v>
      </c>
    </row>
    <row r="193" spans="1:2">
      <c r="A193">
        <v>213</v>
      </c>
      <c r="B193">
        <v>474.2</v>
      </c>
    </row>
    <row r="194" spans="1:2">
      <c r="A194">
        <v>210.8</v>
      </c>
      <c r="B194">
        <v>478.7</v>
      </c>
    </row>
    <row r="195" spans="1:2">
      <c r="A195">
        <v>213.5</v>
      </c>
      <c r="B195">
        <v>479.8</v>
      </c>
    </row>
    <row r="196" spans="1:2">
      <c r="A196">
        <v>215.7</v>
      </c>
      <c r="B196">
        <v>478.6</v>
      </c>
    </row>
    <row r="198" spans="1:2">
      <c r="A198">
        <v>220.8</v>
      </c>
      <c r="B198">
        <v>480.1</v>
      </c>
    </row>
    <row r="199" spans="1:2">
      <c r="A199">
        <v>222.3</v>
      </c>
      <c r="B199">
        <v>476.5</v>
      </c>
    </row>
    <row r="200" spans="1:2">
      <c r="A200">
        <v>224.1</v>
      </c>
      <c r="B200">
        <v>475.9</v>
      </c>
    </row>
    <row r="201" spans="1:2">
      <c r="A201">
        <v>220.9</v>
      </c>
      <c r="B201">
        <v>472.3</v>
      </c>
    </row>
    <row r="202" spans="1:2">
      <c r="A202">
        <v>219</v>
      </c>
      <c r="B202">
        <v>475.1</v>
      </c>
    </row>
    <row r="203" spans="1:2">
      <c r="A203">
        <v>216.1</v>
      </c>
      <c r="B203">
        <v>476.2</v>
      </c>
    </row>
    <row r="204" spans="1:2">
      <c r="A204">
        <v>215.9</v>
      </c>
      <c r="B204">
        <v>478.5</v>
      </c>
    </row>
    <row r="205" spans="1:2">
      <c r="A205">
        <v>220.8</v>
      </c>
      <c r="B205">
        <v>480.1</v>
      </c>
    </row>
    <row r="207" spans="1:2">
      <c r="A207">
        <v>225.5</v>
      </c>
      <c r="B207">
        <v>484.4</v>
      </c>
    </row>
    <row r="208" spans="1:2">
      <c r="A208">
        <v>226.1</v>
      </c>
      <c r="B208">
        <v>480.8</v>
      </c>
    </row>
    <row r="209" spans="1:2">
      <c r="A209">
        <v>224.3</v>
      </c>
      <c r="B209">
        <v>480.8</v>
      </c>
    </row>
    <row r="210" spans="1:2">
      <c r="A210">
        <v>222.7</v>
      </c>
      <c r="B210">
        <v>477.7</v>
      </c>
    </row>
    <row r="211" spans="1:2">
      <c r="A211">
        <v>220.4</v>
      </c>
      <c r="B211">
        <v>478.9</v>
      </c>
    </row>
    <row r="212" spans="1:2">
      <c r="A212">
        <v>220.3</v>
      </c>
      <c r="B212">
        <v>482.3</v>
      </c>
    </row>
    <row r="213" spans="1:2">
      <c r="A213">
        <v>225.5</v>
      </c>
      <c r="B213">
        <v>484.4</v>
      </c>
    </row>
    <row r="215" spans="1:2">
      <c r="A215">
        <v>387.9</v>
      </c>
      <c r="B215">
        <v>218.1</v>
      </c>
    </row>
    <row r="216" spans="1:2">
      <c r="A216">
        <v>389.1</v>
      </c>
      <c r="B216">
        <v>217</v>
      </c>
    </row>
    <row r="217" spans="1:2">
      <c r="A217">
        <v>387.3</v>
      </c>
      <c r="B217">
        <v>215.8</v>
      </c>
    </row>
    <row r="218" spans="1:2">
      <c r="A218">
        <v>387.9</v>
      </c>
      <c r="B218">
        <v>218.1</v>
      </c>
    </row>
    <row r="220" spans="1:2">
      <c r="A220">
        <v>385.3</v>
      </c>
      <c r="B220">
        <v>220.6</v>
      </c>
    </row>
    <row r="221" spans="1:2">
      <c r="A221">
        <v>387.2</v>
      </c>
      <c r="B221">
        <v>220.2</v>
      </c>
    </row>
    <row r="222" spans="1:2">
      <c r="A222">
        <v>387.5</v>
      </c>
      <c r="B222">
        <v>217.7</v>
      </c>
    </row>
    <row r="223" spans="1:2">
      <c r="A223">
        <v>385.9</v>
      </c>
      <c r="B223">
        <v>211.1</v>
      </c>
    </row>
    <row r="224" spans="1:2">
      <c r="A224">
        <v>385.3</v>
      </c>
      <c r="B224">
        <v>220.6</v>
      </c>
    </row>
    <row r="226" spans="1:2">
      <c r="A226">
        <v>389.4</v>
      </c>
      <c r="B226">
        <v>221</v>
      </c>
    </row>
    <row r="227" spans="1:2">
      <c r="A227">
        <v>390.8</v>
      </c>
      <c r="B227">
        <v>219.6</v>
      </c>
    </row>
    <row r="228" spans="1:2">
      <c r="A228">
        <v>388.9</v>
      </c>
      <c r="B228">
        <v>217.1</v>
      </c>
    </row>
    <row r="229" spans="1:2">
      <c r="A229">
        <v>387.2</v>
      </c>
      <c r="B229">
        <v>218.2</v>
      </c>
    </row>
    <row r="230" spans="1:2">
      <c r="A230">
        <v>387.2</v>
      </c>
      <c r="B230">
        <v>220.2</v>
      </c>
    </row>
    <row r="231" spans="1:2">
      <c r="A231">
        <v>389.4</v>
      </c>
      <c r="B231">
        <v>221</v>
      </c>
    </row>
    <row r="233" spans="1:2">
      <c r="A233">
        <v>390.4</v>
      </c>
      <c r="B233">
        <v>216.4</v>
      </c>
    </row>
    <row r="234" spans="1:2">
      <c r="A234">
        <v>392.3</v>
      </c>
      <c r="B234">
        <v>213.6</v>
      </c>
    </row>
    <row r="235" spans="1:2">
      <c r="A235">
        <v>393.4</v>
      </c>
      <c r="B235">
        <v>214.2</v>
      </c>
    </row>
    <row r="236" spans="1:2">
      <c r="A236">
        <v>392</v>
      </c>
      <c r="B236">
        <v>213.2</v>
      </c>
    </row>
    <row r="237" spans="1:2">
      <c r="A237">
        <v>393.4</v>
      </c>
      <c r="B237">
        <v>212</v>
      </c>
    </row>
    <row r="238" spans="1:2">
      <c r="A238">
        <v>392.7</v>
      </c>
      <c r="B238">
        <v>210.8</v>
      </c>
    </row>
    <row r="239" spans="1:2">
      <c r="A239">
        <v>388</v>
      </c>
      <c r="B239">
        <v>214.7</v>
      </c>
    </row>
    <row r="240" spans="1:2">
      <c r="A240">
        <v>387.8</v>
      </c>
      <c r="B240">
        <v>215.7</v>
      </c>
    </row>
    <row r="241" spans="1:2">
      <c r="A241">
        <v>390.4</v>
      </c>
      <c r="B241">
        <v>216.4</v>
      </c>
    </row>
    <row r="243" spans="1:2">
      <c r="A243">
        <v>388.9</v>
      </c>
      <c r="B243">
        <v>227.1</v>
      </c>
    </row>
    <row r="244" spans="1:2">
      <c r="A244">
        <v>392.2</v>
      </c>
      <c r="B244">
        <v>224.1</v>
      </c>
    </row>
    <row r="245" spans="1:2">
      <c r="A245">
        <v>392.2</v>
      </c>
      <c r="B245">
        <v>222.3</v>
      </c>
    </row>
    <row r="246" spans="1:2">
      <c r="A246">
        <v>390.6</v>
      </c>
      <c r="B246">
        <v>220.8</v>
      </c>
    </row>
    <row r="247" spans="1:2">
      <c r="A247">
        <v>386.4</v>
      </c>
      <c r="B247">
        <v>220.2</v>
      </c>
    </row>
    <row r="248" spans="1:2">
      <c r="A248">
        <v>385.9</v>
      </c>
      <c r="B248">
        <v>224.3</v>
      </c>
    </row>
    <row r="249" spans="1:2">
      <c r="A249">
        <v>388.9</v>
      </c>
      <c r="B249">
        <v>227.1</v>
      </c>
    </row>
    <row r="251" spans="1:2">
      <c r="A251">
        <v>391.8</v>
      </c>
      <c r="B251">
        <v>229.9</v>
      </c>
    </row>
    <row r="252" spans="1:2">
      <c r="A252">
        <v>394.6</v>
      </c>
      <c r="B252">
        <v>228.2</v>
      </c>
    </row>
    <row r="253" spans="1:2">
      <c r="A253">
        <v>395.1</v>
      </c>
      <c r="B253">
        <v>225.4</v>
      </c>
    </row>
    <row r="254" spans="1:2">
      <c r="A254">
        <v>392</v>
      </c>
      <c r="B254">
        <v>227.1</v>
      </c>
    </row>
    <row r="255" spans="1:2">
      <c r="A255">
        <v>389.2</v>
      </c>
      <c r="B255">
        <v>226.5</v>
      </c>
    </row>
    <row r="256" spans="1:2">
      <c r="A256">
        <v>390.2</v>
      </c>
      <c r="B256">
        <v>229.8</v>
      </c>
    </row>
    <row r="257" spans="1:2">
      <c r="A257">
        <v>391.8</v>
      </c>
      <c r="B257">
        <v>229.9</v>
      </c>
    </row>
    <row r="259" spans="1:2">
      <c r="A259">
        <v>393.3</v>
      </c>
      <c r="B259">
        <v>222.9</v>
      </c>
    </row>
    <row r="260" spans="1:2">
      <c r="A260">
        <v>396.3</v>
      </c>
      <c r="B260">
        <v>218.3</v>
      </c>
    </row>
    <row r="261" spans="1:2">
      <c r="A261">
        <v>394.6</v>
      </c>
      <c r="B261">
        <v>215.4</v>
      </c>
    </row>
    <row r="262" spans="1:2">
      <c r="A262">
        <v>393.1</v>
      </c>
      <c r="B262">
        <v>217.3</v>
      </c>
    </row>
    <row r="263" spans="1:2">
      <c r="A263">
        <v>390.7</v>
      </c>
      <c r="B263">
        <v>217.3</v>
      </c>
    </row>
    <row r="264" spans="1:2">
      <c r="A264">
        <v>390.5</v>
      </c>
      <c r="B264">
        <v>221.6</v>
      </c>
    </row>
    <row r="265" spans="1:2">
      <c r="A265">
        <v>393.3</v>
      </c>
      <c r="B265">
        <v>222.9</v>
      </c>
    </row>
    <row r="267" spans="1:2">
      <c r="A267">
        <v>388</v>
      </c>
      <c r="B267">
        <v>235.4</v>
      </c>
    </row>
    <row r="268" spans="1:2">
      <c r="A268">
        <v>389.2</v>
      </c>
      <c r="B268">
        <v>235.2</v>
      </c>
    </row>
    <row r="269" spans="1:2">
      <c r="A269">
        <v>388.9</v>
      </c>
      <c r="B269">
        <v>230.4</v>
      </c>
    </row>
    <row r="270" spans="1:2">
      <c r="A270">
        <v>390.4</v>
      </c>
      <c r="B270">
        <v>229.9</v>
      </c>
    </row>
    <row r="271" spans="1:2">
      <c r="A271">
        <v>388.9</v>
      </c>
      <c r="B271">
        <v>227.1</v>
      </c>
    </row>
    <row r="272" spans="1:2">
      <c r="A272">
        <v>385.1</v>
      </c>
      <c r="B272">
        <v>226</v>
      </c>
    </row>
    <row r="273" spans="1:2">
      <c r="A273">
        <v>383.9</v>
      </c>
      <c r="B273">
        <v>226.7</v>
      </c>
    </row>
    <row r="274" spans="1:2">
      <c r="A274">
        <v>384.7</v>
      </c>
      <c r="B274">
        <v>231</v>
      </c>
    </row>
    <row r="275" spans="1:2">
      <c r="A275">
        <v>386.2</v>
      </c>
      <c r="B275">
        <v>235.1</v>
      </c>
    </row>
    <row r="276" spans="1:2">
      <c r="A276">
        <v>388</v>
      </c>
      <c r="B276">
        <v>235.4</v>
      </c>
    </row>
    <row r="278" spans="1:2">
      <c r="A278">
        <v>398.6</v>
      </c>
      <c r="B278">
        <v>231.1</v>
      </c>
    </row>
    <row r="279" spans="1:2">
      <c r="A279">
        <v>399.8</v>
      </c>
      <c r="B279">
        <v>230.1</v>
      </c>
    </row>
    <row r="280" spans="1:2">
      <c r="A280">
        <v>399</v>
      </c>
      <c r="B280">
        <v>227.8</v>
      </c>
    </row>
    <row r="281" spans="1:2">
      <c r="A281">
        <v>401.2</v>
      </c>
      <c r="B281">
        <v>226</v>
      </c>
    </row>
    <row r="282" spans="1:2">
      <c r="A282">
        <v>403.1</v>
      </c>
      <c r="B282">
        <v>226.8</v>
      </c>
    </row>
    <row r="283" spans="1:2">
      <c r="A283">
        <v>403.2</v>
      </c>
      <c r="B283">
        <v>225.2</v>
      </c>
    </row>
    <row r="284" spans="1:2">
      <c r="A284">
        <v>402</v>
      </c>
      <c r="B284">
        <v>222.8</v>
      </c>
    </row>
    <row r="285" spans="1:2">
      <c r="A285">
        <v>398.1</v>
      </c>
      <c r="B285">
        <v>221.9</v>
      </c>
    </row>
    <row r="286" spans="1:2">
      <c r="A286">
        <v>396</v>
      </c>
      <c r="B286">
        <v>223.4</v>
      </c>
    </row>
    <row r="287" spans="1:2">
      <c r="A287">
        <v>394.6</v>
      </c>
      <c r="B287">
        <v>228.2</v>
      </c>
    </row>
    <row r="288" spans="1:2">
      <c r="A288">
        <v>397.7</v>
      </c>
      <c r="B288">
        <v>232.6</v>
      </c>
    </row>
    <row r="289" spans="1:2">
      <c r="A289">
        <v>398.6</v>
      </c>
      <c r="B289">
        <v>231.1</v>
      </c>
    </row>
    <row r="291" spans="1:2">
      <c r="A291">
        <v>380.9</v>
      </c>
      <c r="B291">
        <v>212.2</v>
      </c>
    </row>
    <row r="292" spans="1:2">
      <c r="A292">
        <v>379.6</v>
      </c>
      <c r="B292">
        <v>211.4</v>
      </c>
    </row>
    <row r="293" spans="1:2">
      <c r="A293">
        <v>381.2</v>
      </c>
      <c r="B293">
        <v>210.6</v>
      </c>
    </row>
    <row r="294" spans="1:2">
      <c r="A294">
        <v>378.4</v>
      </c>
      <c r="B294">
        <v>211.4</v>
      </c>
    </row>
    <row r="295" spans="1:2">
      <c r="A295">
        <v>379.4</v>
      </c>
      <c r="B295">
        <v>211</v>
      </c>
    </row>
    <row r="296" spans="1:2">
      <c r="A296">
        <v>380.1</v>
      </c>
      <c r="B296">
        <v>213.6</v>
      </c>
    </row>
    <row r="297" spans="1:2">
      <c r="A297">
        <v>380.9</v>
      </c>
      <c r="B297">
        <v>212.2</v>
      </c>
    </row>
    <row r="299" spans="1:2">
      <c r="A299">
        <v>381.4</v>
      </c>
      <c r="B299">
        <v>210.9</v>
      </c>
    </row>
    <row r="300" spans="1:2">
      <c r="A300">
        <v>381.2</v>
      </c>
      <c r="B300">
        <v>217</v>
      </c>
    </row>
    <row r="301" spans="1:2">
      <c r="A301">
        <v>378.7</v>
      </c>
      <c r="B301">
        <v>214</v>
      </c>
    </row>
    <row r="302" spans="1:2">
      <c r="A302">
        <v>379.3</v>
      </c>
      <c r="B302">
        <v>217.6</v>
      </c>
    </row>
    <row r="303" spans="1:2">
      <c r="A303">
        <v>381.7</v>
      </c>
      <c r="B303">
        <v>220.3</v>
      </c>
    </row>
    <row r="304" spans="1:2">
      <c r="A304">
        <v>381.4</v>
      </c>
      <c r="B304">
        <v>218.3</v>
      </c>
    </row>
    <row r="305" spans="1:2">
      <c r="A305">
        <v>385</v>
      </c>
      <c r="B305">
        <v>218.8</v>
      </c>
    </row>
    <row r="306" spans="1:2">
      <c r="A306">
        <v>386.3</v>
      </c>
      <c r="B306">
        <v>215.3</v>
      </c>
    </row>
    <row r="307" spans="1:2">
      <c r="A307">
        <v>386</v>
      </c>
      <c r="B307">
        <v>213.8</v>
      </c>
    </row>
    <row r="308" spans="1:2">
      <c r="A308">
        <v>384.4</v>
      </c>
      <c r="B308">
        <v>214.6</v>
      </c>
    </row>
    <row r="309" spans="1:2">
      <c r="A309">
        <v>385.6</v>
      </c>
      <c r="B309">
        <v>210.8</v>
      </c>
    </row>
    <row r="310" spans="1:2">
      <c r="A310">
        <v>382.6</v>
      </c>
      <c r="B310">
        <v>211.6</v>
      </c>
    </row>
    <row r="311" spans="1:2">
      <c r="A311">
        <v>383.5</v>
      </c>
      <c r="B311">
        <v>211.1</v>
      </c>
    </row>
    <row r="312" spans="1:2">
      <c r="A312">
        <v>382</v>
      </c>
      <c r="B312">
        <v>209</v>
      </c>
    </row>
    <row r="313" spans="1:2">
      <c r="A313">
        <v>381.4</v>
      </c>
      <c r="B313">
        <v>210.9</v>
      </c>
    </row>
    <row r="315" spans="1:2">
      <c r="A315">
        <v>395</v>
      </c>
      <c r="B315">
        <v>238.3</v>
      </c>
    </row>
    <row r="316" spans="1:2">
      <c r="A316">
        <v>396.5</v>
      </c>
      <c r="B316">
        <v>237.2</v>
      </c>
    </row>
    <row r="317" spans="1:2">
      <c r="A317">
        <v>395.7</v>
      </c>
      <c r="B317">
        <v>233.8</v>
      </c>
    </row>
    <row r="318" spans="1:2">
      <c r="A318">
        <v>397.7</v>
      </c>
      <c r="B318">
        <v>232.6</v>
      </c>
    </row>
    <row r="319" spans="1:2">
      <c r="A319">
        <v>394.5</v>
      </c>
      <c r="B319">
        <v>228.2</v>
      </c>
    </row>
    <row r="320" spans="1:2">
      <c r="A320">
        <v>388.9</v>
      </c>
      <c r="B320">
        <v>230.4</v>
      </c>
    </row>
    <row r="321" spans="1:2">
      <c r="A321">
        <v>389.2</v>
      </c>
      <c r="B321">
        <v>233.1</v>
      </c>
    </row>
    <row r="322" spans="1:2">
      <c r="A322">
        <v>388.2</v>
      </c>
      <c r="B322">
        <v>233.7</v>
      </c>
    </row>
    <row r="323" spans="1:2">
      <c r="A323">
        <v>390.1</v>
      </c>
      <c r="B323">
        <v>237.4</v>
      </c>
    </row>
    <row r="324" spans="1:2">
      <c r="A324">
        <v>395</v>
      </c>
      <c r="B324">
        <v>238.3</v>
      </c>
    </row>
    <row r="326" spans="1:2">
      <c r="A326">
        <v>371.5</v>
      </c>
      <c r="B326">
        <v>211.9</v>
      </c>
    </row>
    <row r="327" spans="1:2">
      <c r="A327">
        <v>369.9</v>
      </c>
      <c r="B327">
        <v>204.3</v>
      </c>
    </row>
    <row r="328" spans="1:2">
      <c r="A328">
        <v>369.9</v>
      </c>
      <c r="B328">
        <v>207</v>
      </c>
    </row>
    <row r="329" spans="1:2">
      <c r="A329">
        <v>368</v>
      </c>
      <c r="B329">
        <v>207.8</v>
      </c>
    </row>
    <row r="330" spans="1:2">
      <c r="A330">
        <v>368.6</v>
      </c>
      <c r="B330">
        <v>209.8</v>
      </c>
    </row>
    <row r="331" spans="1:2">
      <c r="A331">
        <v>366.7</v>
      </c>
      <c r="B331">
        <v>212.2</v>
      </c>
    </row>
    <row r="332" spans="1:2">
      <c r="A332">
        <v>370.3</v>
      </c>
      <c r="B332">
        <v>213.2</v>
      </c>
    </row>
    <row r="333" spans="1:2">
      <c r="A333">
        <v>368.5</v>
      </c>
      <c r="B333">
        <v>213.9</v>
      </c>
    </row>
    <row r="334" spans="1:2">
      <c r="A334">
        <v>370</v>
      </c>
      <c r="B334">
        <v>215.2</v>
      </c>
    </row>
    <row r="335" spans="1:2">
      <c r="A335">
        <v>370.4</v>
      </c>
      <c r="B335">
        <v>211.5</v>
      </c>
    </row>
    <row r="336" spans="1:2">
      <c r="A336">
        <v>371.5</v>
      </c>
      <c r="B336">
        <v>211.9</v>
      </c>
    </row>
    <row r="338" spans="1:2">
      <c r="A338">
        <v>369.3</v>
      </c>
      <c r="B338">
        <v>216</v>
      </c>
    </row>
    <row r="339" spans="1:2">
      <c r="A339">
        <v>371.3</v>
      </c>
      <c r="B339">
        <v>217.7</v>
      </c>
    </row>
    <row r="340" spans="1:2">
      <c r="A340">
        <v>367</v>
      </c>
      <c r="B340">
        <v>222.6</v>
      </c>
    </row>
    <row r="341" spans="1:2">
      <c r="A341">
        <v>373.4</v>
      </c>
      <c r="B341">
        <v>223.6</v>
      </c>
    </row>
    <row r="342" spans="1:2">
      <c r="A342">
        <v>374.1</v>
      </c>
      <c r="B342">
        <v>221.8</v>
      </c>
    </row>
    <row r="343" spans="1:2">
      <c r="A343">
        <v>374.4</v>
      </c>
      <c r="B343">
        <v>228.2</v>
      </c>
    </row>
    <row r="344" spans="1:2">
      <c r="A344">
        <v>384.7</v>
      </c>
      <c r="B344">
        <v>231</v>
      </c>
    </row>
    <row r="345" spans="1:2">
      <c r="A345">
        <v>378.9</v>
      </c>
      <c r="B345">
        <v>215.5</v>
      </c>
    </row>
    <row r="346" spans="1:2">
      <c r="A346">
        <v>375.8</v>
      </c>
      <c r="B346">
        <v>214</v>
      </c>
    </row>
    <row r="347" spans="1:2">
      <c r="A347">
        <v>376</v>
      </c>
      <c r="B347">
        <v>218.5</v>
      </c>
    </row>
    <row r="348" spans="1:2">
      <c r="A348">
        <v>374.9</v>
      </c>
      <c r="B348">
        <v>214.1</v>
      </c>
    </row>
    <row r="349" spans="1:2">
      <c r="A349">
        <v>373.7</v>
      </c>
      <c r="B349">
        <v>215.1</v>
      </c>
    </row>
    <row r="350" spans="1:2">
      <c r="A350">
        <v>370.9</v>
      </c>
      <c r="B350">
        <v>214.4</v>
      </c>
    </row>
    <row r="351" spans="1:2">
      <c r="A351">
        <v>369.3</v>
      </c>
      <c r="B351">
        <v>216</v>
      </c>
    </row>
    <row r="353" spans="1:2">
      <c r="A353">
        <v>392.9</v>
      </c>
      <c r="B353">
        <v>226.4</v>
      </c>
    </row>
    <row r="354" spans="1:2">
      <c r="A354">
        <v>395.1</v>
      </c>
      <c r="B354">
        <v>225.3</v>
      </c>
    </row>
    <row r="355" spans="1:2">
      <c r="A355">
        <v>392.2</v>
      </c>
      <c r="B355">
        <v>222.6</v>
      </c>
    </row>
    <row r="356" spans="1:2">
      <c r="A356">
        <v>391.9</v>
      </c>
      <c r="B356">
        <v>224.5</v>
      </c>
    </row>
    <row r="357" spans="1:2">
      <c r="A357">
        <v>389.1</v>
      </c>
      <c r="B357">
        <v>226.3</v>
      </c>
    </row>
    <row r="358" spans="1:2">
      <c r="A358">
        <v>392.9</v>
      </c>
      <c r="B358">
        <v>226.4</v>
      </c>
    </row>
    <row r="360" spans="1:2">
      <c r="A360">
        <v>395.1</v>
      </c>
      <c r="B360">
        <v>225.6</v>
      </c>
    </row>
    <row r="361" spans="1:2">
      <c r="A361">
        <v>396.8</v>
      </c>
      <c r="B361">
        <v>222.3</v>
      </c>
    </row>
    <row r="362" spans="1:2">
      <c r="A362">
        <v>394.7</v>
      </c>
      <c r="B362">
        <v>220.2</v>
      </c>
    </row>
    <row r="363" spans="1:2">
      <c r="A363">
        <v>393</v>
      </c>
      <c r="B363">
        <v>223.4</v>
      </c>
    </row>
    <row r="364" spans="1:2">
      <c r="A364">
        <v>395.1</v>
      </c>
      <c r="B364">
        <v>225.6</v>
      </c>
    </row>
    <row r="366" spans="1:2">
      <c r="A366">
        <v>383.9</v>
      </c>
      <c r="B366">
        <v>226.7</v>
      </c>
    </row>
    <row r="367" spans="1:2">
      <c r="A367">
        <v>386.8</v>
      </c>
      <c r="B367">
        <v>225.8</v>
      </c>
    </row>
    <row r="368" spans="1:2">
      <c r="A368">
        <v>386.4</v>
      </c>
      <c r="B368">
        <v>221</v>
      </c>
    </row>
    <row r="369" spans="1:2">
      <c r="A369">
        <v>384.7</v>
      </c>
      <c r="B369">
        <v>220.7</v>
      </c>
    </row>
    <row r="370" spans="1:2">
      <c r="A370">
        <v>385</v>
      </c>
      <c r="B370">
        <v>218.8</v>
      </c>
    </row>
    <row r="371" spans="1:2">
      <c r="A371">
        <v>381.5</v>
      </c>
      <c r="B371">
        <v>218.2</v>
      </c>
    </row>
    <row r="372" spans="1:2">
      <c r="A372">
        <v>381.8</v>
      </c>
      <c r="B372">
        <v>225.4</v>
      </c>
    </row>
    <row r="373" spans="1:2">
      <c r="A373">
        <v>383.9</v>
      </c>
      <c r="B373">
        <v>226.7</v>
      </c>
    </row>
    <row r="375" spans="1:2">
      <c r="A375">
        <v>403.9</v>
      </c>
      <c r="B375">
        <v>246.5</v>
      </c>
    </row>
    <row r="376" spans="1:2">
      <c r="A376">
        <v>408.2</v>
      </c>
      <c r="B376">
        <v>247.4</v>
      </c>
    </row>
    <row r="377" spans="1:2">
      <c r="A377">
        <v>409.5</v>
      </c>
      <c r="B377">
        <v>242.4</v>
      </c>
    </row>
    <row r="378" spans="1:2">
      <c r="A378">
        <v>411.8</v>
      </c>
      <c r="B378">
        <v>240.6</v>
      </c>
    </row>
    <row r="379" spans="1:2">
      <c r="A379">
        <v>407.9</v>
      </c>
      <c r="B379">
        <v>239.6</v>
      </c>
    </row>
    <row r="380" spans="1:2">
      <c r="A380">
        <v>407.4</v>
      </c>
      <c r="B380">
        <v>235.2</v>
      </c>
    </row>
    <row r="381" spans="1:2">
      <c r="A381">
        <v>405.5</v>
      </c>
      <c r="B381">
        <v>233.7</v>
      </c>
    </row>
    <row r="382" spans="1:2">
      <c r="A382">
        <v>407.1</v>
      </c>
      <c r="B382">
        <v>233.6</v>
      </c>
    </row>
    <row r="383" spans="1:2">
      <c r="A383">
        <v>407.2</v>
      </c>
      <c r="B383">
        <v>232.2</v>
      </c>
    </row>
    <row r="384" spans="1:2">
      <c r="A384">
        <v>405.9</v>
      </c>
      <c r="B384">
        <v>229.4</v>
      </c>
    </row>
    <row r="385" spans="1:2">
      <c r="A385">
        <v>404.9</v>
      </c>
      <c r="B385">
        <v>229.8</v>
      </c>
    </row>
    <row r="386" spans="1:2">
      <c r="A386">
        <v>404.6</v>
      </c>
      <c r="B386">
        <v>225.6</v>
      </c>
    </row>
    <row r="387" spans="1:2">
      <c r="A387">
        <v>403.2</v>
      </c>
      <c r="B387">
        <v>225.2</v>
      </c>
    </row>
    <row r="388" spans="1:2">
      <c r="A388">
        <v>403.1</v>
      </c>
      <c r="B388">
        <v>226.8</v>
      </c>
    </row>
    <row r="389" spans="1:2">
      <c r="A389">
        <v>401.2</v>
      </c>
      <c r="B389">
        <v>226</v>
      </c>
    </row>
    <row r="390" spans="1:2">
      <c r="A390">
        <v>399</v>
      </c>
      <c r="B390">
        <v>227.8</v>
      </c>
    </row>
    <row r="391" spans="1:2">
      <c r="A391">
        <v>399.8</v>
      </c>
      <c r="B391">
        <v>230.1</v>
      </c>
    </row>
    <row r="392" spans="1:2">
      <c r="A392">
        <v>395.7</v>
      </c>
      <c r="B392">
        <v>233.8</v>
      </c>
    </row>
    <row r="393" spans="1:2">
      <c r="A393">
        <v>396.4</v>
      </c>
      <c r="B393">
        <v>237.7</v>
      </c>
    </row>
    <row r="394" spans="1:2">
      <c r="A394">
        <v>394.5</v>
      </c>
      <c r="B394">
        <v>238.4</v>
      </c>
    </row>
    <row r="395" spans="1:2">
      <c r="A395">
        <v>396.8</v>
      </c>
      <c r="B395">
        <v>243.5</v>
      </c>
    </row>
    <row r="396" spans="1:2">
      <c r="A396">
        <v>395.3</v>
      </c>
      <c r="B396">
        <v>245.4</v>
      </c>
    </row>
    <row r="397" spans="1:2">
      <c r="A397">
        <v>400.4</v>
      </c>
      <c r="B397">
        <v>243.5</v>
      </c>
    </row>
    <row r="398" spans="1:2">
      <c r="A398">
        <v>402.4</v>
      </c>
      <c r="B398">
        <v>245.1</v>
      </c>
    </row>
    <row r="399" spans="1:2">
      <c r="A399">
        <v>402.4</v>
      </c>
      <c r="B399">
        <v>247.6</v>
      </c>
    </row>
    <row r="400" spans="1:2">
      <c r="A400">
        <v>403.9</v>
      </c>
      <c r="B400">
        <v>246.5</v>
      </c>
    </row>
    <row r="402" spans="1:2">
      <c r="A402">
        <v>349.6</v>
      </c>
      <c r="B402">
        <v>300.2</v>
      </c>
    </row>
    <row r="403" spans="1:2">
      <c r="A403">
        <v>351.1</v>
      </c>
      <c r="B403">
        <v>300</v>
      </c>
    </row>
    <row r="404" spans="1:2">
      <c r="A404">
        <v>350.7</v>
      </c>
      <c r="B404">
        <v>298</v>
      </c>
    </row>
    <row r="405" spans="1:2">
      <c r="A405">
        <v>347.8</v>
      </c>
      <c r="B405">
        <v>298.5</v>
      </c>
    </row>
    <row r="406" spans="1:2">
      <c r="A406">
        <v>348.1</v>
      </c>
      <c r="B406">
        <v>300.60000000000002</v>
      </c>
    </row>
    <row r="407" spans="1:2">
      <c r="A407">
        <v>349.6</v>
      </c>
      <c r="B407">
        <v>300.2</v>
      </c>
    </row>
    <row r="409" spans="1:2">
      <c r="A409">
        <v>358.4</v>
      </c>
      <c r="B409">
        <v>315.3</v>
      </c>
    </row>
    <row r="410" spans="1:2">
      <c r="A410">
        <v>361.1</v>
      </c>
      <c r="B410">
        <v>314</v>
      </c>
    </row>
    <row r="411" spans="1:2">
      <c r="A411">
        <v>362.8</v>
      </c>
      <c r="B411">
        <v>310.7</v>
      </c>
    </row>
    <row r="412" spans="1:2">
      <c r="A412">
        <v>362</v>
      </c>
      <c r="B412">
        <v>306</v>
      </c>
    </row>
    <row r="413" spans="1:2">
      <c r="A413">
        <v>363.9</v>
      </c>
      <c r="B413">
        <v>303.7</v>
      </c>
    </row>
    <row r="414" spans="1:2">
      <c r="A414">
        <v>364.1</v>
      </c>
      <c r="B414">
        <v>300</v>
      </c>
    </row>
    <row r="415" spans="1:2">
      <c r="A415">
        <v>362.1</v>
      </c>
      <c r="B415">
        <v>297.60000000000002</v>
      </c>
    </row>
    <row r="416" spans="1:2">
      <c r="A416">
        <v>357.5</v>
      </c>
      <c r="B416">
        <v>298.39999999999998</v>
      </c>
    </row>
    <row r="417" spans="1:2">
      <c r="A417">
        <v>355.2</v>
      </c>
      <c r="B417">
        <v>300.3</v>
      </c>
    </row>
    <row r="418" spans="1:2">
      <c r="A418">
        <v>352.6</v>
      </c>
      <c r="B418">
        <v>299.2</v>
      </c>
    </row>
    <row r="419" spans="1:2">
      <c r="A419">
        <v>350.6</v>
      </c>
      <c r="B419">
        <v>300.3</v>
      </c>
    </row>
    <row r="420" spans="1:2">
      <c r="A420">
        <v>352.8</v>
      </c>
      <c r="B420">
        <v>302.10000000000002</v>
      </c>
    </row>
    <row r="421" spans="1:2">
      <c r="A421">
        <v>352.9</v>
      </c>
      <c r="B421">
        <v>304.60000000000002</v>
      </c>
    </row>
    <row r="422" spans="1:2">
      <c r="A422">
        <v>352.3</v>
      </c>
      <c r="B422">
        <v>309.10000000000002</v>
      </c>
    </row>
    <row r="423" spans="1:2">
      <c r="A423">
        <v>350.3</v>
      </c>
      <c r="B423">
        <v>312.3</v>
      </c>
    </row>
    <row r="424" spans="1:2">
      <c r="A424">
        <v>351.6</v>
      </c>
      <c r="B424">
        <v>314.3</v>
      </c>
    </row>
    <row r="425" spans="1:2">
      <c r="A425">
        <v>358.4</v>
      </c>
      <c r="B425">
        <v>315.3</v>
      </c>
    </row>
    <row r="427" spans="1:2">
      <c r="A427">
        <v>346.8</v>
      </c>
      <c r="B427">
        <v>301.7</v>
      </c>
    </row>
    <row r="428" spans="1:2">
      <c r="A428">
        <v>348.4</v>
      </c>
      <c r="B428">
        <v>301.2</v>
      </c>
    </row>
    <row r="429" spans="1:2">
      <c r="A429">
        <v>347.7</v>
      </c>
      <c r="B429">
        <v>298.8</v>
      </c>
    </row>
    <row r="430" spans="1:2">
      <c r="A430">
        <v>345.5</v>
      </c>
      <c r="B430">
        <v>297.89999999999998</v>
      </c>
    </row>
    <row r="431" spans="1:2">
      <c r="A431">
        <v>342.9</v>
      </c>
      <c r="B431">
        <v>299.5</v>
      </c>
    </row>
    <row r="432" spans="1:2">
      <c r="A432">
        <v>342.8</v>
      </c>
      <c r="B432">
        <v>301.2</v>
      </c>
    </row>
    <row r="433" spans="1:2">
      <c r="A433">
        <v>345.8</v>
      </c>
      <c r="B433">
        <v>302.5</v>
      </c>
    </row>
    <row r="434" spans="1:2">
      <c r="A434">
        <v>346.8</v>
      </c>
      <c r="B434">
        <v>301.7</v>
      </c>
    </row>
    <row r="436" spans="1:2">
      <c r="A436">
        <v>347.8</v>
      </c>
      <c r="B436">
        <v>298.5</v>
      </c>
    </row>
    <row r="437" spans="1:2">
      <c r="A437">
        <v>350.8</v>
      </c>
      <c r="B437">
        <v>297.89999999999998</v>
      </c>
    </row>
    <row r="438" spans="1:2">
      <c r="A438">
        <v>350.7</v>
      </c>
      <c r="B438">
        <v>295</v>
      </c>
    </row>
    <row r="439" spans="1:2">
      <c r="A439">
        <v>348.9</v>
      </c>
      <c r="B439">
        <v>292.89999999999998</v>
      </c>
    </row>
    <row r="440" spans="1:2">
      <c r="A440">
        <v>346.1</v>
      </c>
      <c r="B440">
        <v>295.7</v>
      </c>
    </row>
    <row r="441" spans="1:2">
      <c r="A441">
        <v>347.8</v>
      </c>
      <c r="B441">
        <v>298.5</v>
      </c>
    </row>
    <row r="443" spans="1:2">
      <c r="A443">
        <v>351.5</v>
      </c>
      <c r="B443">
        <v>311.2</v>
      </c>
    </row>
    <row r="444" spans="1:2">
      <c r="A444">
        <v>352.8</v>
      </c>
      <c r="B444">
        <v>302.2</v>
      </c>
    </row>
    <row r="445" spans="1:2">
      <c r="A445">
        <v>350.9</v>
      </c>
      <c r="B445">
        <v>300.10000000000002</v>
      </c>
    </row>
    <row r="446" spans="1:2">
      <c r="A446">
        <v>345.8</v>
      </c>
      <c r="B446">
        <v>302.5</v>
      </c>
    </row>
    <row r="447" spans="1:2">
      <c r="A447">
        <v>344.2</v>
      </c>
      <c r="B447">
        <v>301.3</v>
      </c>
    </row>
    <row r="448" spans="1:2">
      <c r="A448">
        <v>341.7</v>
      </c>
      <c r="B448">
        <v>301.89999999999998</v>
      </c>
    </row>
    <row r="449" spans="1:2">
      <c r="A449">
        <v>344.3</v>
      </c>
      <c r="B449">
        <v>306.7</v>
      </c>
    </row>
    <row r="450" spans="1:2">
      <c r="A450">
        <v>343.8</v>
      </c>
      <c r="B450">
        <v>311.5</v>
      </c>
    </row>
    <row r="451" spans="1:2">
      <c r="A451">
        <v>345.9</v>
      </c>
      <c r="B451">
        <v>309.39999999999998</v>
      </c>
    </row>
    <row r="452" spans="1:2">
      <c r="A452">
        <v>350.3</v>
      </c>
      <c r="B452">
        <v>312.3</v>
      </c>
    </row>
    <row r="453" spans="1:2">
      <c r="A453">
        <v>351.5</v>
      </c>
      <c r="B453">
        <v>311.2</v>
      </c>
    </row>
    <row r="455" spans="1:2">
      <c r="A455">
        <v>354.8</v>
      </c>
      <c r="B455">
        <v>300.3</v>
      </c>
    </row>
    <row r="456" spans="1:2">
      <c r="A456">
        <v>357.5</v>
      </c>
      <c r="B456">
        <v>298.39999999999998</v>
      </c>
    </row>
    <row r="457" spans="1:2">
      <c r="A457">
        <v>361</v>
      </c>
      <c r="B457">
        <v>298.3</v>
      </c>
    </row>
    <row r="458" spans="1:2">
      <c r="A458">
        <v>359.5</v>
      </c>
      <c r="B458">
        <v>294.89999999999998</v>
      </c>
    </row>
    <row r="459" spans="1:2">
      <c r="A459">
        <v>360.3</v>
      </c>
      <c r="B459">
        <v>292.8</v>
      </c>
    </row>
    <row r="460" spans="1:2">
      <c r="A460">
        <v>358.7</v>
      </c>
      <c r="B460">
        <v>291.5</v>
      </c>
    </row>
    <row r="461" spans="1:2">
      <c r="A461">
        <v>349.3</v>
      </c>
      <c r="B461">
        <v>293</v>
      </c>
    </row>
    <row r="462" spans="1:2">
      <c r="A462">
        <v>351.3</v>
      </c>
      <c r="B462">
        <v>299.39999999999998</v>
      </c>
    </row>
    <row r="463" spans="1:2">
      <c r="A463">
        <v>354.8</v>
      </c>
      <c r="B463">
        <v>300.3</v>
      </c>
    </row>
    <row r="465" spans="1:2">
      <c r="A465">
        <v>339.7</v>
      </c>
      <c r="B465">
        <v>293.7</v>
      </c>
    </row>
    <row r="466" spans="1:2">
      <c r="A466">
        <v>338.5</v>
      </c>
      <c r="B466">
        <v>296.2</v>
      </c>
    </row>
    <row r="467" spans="1:2">
      <c r="A467">
        <v>339.7</v>
      </c>
      <c r="B467">
        <v>299.39999999999998</v>
      </c>
    </row>
    <row r="468" spans="1:2">
      <c r="A468">
        <v>342.9</v>
      </c>
      <c r="B468">
        <v>299.5</v>
      </c>
    </row>
    <row r="469" spans="1:2">
      <c r="A469">
        <v>345.5</v>
      </c>
      <c r="B469">
        <v>297.89999999999998</v>
      </c>
    </row>
    <row r="470" spans="1:2">
      <c r="A470">
        <v>347.7</v>
      </c>
      <c r="B470">
        <v>298.8</v>
      </c>
    </row>
    <row r="471" spans="1:2">
      <c r="A471">
        <v>346.1</v>
      </c>
      <c r="B471">
        <v>295.7</v>
      </c>
    </row>
    <row r="472" spans="1:2">
      <c r="A472">
        <v>348.9</v>
      </c>
      <c r="B472">
        <v>292.89999999999998</v>
      </c>
    </row>
    <row r="473" spans="1:2">
      <c r="A473">
        <v>347.1</v>
      </c>
      <c r="B473">
        <v>291.5</v>
      </c>
    </row>
    <row r="474" spans="1:2">
      <c r="A474">
        <v>346.9</v>
      </c>
      <c r="B474">
        <v>289.3</v>
      </c>
    </row>
    <row r="475" spans="1:2">
      <c r="A475">
        <v>343.8</v>
      </c>
      <c r="B475">
        <v>290.7</v>
      </c>
    </row>
    <row r="476" spans="1:2">
      <c r="A476">
        <v>341.5</v>
      </c>
      <c r="B476">
        <v>293.89999999999998</v>
      </c>
    </row>
    <row r="477" spans="1:2">
      <c r="A477">
        <v>339.7</v>
      </c>
      <c r="B477">
        <v>293.7</v>
      </c>
    </row>
    <row r="479" spans="1:2">
      <c r="A479">
        <v>341.5</v>
      </c>
      <c r="B479">
        <v>293.8</v>
      </c>
    </row>
    <row r="480" spans="1:2">
      <c r="A480">
        <v>346</v>
      </c>
      <c r="B480">
        <v>289.10000000000002</v>
      </c>
    </row>
    <row r="481" spans="1:2">
      <c r="A481">
        <v>349.3</v>
      </c>
      <c r="B481">
        <v>293</v>
      </c>
    </row>
    <row r="482" spans="1:2">
      <c r="A482">
        <v>356.6</v>
      </c>
      <c r="B482">
        <v>291.5</v>
      </c>
    </row>
    <row r="483" spans="1:2">
      <c r="A483">
        <v>358.3</v>
      </c>
      <c r="B483">
        <v>287.39999999999998</v>
      </c>
    </row>
    <row r="484" spans="1:2">
      <c r="A484">
        <v>358</v>
      </c>
      <c r="B484">
        <v>284.5</v>
      </c>
    </row>
    <row r="485" spans="1:2">
      <c r="A485">
        <v>352.1</v>
      </c>
      <c r="B485">
        <v>281.5</v>
      </c>
    </row>
    <row r="486" spans="1:2">
      <c r="A486">
        <v>351.1</v>
      </c>
      <c r="B486">
        <v>285.39999999999998</v>
      </c>
    </row>
    <row r="487" spans="1:2">
      <c r="A487">
        <v>346.9</v>
      </c>
      <c r="B487">
        <v>285.2</v>
      </c>
    </row>
    <row r="488" spans="1:2">
      <c r="A488">
        <v>343.7</v>
      </c>
      <c r="B488">
        <v>282.60000000000002</v>
      </c>
    </row>
    <row r="489" spans="1:2">
      <c r="A489">
        <v>344</v>
      </c>
      <c r="B489">
        <v>279.39999999999998</v>
      </c>
    </row>
    <row r="490" spans="1:2">
      <c r="A490">
        <v>341.9</v>
      </c>
      <c r="B490">
        <v>278.3</v>
      </c>
    </row>
    <row r="491" spans="1:2">
      <c r="A491">
        <v>341.8</v>
      </c>
      <c r="B491">
        <v>274.7</v>
      </c>
    </row>
    <row r="492" spans="1:2">
      <c r="A492">
        <v>336.6</v>
      </c>
      <c r="B492">
        <v>274.5</v>
      </c>
    </row>
    <row r="493" spans="1:2">
      <c r="A493">
        <v>330.1</v>
      </c>
      <c r="B493">
        <v>271.3</v>
      </c>
    </row>
    <row r="494" spans="1:2">
      <c r="A494">
        <v>332.5</v>
      </c>
      <c r="B494">
        <v>275.3</v>
      </c>
    </row>
    <row r="495" spans="1:2">
      <c r="A495">
        <v>329.2</v>
      </c>
      <c r="B495">
        <v>278.60000000000002</v>
      </c>
    </row>
    <row r="496" spans="1:2">
      <c r="A496">
        <v>328.3</v>
      </c>
      <c r="B496">
        <v>281.60000000000002</v>
      </c>
    </row>
    <row r="497" spans="1:2">
      <c r="A497">
        <v>333.8</v>
      </c>
      <c r="B497">
        <v>280.8</v>
      </c>
    </row>
    <row r="498" spans="1:2">
      <c r="A498">
        <v>335.5</v>
      </c>
      <c r="B498">
        <v>282.3</v>
      </c>
    </row>
    <row r="499" spans="1:2">
      <c r="A499">
        <v>331.1</v>
      </c>
      <c r="B499">
        <v>287.89999999999998</v>
      </c>
    </row>
    <row r="500" spans="1:2">
      <c r="A500">
        <v>334.3</v>
      </c>
      <c r="B500">
        <v>293</v>
      </c>
    </row>
    <row r="501" spans="1:2">
      <c r="A501">
        <v>341.5</v>
      </c>
      <c r="B501">
        <v>293.8</v>
      </c>
    </row>
    <row r="503" spans="1:2">
      <c r="A503">
        <v>339.1</v>
      </c>
      <c r="B503">
        <v>306.7</v>
      </c>
    </row>
    <row r="504" spans="1:2">
      <c r="A504">
        <v>338.4</v>
      </c>
      <c r="B504">
        <v>302.89999999999998</v>
      </c>
    </row>
    <row r="505" spans="1:2">
      <c r="A505">
        <v>343.6</v>
      </c>
      <c r="B505">
        <v>301.60000000000002</v>
      </c>
    </row>
    <row r="506" spans="1:2">
      <c r="A506">
        <v>342.9</v>
      </c>
      <c r="B506">
        <v>299.5</v>
      </c>
    </row>
    <row r="507" spans="1:2">
      <c r="A507">
        <v>339.7</v>
      </c>
      <c r="B507">
        <v>299.39999999999998</v>
      </c>
    </row>
    <row r="508" spans="1:2">
      <c r="A508">
        <v>338.5</v>
      </c>
      <c r="B508">
        <v>296.3</v>
      </c>
    </row>
    <row r="509" spans="1:2">
      <c r="A509">
        <v>331.1</v>
      </c>
      <c r="B509">
        <v>297.7</v>
      </c>
    </row>
    <row r="510" spans="1:2">
      <c r="A510">
        <v>334.7</v>
      </c>
      <c r="B510">
        <v>305.89999999999998</v>
      </c>
    </row>
    <row r="511" spans="1:2">
      <c r="A511">
        <v>337.2</v>
      </c>
      <c r="B511">
        <v>307.5</v>
      </c>
    </row>
    <row r="512" spans="1:2">
      <c r="A512">
        <v>339.1</v>
      </c>
      <c r="B512">
        <v>306.7</v>
      </c>
    </row>
    <row r="514" spans="1:2">
      <c r="A514">
        <v>158.69999999999999</v>
      </c>
      <c r="B514">
        <v>466.1</v>
      </c>
    </row>
    <row r="515" spans="1:2">
      <c r="A515">
        <v>161.1</v>
      </c>
      <c r="B515">
        <v>463.5</v>
      </c>
    </row>
    <row r="516" spans="1:2">
      <c r="A516">
        <v>158.9</v>
      </c>
      <c r="B516">
        <v>461.3</v>
      </c>
    </row>
    <row r="517" spans="1:2">
      <c r="A517">
        <v>157.1</v>
      </c>
      <c r="B517">
        <v>464.3</v>
      </c>
    </row>
    <row r="518" spans="1:2">
      <c r="A518">
        <v>158.69999999999999</v>
      </c>
      <c r="B518">
        <v>466.1</v>
      </c>
    </row>
    <row r="520" spans="1:2">
      <c r="A520">
        <v>175.4</v>
      </c>
      <c r="B520">
        <v>473.7</v>
      </c>
    </row>
    <row r="521" spans="1:2">
      <c r="A521">
        <v>178.8</v>
      </c>
      <c r="B521">
        <v>472.4</v>
      </c>
    </row>
    <row r="522" spans="1:2">
      <c r="A522">
        <v>177.8</v>
      </c>
      <c r="B522">
        <v>468.3</v>
      </c>
    </row>
    <row r="523" spans="1:2">
      <c r="A523">
        <v>175.9</v>
      </c>
      <c r="B523">
        <v>468.3</v>
      </c>
    </row>
    <row r="524" spans="1:2">
      <c r="A524">
        <v>176</v>
      </c>
      <c r="B524">
        <v>470.9</v>
      </c>
    </row>
    <row r="525" spans="1:2">
      <c r="A525">
        <v>174.5</v>
      </c>
      <c r="B525">
        <v>469.2</v>
      </c>
    </row>
    <row r="526" spans="1:2">
      <c r="A526">
        <v>175.3</v>
      </c>
      <c r="B526">
        <v>471.2</v>
      </c>
    </row>
    <row r="527" spans="1:2">
      <c r="A527">
        <v>174.2</v>
      </c>
      <c r="B527">
        <v>471.8</v>
      </c>
    </row>
    <row r="528" spans="1:2">
      <c r="A528">
        <v>177.3</v>
      </c>
      <c r="B528">
        <v>471.7</v>
      </c>
    </row>
    <row r="529" spans="1:2">
      <c r="A529">
        <v>176.1</v>
      </c>
      <c r="B529">
        <v>473.4</v>
      </c>
    </row>
    <row r="530" spans="1:2">
      <c r="A530">
        <v>174.6</v>
      </c>
      <c r="B530">
        <v>472.6</v>
      </c>
    </row>
    <row r="531" spans="1:2">
      <c r="A531">
        <v>175.4</v>
      </c>
      <c r="B531">
        <v>473.7</v>
      </c>
    </row>
    <row r="533" spans="1:2">
      <c r="A533">
        <v>159.19999999999999</v>
      </c>
      <c r="B533">
        <v>467.4</v>
      </c>
    </row>
    <row r="534" spans="1:2">
      <c r="A534">
        <v>157.1</v>
      </c>
      <c r="B534">
        <v>470.1</v>
      </c>
    </row>
    <row r="535" spans="1:2">
      <c r="A535">
        <v>155.80000000000001</v>
      </c>
      <c r="B535">
        <v>468.9</v>
      </c>
    </row>
    <row r="536" spans="1:2">
      <c r="A536">
        <v>154.30000000000001</v>
      </c>
      <c r="B536">
        <v>469.6</v>
      </c>
    </row>
    <row r="537" spans="1:2">
      <c r="A537">
        <v>154</v>
      </c>
      <c r="B537">
        <v>473</v>
      </c>
    </row>
    <row r="538" spans="1:2">
      <c r="A538">
        <v>159.1</v>
      </c>
      <c r="B538">
        <v>475.6</v>
      </c>
    </row>
    <row r="539" spans="1:2">
      <c r="A539">
        <v>164.1</v>
      </c>
      <c r="B539">
        <v>475.9</v>
      </c>
    </row>
    <row r="540" spans="1:2">
      <c r="A540">
        <v>165.7</v>
      </c>
      <c r="B540">
        <v>476.7</v>
      </c>
    </row>
    <row r="541" spans="1:2">
      <c r="A541">
        <v>166.4</v>
      </c>
      <c r="B541">
        <v>479.6</v>
      </c>
    </row>
    <row r="542" spans="1:2">
      <c r="A542">
        <v>173</v>
      </c>
      <c r="B542">
        <v>476.3</v>
      </c>
    </row>
    <row r="543" spans="1:2">
      <c r="A543">
        <v>173.5</v>
      </c>
      <c r="B543">
        <v>474.7</v>
      </c>
    </row>
    <row r="544" spans="1:2">
      <c r="A544">
        <v>172</v>
      </c>
      <c r="B544">
        <v>473.7</v>
      </c>
    </row>
    <row r="545" spans="1:2">
      <c r="A545">
        <v>166.8</v>
      </c>
      <c r="B545">
        <v>472.2</v>
      </c>
    </row>
    <row r="546" spans="1:2">
      <c r="A546">
        <v>161.19999999999999</v>
      </c>
      <c r="B546">
        <v>467.3</v>
      </c>
    </row>
    <row r="547" spans="1:2">
      <c r="A547">
        <v>159.19999999999999</v>
      </c>
      <c r="B547">
        <v>467.4</v>
      </c>
    </row>
    <row r="549" spans="1:2">
      <c r="A549">
        <v>173</v>
      </c>
      <c r="B549">
        <v>480</v>
      </c>
    </row>
    <row r="550" spans="1:2">
      <c r="A550">
        <v>173.4</v>
      </c>
      <c r="B550">
        <v>478.4</v>
      </c>
    </row>
    <row r="551" spans="1:2">
      <c r="A551">
        <v>170.1</v>
      </c>
      <c r="B551">
        <v>478.3</v>
      </c>
    </row>
    <row r="552" spans="1:2">
      <c r="A552">
        <v>173</v>
      </c>
      <c r="B552">
        <v>480</v>
      </c>
    </row>
    <row r="554" spans="1:2">
      <c r="A554">
        <v>178.2</v>
      </c>
      <c r="B554">
        <v>475.4</v>
      </c>
    </row>
    <row r="555" spans="1:2">
      <c r="A555">
        <v>181.5</v>
      </c>
      <c r="B555">
        <v>473.2</v>
      </c>
    </row>
    <row r="556" spans="1:2">
      <c r="A556">
        <v>179.8</v>
      </c>
      <c r="B556">
        <v>474.2</v>
      </c>
    </row>
    <row r="557" spans="1:2">
      <c r="A557">
        <v>178.7</v>
      </c>
      <c r="B557">
        <v>472.5</v>
      </c>
    </row>
    <row r="558" spans="1:2">
      <c r="A558">
        <v>176</v>
      </c>
      <c r="B558">
        <v>474.1</v>
      </c>
    </row>
    <row r="559" spans="1:2">
      <c r="A559">
        <v>177.3</v>
      </c>
      <c r="B559">
        <v>475.1</v>
      </c>
    </row>
    <row r="560" spans="1:2">
      <c r="A560">
        <v>178.3</v>
      </c>
      <c r="B560">
        <v>474</v>
      </c>
    </row>
    <row r="561" spans="1:2">
      <c r="A561">
        <v>178.2</v>
      </c>
      <c r="B561">
        <v>475.4</v>
      </c>
    </row>
    <row r="563" spans="1:2">
      <c r="A563">
        <v>181.5</v>
      </c>
      <c r="B563">
        <v>473.3</v>
      </c>
    </row>
    <row r="564" spans="1:2">
      <c r="A564">
        <v>183.5</v>
      </c>
      <c r="B564">
        <v>471.7</v>
      </c>
    </row>
    <row r="565" spans="1:2">
      <c r="A565">
        <v>183.6</v>
      </c>
      <c r="B565">
        <v>468.7</v>
      </c>
    </row>
    <row r="566" spans="1:2">
      <c r="A566">
        <v>177.8</v>
      </c>
      <c r="B566">
        <v>468.3</v>
      </c>
    </row>
    <row r="567" spans="1:2">
      <c r="A567">
        <v>177.6</v>
      </c>
      <c r="B567">
        <v>470.7</v>
      </c>
    </row>
    <row r="568" spans="1:2">
      <c r="A568">
        <v>179.8</v>
      </c>
      <c r="B568">
        <v>474.2</v>
      </c>
    </row>
    <row r="569" spans="1:2">
      <c r="A569">
        <v>181.5</v>
      </c>
      <c r="B569">
        <v>473.3</v>
      </c>
    </row>
    <row r="571" spans="1:2">
      <c r="A571">
        <v>174.8</v>
      </c>
      <c r="B571">
        <v>466.8</v>
      </c>
    </row>
    <row r="572" spans="1:2">
      <c r="A572">
        <v>175.7</v>
      </c>
      <c r="B572">
        <v>468</v>
      </c>
    </row>
    <row r="573" spans="1:2">
      <c r="A573">
        <v>178</v>
      </c>
      <c r="B573">
        <v>467</v>
      </c>
    </row>
    <row r="574" spans="1:2">
      <c r="A574">
        <v>177.9</v>
      </c>
      <c r="B574">
        <v>468.5</v>
      </c>
    </row>
    <row r="575" spans="1:2">
      <c r="A575">
        <v>179.2</v>
      </c>
      <c r="B575">
        <v>468.9</v>
      </c>
    </row>
    <row r="576" spans="1:2">
      <c r="A576">
        <v>184.3</v>
      </c>
      <c r="B576">
        <v>468.8</v>
      </c>
    </row>
    <row r="577" spans="1:2">
      <c r="A577">
        <v>180.8</v>
      </c>
      <c r="B577">
        <v>464.2</v>
      </c>
    </row>
    <row r="578" spans="1:2">
      <c r="A578">
        <v>183.4</v>
      </c>
      <c r="B578">
        <v>463.3</v>
      </c>
    </row>
    <row r="579" spans="1:2">
      <c r="A579">
        <v>180.7</v>
      </c>
      <c r="B579">
        <v>459.7</v>
      </c>
    </row>
    <row r="580" spans="1:2">
      <c r="A580">
        <v>178.7</v>
      </c>
      <c r="B580">
        <v>459.3</v>
      </c>
    </row>
    <row r="581" spans="1:2">
      <c r="A581">
        <v>179.7</v>
      </c>
      <c r="B581">
        <v>459</v>
      </c>
    </row>
    <row r="582" spans="1:2">
      <c r="A582">
        <v>173.3</v>
      </c>
      <c r="B582">
        <v>458.3</v>
      </c>
    </row>
    <row r="583" spans="1:2">
      <c r="A583">
        <v>174.7</v>
      </c>
      <c r="B583">
        <v>459.4</v>
      </c>
    </row>
    <row r="584" spans="1:2">
      <c r="A584">
        <v>173.5</v>
      </c>
      <c r="B584">
        <v>460.2</v>
      </c>
    </row>
    <row r="585" spans="1:2">
      <c r="A585">
        <v>179.8</v>
      </c>
      <c r="B585">
        <v>460.3</v>
      </c>
    </row>
    <row r="586" spans="1:2">
      <c r="A586">
        <v>176.4</v>
      </c>
      <c r="B586">
        <v>462.9</v>
      </c>
    </row>
    <row r="587" spans="1:2">
      <c r="A587">
        <v>175.9</v>
      </c>
      <c r="B587">
        <v>466.8</v>
      </c>
    </row>
    <row r="588" spans="1:2">
      <c r="A588">
        <v>174.8</v>
      </c>
      <c r="B588">
        <v>466.8</v>
      </c>
    </row>
    <row r="590" spans="1:2">
      <c r="A590">
        <v>185.8</v>
      </c>
      <c r="B590">
        <v>472.6</v>
      </c>
    </row>
    <row r="591" spans="1:2">
      <c r="A591">
        <v>190.6</v>
      </c>
      <c r="B591">
        <v>472.8</v>
      </c>
    </row>
    <row r="592" spans="1:2">
      <c r="A592">
        <v>189.8</v>
      </c>
      <c r="B592">
        <v>468</v>
      </c>
    </row>
    <row r="593" spans="1:2">
      <c r="A593">
        <v>185.6</v>
      </c>
      <c r="B593">
        <v>463.2</v>
      </c>
    </row>
    <row r="594" spans="1:2">
      <c r="A594">
        <v>181.3</v>
      </c>
      <c r="B594">
        <v>463.9</v>
      </c>
    </row>
    <row r="595" spans="1:2">
      <c r="A595">
        <v>184.3</v>
      </c>
      <c r="B595">
        <v>468.7</v>
      </c>
    </row>
    <row r="596" spans="1:2">
      <c r="A596">
        <v>182.4</v>
      </c>
      <c r="B596">
        <v>472.6</v>
      </c>
    </row>
    <row r="597" spans="1:2">
      <c r="A597">
        <v>184.4</v>
      </c>
      <c r="B597">
        <v>472.6</v>
      </c>
    </row>
    <row r="598" spans="1:2">
      <c r="A598">
        <v>184.7</v>
      </c>
      <c r="B598">
        <v>473.7</v>
      </c>
    </row>
    <row r="599" spans="1:2">
      <c r="A599">
        <v>185.8</v>
      </c>
      <c r="B599">
        <v>472.6</v>
      </c>
    </row>
    <row r="601" spans="1:2">
      <c r="A601">
        <v>189</v>
      </c>
      <c r="B601">
        <v>478.5</v>
      </c>
    </row>
    <row r="602" spans="1:2">
      <c r="A602">
        <v>187.4</v>
      </c>
      <c r="B602">
        <v>476.8</v>
      </c>
    </row>
    <row r="603" spans="1:2">
      <c r="A603">
        <v>187.5</v>
      </c>
      <c r="B603">
        <v>474.5</v>
      </c>
    </row>
    <row r="604" spans="1:2">
      <c r="A604">
        <v>189.5</v>
      </c>
      <c r="B604">
        <v>472.6</v>
      </c>
    </row>
    <row r="605" spans="1:2">
      <c r="A605">
        <v>182.4</v>
      </c>
      <c r="B605">
        <v>473</v>
      </c>
    </row>
    <row r="606" spans="1:2">
      <c r="A606">
        <v>183.7</v>
      </c>
      <c r="B606">
        <v>474.3</v>
      </c>
    </row>
    <row r="607" spans="1:2">
      <c r="A607">
        <v>182.6</v>
      </c>
      <c r="B607">
        <v>478.3</v>
      </c>
    </row>
    <row r="608" spans="1:2">
      <c r="A608">
        <v>189</v>
      </c>
      <c r="B608">
        <v>478.5</v>
      </c>
    </row>
    <row r="610" spans="1:2">
      <c r="A610">
        <v>187.2</v>
      </c>
      <c r="B610">
        <v>485.9</v>
      </c>
    </row>
    <row r="611" spans="1:2">
      <c r="A611">
        <v>188.3</v>
      </c>
      <c r="B611">
        <v>484.5</v>
      </c>
    </row>
    <row r="612" spans="1:2">
      <c r="A612">
        <v>191.9</v>
      </c>
      <c r="B612">
        <v>484.7</v>
      </c>
    </row>
    <row r="613" spans="1:2">
      <c r="A613">
        <v>189.4</v>
      </c>
      <c r="B613">
        <v>481.9</v>
      </c>
    </row>
    <row r="614" spans="1:2">
      <c r="A614">
        <v>189</v>
      </c>
      <c r="B614">
        <v>478.5</v>
      </c>
    </row>
    <row r="615" spans="1:2">
      <c r="A615">
        <v>182.8</v>
      </c>
      <c r="B615">
        <v>478.4</v>
      </c>
    </row>
    <row r="616" spans="1:2">
      <c r="A616">
        <v>182.3</v>
      </c>
      <c r="B616">
        <v>479.7</v>
      </c>
    </row>
    <row r="617" spans="1:2">
      <c r="A617">
        <v>184.8</v>
      </c>
      <c r="B617">
        <v>481.6</v>
      </c>
    </row>
    <row r="618" spans="1:2">
      <c r="A618">
        <v>182.2</v>
      </c>
      <c r="B618">
        <v>484.9</v>
      </c>
    </row>
    <row r="619" spans="1:2">
      <c r="A619">
        <v>184.9</v>
      </c>
      <c r="B619">
        <v>484.3</v>
      </c>
    </row>
    <row r="620" spans="1:2">
      <c r="A620">
        <v>187.2</v>
      </c>
      <c r="B620">
        <v>485.9</v>
      </c>
    </row>
    <row r="622" spans="1:2">
      <c r="A622">
        <v>186</v>
      </c>
      <c r="B622">
        <v>485.8</v>
      </c>
    </row>
    <row r="623" spans="1:2">
      <c r="A623">
        <v>184.9</v>
      </c>
      <c r="B623">
        <v>484.3</v>
      </c>
    </row>
    <row r="624" spans="1:2">
      <c r="A624">
        <v>182.2</v>
      </c>
      <c r="B624">
        <v>484.9</v>
      </c>
    </row>
    <row r="625" spans="1:2">
      <c r="A625">
        <v>184.8</v>
      </c>
      <c r="B625">
        <v>481.6</v>
      </c>
    </row>
    <row r="626" spans="1:2">
      <c r="A626">
        <v>182.2</v>
      </c>
      <c r="B626">
        <v>479.4</v>
      </c>
    </row>
    <row r="627" spans="1:2">
      <c r="A627">
        <v>183.7</v>
      </c>
      <c r="B627">
        <v>474.3</v>
      </c>
    </row>
    <row r="628" spans="1:2">
      <c r="A628">
        <v>182.5</v>
      </c>
      <c r="B628">
        <v>472.8</v>
      </c>
    </row>
    <row r="629" spans="1:2">
      <c r="A629">
        <v>178.5</v>
      </c>
      <c r="B629">
        <v>476.3</v>
      </c>
    </row>
    <row r="630" spans="1:2">
      <c r="A630">
        <v>175.4</v>
      </c>
      <c r="B630">
        <v>475.4</v>
      </c>
    </row>
    <row r="631" spans="1:2">
      <c r="A631">
        <v>175.6</v>
      </c>
      <c r="B631">
        <v>481.8</v>
      </c>
    </row>
    <row r="632" spans="1:2">
      <c r="A632">
        <v>172.8</v>
      </c>
      <c r="B632">
        <v>485.4</v>
      </c>
    </row>
    <row r="633" spans="1:2">
      <c r="A633">
        <v>177.3</v>
      </c>
      <c r="B633">
        <v>487</v>
      </c>
    </row>
    <row r="634" spans="1:2">
      <c r="A634">
        <v>179.7</v>
      </c>
      <c r="B634">
        <v>490.8</v>
      </c>
    </row>
    <row r="635" spans="1:2">
      <c r="A635">
        <v>186</v>
      </c>
      <c r="B635">
        <v>485.8</v>
      </c>
    </row>
    <row r="637" spans="1:2">
      <c r="A637">
        <v>143.19999999999999</v>
      </c>
      <c r="B637">
        <v>492.6</v>
      </c>
    </row>
    <row r="638" spans="1:2">
      <c r="A638">
        <v>144.9</v>
      </c>
      <c r="B638">
        <v>492.3</v>
      </c>
    </row>
    <row r="639" spans="1:2">
      <c r="A639">
        <v>145.4</v>
      </c>
      <c r="B639">
        <v>489.4</v>
      </c>
    </row>
    <row r="640" spans="1:2">
      <c r="A640">
        <v>142.9</v>
      </c>
      <c r="B640">
        <v>491</v>
      </c>
    </row>
    <row r="641" spans="1:2">
      <c r="A641">
        <v>142</v>
      </c>
      <c r="B641">
        <v>492.5</v>
      </c>
    </row>
    <row r="642" spans="1:2">
      <c r="A642">
        <v>143.19999999999999</v>
      </c>
      <c r="B642">
        <v>492.6</v>
      </c>
    </row>
    <row r="644" spans="1:2">
      <c r="A644">
        <v>139.6</v>
      </c>
      <c r="B644">
        <v>495.9</v>
      </c>
    </row>
    <row r="645" spans="1:2">
      <c r="A645">
        <v>140.4</v>
      </c>
      <c r="B645">
        <v>492.9</v>
      </c>
    </row>
    <row r="646" spans="1:2">
      <c r="A646">
        <v>136.19999999999999</v>
      </c>
      <c r="B646">
        <v>494.6</v>
      </c>
    </row>
    <row r="647" spans="1:2">
      <c r="A647">
        <v>139.6</v>
      </c>
      <c r="B647">
        <v>495.9</v>
      </c>
    </row>
    <row r="649" spans="1:2">
      <c r="A649">
        <v>144.19999999999999</v>
      </c>
      <c r="B649">
        <v>499.5</v>
      </c>
    </row>
    <row r="650" spans="1:2">
      <c r="A650">
        <v>141.6</v>
      </c>
      <c r="B650">
        <v>499.8</v>
      </c>
    </row>
    <row r="651" spans="1:2">
      <c r="A651">
        <v>142.80000000000001</v>
      </c>
      <c r="B651">
        <v>501.1</v>
      </c>
    </row>
    <row r="652" spans="1:2">
      <c r="A652">
        <v>144.19999999999999</v>
      </c>
      <c r="B652">
        <v>499.5</v>
      </c>
    </row>
    <row r="654" spans="1:2">
      <c r="A654">
        <v>151.30000000000001</v>
      </c>
      <c r="B654">
        <v>502.5</v>
      </c>
    </row>
    <row r="655" spans="1:2">
      <c r="A655">
        <v>150.4</v>
      </c>
      <c r="B655">
        <v>498.9</v>
      </c>
    </row>
    <row r="656" spans="1:2">
      <c r="A656">
        <v>155.69999999999999</v>
      </c>
      <c r="B656">
        <v>495.6</v>
      </c>
    </row>
    <row r="657" spans="1:2">
      <c r="A657">
        <v>152.30000000000001</v>
      </c>
      <c r="B657">
        <v>491.5</v>
      </c>
    </row>
    <row r="658" spans="1:2">
      <c r="A658">
        <v>150.4</v>
      </c>
      <c r="B658">
        <v>495.6</v>
      </c>
    </row>
    <row r="659" spans="1:2">
      <c r="A659">
        <v>146.1</v>
      </c>
      <c r="B659">
        <v>498.7</v>
      </c>
    </row>
    <row r="660" spans="1:2">
      <c r="A660">
        <v>147.69999999999999</v>
      </c>
      <c r="B660">
        <v>499</v>
      </c>
    </row>
    <row r="661" spans="1:2">
      <c r="A661">
        <v>148.1</v>
      </c>
      <c r="B661">
        <v>502.4</v>
      </c>
    </row>
    <row r="662" spans="1:2">
      <c r="A662">
        <v>151.30000000000001</v>
      </c>
      <c r="B662">
        <v>502.5</v>
      </c>
    </row>
    <row r="664" spans="1:2">
      <c r="A664">
        <v>145.80000000000001</v>
      </c>
      <c r="B664">
        <v>510</v>
      </c>
    </row>
    <row r="665" spans="1:2">
      <c r="A665">
        <v>148.30000000000001</v>
      </c>
      <c r="B665">
        <v>508.5</v>
      </c>
    </row>
    <row r="666" spans="1:2">
      <c r="A666">
        <v>150.9</v>
      </c>
      <c r="B666">
        <v>509.2</v>
      </c>
    </row>
    <row r="667" spans="1:2">
      <c r="A667">
        <v>151.5</v>
      </c>
      <c r="B667">
        <v>507.2</v>
      </c>
    </row>
    <row r="668" spans="1:2">
      <c r="A668">
        <v>147.9</v>
      </c>
      <c r="B668">
        <v>504.3</v>
      </c>
    </row>
    <row r="669" spans="1:2">
      <c r="A669">
        <v>144.19999999999999</v>
      </c>
      <c r="B669">
        <v>504.6</v>
      </c>
    </row>
    <row r="670" spans="1:2">
      <c r="A670">
        <v>142.80000000000001</v>
      </c>
      <c r="B670">
        <v>503.1</v>
      </c>
    </row>
    <row r="671" spans="1:2">
      <c r="A671">
        <v>140.4</v>
      </c>
      <c r="B671">
        <v>505.3</v>
      </c>
    </row>
    <row r="672" spans="1:2">
      <c r="A672">
        <v>143.4</v>
      </c>
      <c r="B672">
        <v>510.1</v>
      </c>
    </row>
    <row r="673" spans="1:2">
      <c r="A673">
        <v>145.80000000000001</v>
      </c>
      <c r="B673">
        <v>510</v>
      </c>
    </row>
    <row r="675" spans="1:2">
      <c r="A675">
        <v>160.9</v>
      </c>
      <c r="B675">
        <v>511</v>
      </c>
    </row>
    <row r="676" spans="1:2">
      <c r="A676">
        <v>166.8</v>
      </c>
      <c r="B676">
        <v>506.5</v>
      </c>
    </row>
    <row r="677" spans="1:2">
      <c r="A677">
        <v>168.6</v>
      </c>
      <c r="B677">
        <v>502.7</v>
      </c>
    </row>
    <row r="678" spans="1:2">
      <c r="A678">
        <v>167.7</v>
      </c>
      <c r="B678">
        <v>494.8</v>
      </c>
    </row>
    <row r="679" spans="1:2">
      <c r="A679">
        <v>170.1</v>
      </c>
      <c r="B679">
        <v>488.7</v>
      </c>
    </row>
    <row r="680" spans="1:2">
      <c r="A680">
        <v>168</v>
      </c>
      <c r="B680">
        <v>487.9</v>
      </c>
    </row>
    <row r="681" spans="1:2">
      <c r="A681">
        <v>167.7</v>
      </c>
      <c r="B681">
        <v>484.5</v>
      </c>
    </row>
    <row r="682" spans="1:2">
      <c r="A682">
        <v>166.5</v>
      </c>
      <c r="B682">
        <v>485.7</v>
      </c>
    </row>
    <row r="683" spans="1:2">
      <c r="A683">
        <v>167.4</v>
      </c>
      <c r="B683">
        <v>486.6</v>
      </c>
    </row>
    <row r="684" spans="1:2">
      <c r="A684">
        <v>157.9</v>
      </c>
      <c r="B684">
        <v>486</v>
      </c>
    </row>
    <row r="685" spans="1:2">
      <c r="A685">
        <v>154.9</v>
      </c>
      <c r="B685">
        <v>488.2</v>
      </c>
    </row>
    <row r="686" spans="1:2">
      <c r="A686">
        <v>154.5</v>
      </c>
      <c r="B686">
        <v>490.5</v>
      </c>
    </row>
    <row r="687" spans="1:2">
      <c r="A687">
        <v>158.5</v>
      </c>
      <c r="B687">
        <v>492.3</v>
      </c>
    </row>
    <row r="688" spans="1:2">
      <c r="A688">
        <v>156.69999999999999</v>
      </c>
      <c r="B688">
        <v>497</v>
      </c>
    </row>
    <row r="689" spans="1:2">
      <c r="A689">
        <v>153.19999999999999</v>
      </c>
      <c r="B689">
        <v>499.2</v>
      </c>
    </row>
    <row r="690" spans="1:2">
      <c r="A690">
        <v>153.1</v>
      </c>
      <c r="B690">
        <v>507.2</v>
      </c>
    </row>
    <row r="691" spans="1:2">
      <c r="A691">
        <v>156.4</v>
      </c>
      <c r="B691">
        <v>509.1</v>
      </c>
    </row>
    <row r="692" spans="1:2">
      <c r="A692">
        <v>156.80000000000001</v>
      </c>
      <c r="B692">
        <v>510.8</v>
      </c>
    </row>
    <row r="693" spans="1:2">
      <c r="A693">
        <v>160.9</v>
      </c>
      <c r="B693">
        <v>511</v>
      </c>
    </row>
    <row r="695" spans="1:2">
      <c r="A695">
        <v>121.3</v>
      </c>
      <c r="B695">
        <v>426.2</v>
      </c>
    </row>
    <row r="696" spans="1:2">
      <c r="A696">
        <v>122.5</v>
      </c>
      <c r="B696">
        <v>424.5</v>
      </c>
    </row>
    <row r="697" spans="1:2">
      <c r="A697">
        <v>124.4</v>
      </c>
      <c r="B697">
        <v>425.1</v>
      </c>
    </row>
    <row r="698" spans="1:2">
      <c r="A698">
        <v>122.1</v>
      </c>
      <c r="B698">
        <v>423.7</v>
      </c>
    </row>
    <row r="699" spans="1:2">
      <c r="A699">
        <v>121.3</v>
      </c>
      <c r="B699">
        <v>426.2</v>
      </c>
    </row>
    <row r="701" spans="1:2">
      <c r="A701">
        <v>118.9</v>
      </c>
      <c r="B701">
        <v>431.4</v>
      </c>
    </row>
    <row r="702" spans="1:2">
      <c r="A702">
        <v>118.1</v>
      </c>
      <c r="B702">
        <v>429.1</v>
      </c>
    </row>
    <row r="703" spans="1:2">
      <c r="A703">
        <v>117.3</v>
      </c>
      <c r="B703">
        <v>430.6</v>
      </c>
    </row>
    <row r="704" spans="1:2">
      <c r="A704">
        <v>118.9</v>
      </c>
      <c r="B704">
        <v>431.4</v>
      </c>
    </row>
    <row r="706" spans="1:2">
      <c r="A706">
        <v>130</v>
      </c>
      <c r="B706">
        <v>433.3</v>
      </c>
    </row>
    <row r="707" spans="1:2">
      <c r="A707">
        <v>128.4</v>
      </c>
      <c r="B707">
        <v>430.8</v>
      </c>
    </row>
    <row r="708" spans="1:2">
      <c r="A708">
        <v>128.4</v>
      </c>
      <c r="B708">
        <v>433.4</v>
      </c>
    </row>
    <row r="709" spans="1:2">
      <c r="A709">
        <v>130</v>
      </c>
      <c r="B709">
        <v>433.3</v>
      </c>
    </row>
    <row r="711" spans="1:2">
      <c r="A711">
        <v>145</v>
      </c>
      <c r="B711">
        <v>441.3</v>
      </c>
    </row>
    <row r="712" spans="1:2">
      <c r="A712">
        <v>147.1</v>
      </c>
      <c r="B712">
        <v>438.9</v>
      </c>
    </row>
    <row r="713" spans="1:2">
      <c r="A713">
        <v>143.80000000000001</v>
      </c>
      <c r="B713">
        <v>440.6</v>
      </c>
    </row>
    <row r="714" spans="1:2">
      <c r="A714">
        <v>145</v>
      </c>
      <c r="B714">
        <v>441.3</v>
      </c>
    </row>
    <row r="716" spans="1:2">
      <c r="A716">
        <v>131.69999999999999</v>
      </c>
      <c r="B716">
        <v>441.5</v>
      </c>
    </row>
    <row r="717" spans="1:2">
      <c r="A717">
        <v>132</v>
      </c>
      <c r="B717">
        <v>439.7</v>
      </c>
    </row>
    <row r="718" spans="1:2">
      <c r="A718">
        <v>129.9</v>
      </c>
      <c r="B718">
        <v>440.9</v>
      </c>
    </row>
    <row r="719" spans="1:2">
      <c r="A719">
        <v>130.80000000000001</v>
      </c>
      <c r="B719">
        <v>442.2</v>
      </c>
    </row>
    <row r="720" spans="1:2">
      <c r="A720">
        <v>131.69999999999999</v>
      </c>
      <c r="B720">
        <v>441.5</v>
      </c>
    </row>
    <row r="722" spans="1:2">
      <c r="A722">
        <v>121.7</v>
      </c>
      <c r="B722">
        <v>443.2</v>
      </c>
    </row>
    <row r="723" spans="1:2">
      <c r="A723">
        <v>121.1</v>
      </c>
      <c r="B723">
        <v>441.4</v>
      </c>
    </row>
    <row r="724" spans="1:2">
      <c r="A724">
        <v>119</v>
      </c>
      <c r="B724">
        <v>441.6</v>
      </c>
    </row>
    <row r="725" spans="1:2">
      <c r="A725">
        <v>121.7</v>
      </c>
      <c r="B725">
        <v>443.2</v>
      </c>
    </row>
    <row r="727" spans="1:2">
      <c r="A727">
        <v>137.69999999999999</v>
      </c>
      <c r="B727">
        <v>446.2</v>
      </c>
    </row>
    <row r="728" spans="1:2">
      <c r="A728">
        <v>139.5</v>
      </c>
      <c r="B728">
        <v>444.4</v>
      </c>
    </row>
    <row r="729" spans="1:2">
      <c r="A729">
        <v>138.6</v>
      </c>
      <c r="B729">
        <v>442.9</v>
      </c>
    </row>
    <row r="730" spans="1:2">
      <c r="A730">
        <v>136.6</v>
      </c>
      <c r="B730">
        <v>444.8</v>
      </c>
    </row>
    <row r="731" spans="1:2">
      <c r="A731">
        <v>137.69999999999999</v>
      </c>
      <c r="B731">
        <v>446.2</v>
      </c>
    </row>
    <row r="733" spans="1:2">
      <c r="A733">
        <v>168.3</v>
      </c>
      <c r="B733">
        <v>447.4</v>
      </c>
    </row>
    <row r="734" spans="1:2">
      <c r="A734">
        <v>167.3</v>
      </c>
      <c r="B734">
        <v>449.2</v>
      </c>
    </row>
    <row r="735" spans="1:2">
      <c r="A735">
        <v>168.3</v>
      </c>
      <c r="B735">
        <v>450.1</v>
      </c>
    </row>
    <row r="736" spans="1:2">
      <c r="A736">
        <v>169.6</v>
      </c>
      <c r="B736">
        <v>447.1</v>
      </c>
    </row>
    <row r="737" spans="1:2">
      <c r="A737">
        <v>168.3</v>
      </c>
      <c r="B737">
        <v>447.4</v>
      </c>
    </row>
    <row r="739" spans="1:2">
      <c r="A739">
        <v>147.9</v>
      </c>
      <c r="B739">
        <v>450.7</v>
      </c>
    </row>
    <row r="740" spans="1:2">
      <c r="A740">
        <v>153</v>
      </c>
      <c r="B740">
        <v>449.9</v>
      </c>
    </row>
    <row r="741" spans="1:2">
      <c r="A741">
        <v>150.19999999999999</v>
      </c>
      <c r="B741">
        <v>448.3</v>
      </c>
    </row>
    <row r="742" spans="1:2">
      <c r="A742">
        <v>147.1</v>
      </c>
      <c r="B742">
        <v>449.8</v>
      </c>
    </row>
    <row r="743" spans="1:2">
      <c r="A743">
        <v>147.9</v>
      </c>
      <c r="B743">
        <v>450.7</v>
      </c>
    </row>
    <row r="745" spans="1:2">
      <c r="A745">
        <v>131.9</v>
      </c>
      <c r="B745">
        <v>451.3</v>
      </c>
    </row>
    <row r="746" spans="1:2">
      <c r="A746">
        <v>132.80000000000001</v>
      </c>
      <c r="B746">
        <v>448.6</v>
      </c>
    </row>
    <row r="747" spans="1:2">
      <c r="A747">
        <v>137</v>
      </c>
      <c r="B747">
        <v>447</v>
      </c>
    </row>
    <row r="748" spans="1:2">
      <c r="A748">
        <v>135.4</v>
      </c>
      <c r="B748">
        <v>444.9</v>
      </c>
    </row>
    <row r="749" spans="1:2">
      <c r="A749">
        <v>132.80000000000001</v>
      </c>
      <c r="B749">
        <v>444.4</v>
      </c>
    </row>
    <row r="750" spans="1:2">
      <c r="A750">
        <v>131.4</v>
      </c>
      <c r="B750">
        <v>446.7</v>
      </c>
    </row>
    <row r="751" spans="1:2">
      <c r="A751">
        <v>129.9</v>
      </c>
      <c r="B751">
        <v>445.8</v>
      </c>
    </row>
    <row r="752" spans="1:2">
      <c r="A752">
        <v>131.9</v>
      </c>
      <c r="B752">
        <v>451.3</v>
      </c>
    </row>
    <row r="754" spans="1:2">
      <c r="A754">
        <v>164.7</v>
      </c>
      <c r="B754">
        <v>448.2</v>
      </c>
    </row>
    <row r="755" spans="1:2">
      <c r="A755">
        <v>162.6</v>
      </c>
      <c r="B755">
        <v>446</v>
      </c>
    </row>
    <row r="756" spans="1:2">
      <c r="A756">
        <v>160.4</v>
      </c>
      <c r="B756">
        <v>447</v>
      </c>
    </row>
    <row r="757" spans="1:2">
      <c r="A757">
        <v>160.5</v>
      </c>
      <c r="B757">
        <v>451.5</v>
      </c>
    </row>
    <row r="758" spans="1:2">
      <c r="A758">
        <v>165.2</v>
      </c>
      <c r="B758">
        <v>452.4</v>
      </c>
    </row>
    <row r="759" spans="1:2">
      <c r="A759">
        <v>166.4</v>
      </c>
      <c r="B759">
        <v>449.7</v>
      </c>
    </row>
    <row r="760" spans="1:2">
      <c r="A760">
        <v>164.2</v>
      </c>
      <c r="B760">
        <v>449.2</v>
      </c>
    </row>
    <row r="761" spans="1:2">
      <c r="A761">
        <v>164.7</v>
      </c>
      <c r="B761">
        <v>448.2</v>
      </c>
    </row>
    <row r="763" spans="1:2">
      <c r="A763">
        <v>163.80000000000001</v>
      </c>
      <c r="B763">
        <v>479.9</v>
      </c>
    </row>
    <row r="764" spans="1:2">
      <c r="A764">
        <v>163.6</v>
      </c>
      <c r="B764">
        <v>477.2</v>
      </c>
    </row>
    <row r="765" spans="1:2">
      <c r="A765">
        <v>160.1</v>
      </c>
      <c r="B765">
        <v>477.6</v>
      </c>
    </row>
    <row r="766" spans="1:2">
      <c r="A766">
        <v>162.5</v>
      </c>
      <c r="B766">
        <v>480.7</v>
      </c>
    </row>
    <row r="767" spans="1:2">
      <c r="A767">
        <v>163.80000000000001</v>
      </c>
      <c r="B767">
        <v>479.9</v>
      </c>
    </row>
    <row r="769" spans="1:2">
      <c r="A769">
        <v>150.4</v>
      </c>
      <c r="B769">
        <v>482</v>
      </c>
    </row>
    <row r="770" spans="1:2">
      <c r="A770">
        <v>156.1</v>
      </c>
      <c r="B770">
        <v>479.2</v>
      </c>
    </row>
    <row r="771" spans="1:2">
      <c r="A771">
        <v>151.1</v>
      </c>
      <c r="B771">
        <v>478.3</v>
      </c>
    </row>
    <row r="772" spans="1:2">
      <c r="A772">
        <v>150.4</v>
      </c>
      <c r="B772">
        <v>482</v>
      </c>
    </row>
    <row r="774" spans="1:2">
      <c r="A774">
        <v>97</v>
      </c>
      <c r="B774">
        <v>495.2</v>
      </c>
    </row>
    <row r="775" spans="1:2">
      <c r="A775">
        <v>94.9</v>
      </c>
      <c r="B775">
        <v>492.4</v>
      </c>
    </row>
    <row r="776" spans="1:2">
      <c r="A776">
        <v>94.3</v>
      </c>
      <c r="B776">
        <v>495.3</v>
      </c>
    </row>
    <row r="777" spans="1:2">
      <c r="A777">
        <v>97</v>
      </c>
      <c r="B777">
        <v>495.2</v>
      </c>
    </row>
    <row r="779" spans="1:2">
      <c r="A779">
        <v>14.9</v>
      </c>
      <c r="B779">
        <v>506</v>
      </c>
    </row>
    <row r="780" spans="1:2">
      <c r="A780">
        <v>14.5</v>
      </c>
      <c r="B780">
        <v>504.7</v>
      </c>
    </row>
    <row r="781" spans="1:2">
      <c r="A781">
        <v>11.1</v>
      </c>
      <c r="B781">
        <v>504.1</v>
      </c>
    </row>
    <row r="782" spans="1:2">
      <c r="A782">
        <v>12.3</v>
      </c>
      <c r="B782">
        <v>506</v>
      </c>
    </row>
    <row r="783" spans="1:2">
      <c r="A783">
        <v>14.9</v>
      </c>
      <c r="B783">
        <v>506</v>
      </c>
    </row>
    <row r="785" spans="1:2">
      <c r="A785">
        <v>10.199999999999999</v>
      </c>
      <c r="B785">
        <v>511.1</v>
      </c>
    </row>
    <row r="786" spans="1:2">
      <c r="A786">
        <v>10.3</v>
      </c>
      <c r="B786">
        <v>509.8</v>
      </c>
    </row>
    <row r="787" spans="1:2">
      <c r="A787">
        <v>7.5</v>
      </c>
      <c r="B787">
        <v>508.3</v>
      </c>
    </row>
    <row r="788" spans="1:2">
      <c r="A788">
        <v>7.3</v>
      </c>
      <c r="B788">
        <v>509.8</v>
      </c>
    </row>
    <row r="789" spans="1:2">
      <c r="A789">
        <v>5.5</v>
      </c>
      <c r="B789">
        <v>510.7</v>
      </c>
    </row>
    <row r="790" spans="1:2">
      <c r="A790">
        <v>6.7</v>
      </c>
      <c r="B790">
        <v>510.5</v>
      </c>
    </row>
    <row r="791" spans="1:2">
      <c r="A791">
        <v>9</v>
      </c>
      <c r="B791">
        <v>513.70000000000005</v>
      </c>
    </row>
    <row r="792" spans="1:2">
      <c r="A792">
        <v>11.2</v>
      </c>
      <c r="B792">
        <v>512.70000000000005</v>
      </c>
    </row>
    <row r="793" spans="1:2">
      <c r="A793">
        <v>10.199999999999999</v>
      </c>
      <c r="B793">
        <v>511.1</v>
      </c>
    </row>
    <row r="795" spans="1:2">
      <c r="A795">
        <v>7.6</v>
      </c>
      <c r="B795">
        <v>527.9</v>
      </c>
    </row>
    <row r="796" spans="1:2">
      <c r="A796">
        <v>10.7</v>
      </c>
      <c r="B796">
        <v>528</v>
      </c>
    </row>
    <row r="797" spans="1:2">
      <c r="A797">
        <v>12.7</v>
      </c>
      <c r="B797">
        <v>525.4</v>
      </c>
    </row>
    <row r="798" spans="1:2">
      <c r="A798">
        <v>11.6</v>
      </c>
      <c r="B798">
        <v>525.9</v>
      </c>
    </row>
    <row r="799" spans="1:2">
      <c r="A799">
        <v>12.1</v>
      </c>
      <c r="B799">
        <v>525</v>
      </c>
    </row>
    <row r="800" spans="1:2">
      <c r="A800">
        <v>9.4</v>
      </c>
      <c r="B800">
        <v>524</v>
      </c>
    </row>
    <row r="801" spans="1:2">
      <c r="A801">
        <v>8.5</v>
      </c>
      <c r="B801">
        <v>521.1</v>
      </c>
    </row>
    <row r="802" spans="1:2">
      <c r="A802">
        <v>3.4</v>
      </c>
      <c r="B802">
        <v>521.70000000000005</v>
      </c>
    </row>
    <row r="803" spans="1:2">
      <c r="A803">
        <v>1</v>
      </c>
      <c r="B803">
        <v>525.79999999999995</v>
      </c>
    </row>
    <row r="804" spans="1:2">
      <c r="A804">
        <v>1.5</v>
      </c>
      <c r="B804">
        <v>527.79999999999995</v>
      </c>
    </row>
    <row r="805" spans="1:2">
      <c r="A805">
        <v>3.6</v>
      </c>
      <c r="B805">
        <v>526.6</v>
      </c>
    </row>
    <row r="806" spans="1:2">
      <c r="A806">
        <v>7.6</v>
      </c>
      <c r="B806">
        <v>527.9</v>
      </c>
    </row>
    <row r="808" spans="1:2">
      <c r="A808">
        <v>203.9</v>
      </c>
      <c r="B808">
        <v>222.9</v>
      </c>
    </row>
    <row r="809" spans="1:2">
      <c r="A809">
        <v>210.4</v>
      </c>
      <c r="B809">
        <v>218.6</v>
      </c>
    </row>
    <row r="810" spans="1:2">
      <c r="A810">
        <v>209</v>
      </c>
      <c r="B810">
        <v>215.8</v>
      </c>
    </row>
    <row r="811" spans="1:2">
      <c r="A811">
        <v>205.6</v>
      </c>
      <c r="B811">
        <v>213.4</v>
      </c>
    </row>
    <row r="812" spans="1:2">
      <c r="A812">
        <v>204.1</v>
      </c>
      <c r="B812">
        <v>213.5</v>
      </c>
    </row>
    <row r="813" spans="1:2">
      <c r="A813">
        <v>202.3</v>
      </c>
      <c r="B813">
        <v>217.5</v>
      </c>
    </row>
    <row r="814" spans="1:2">
      <c r="A814">
        <v>203.8</v>
      </c>
      <c r="B814">
        <v>219.2</v>
      </c>
    </row>
    <row r="815" spans="1:2">
      <c r="A815">
        <v>201.9</v>
      </c>
      <c r="B815">
        <v>221.9</v>
      </c>
    </row>
    <row r="816" spans="1:2">
      <c r="A816">
        <v>202.7</v>
      </c>
      <c r="B816">
        <v>223.4</v>
      </c>
    </row>
    <row r="817" spans="1:2">
      <c r="A817">
        <v>203.9</v>
      </c>
      <c r="B817">
        <v>222.9</v>
      </c>
    </row>
    <row r="819" spans="1:2">
      <c r="A819">
        <v>199.1</v>
      </c>
      <c r="B819">
        <v>224</v>
      </c>
    </row>
    <row r="820" spans="1:2">
      <c r="A820">
        <v>202.1</v>
      </c>
      <c r="B820">
        <v>221.6</v>
      </c>
    </row>
    <row r="821" spans="1:2">
      <c r="A821">
        <v>200</v>
      </c>
      <c r="B821">
        <v>221.3</v>
      </c>
    </row>
    <row r="822" spans="1:2">
      <c r="A822">
        <v>200.2</v>
      </c>
      <c r="B822">
        <v>218.1</v>
      </c>
    </row>
    <row r="823" spans="1:2">
      <c r="A823">
        <v>192.7</v>
      </c>
      <c r="B823">
        <v>215.6</v>
      </c>
    </row>
    <row r="824" spans="1:2">
      <c r="A824">
        <v>195.1</v>
      </c>
      <c r="B824">
        <v>220.8</v>
      </c>
    </row>
    <row r="825" spans="1:2">
      <c r="A825">
        <v>194.7</v>
      </c>
      <c r="B825">
        <v>223.4</v>
      </c>
    </row>
    <row r="826" spans="1:2">
      <c r="A826">
        <v>195.9</v>
      </c>
      <c r="B826">
        <v>224.8</v>
      </c>
    </row>
    <row r="827" spans="1:2">
      <c r="A827">
        <v>199.1</v>
      </c>
      <c r="B827">
        <v>224</v>
      </c>
    </row>
    <row r="829" spans="1:2">
      <c r="A829">
        <v>201.7</v>
      </c>
      <c r="B829">
        <v>221.6</v>
      </c>
    </row>
    <row r="830" spans="1:2">
      <c r="A830">
        <v>203.8</v>
      </c>
      <c r="B830">
        <v>219.2</v>
      </c>
    </row>
    <row r="831" spans="1:2">
      <c r="A831">
        <v>202.3</v>
      </c>
      <c r="B831">
        <v>218</v>
      </c>
    </row>
    <row r="832" spans="1:2">
      <c r="A832">
        <v>203.1</v>
      </c>
      <c r="B832">
        <v>216</v>
      </c>
    </row>
    <row r="833" spans="1:2">
      <c r="A833">
        <v>201.8</v>
      </c>
      <c r="B833">
        <v>214.4</v>
      </c>
    </row>
    <row r="834" spans="1:2">
      <c r="A834">
        <v>197.4</v>
      </c>
      <c r="B834">
        <v>214</v>
      </c>
    </row>
    <row r="835" spans="1:2">
      <c r="A835">
        <v>194.1</v>
      </c>
      <c r="B835">
        <v>211.2</v>
      </c>
    </row>
    <row r="836" spans="1:2">
      <c r="A836">
        <v>188.6</v>
      </c>
      <c r="B836">
        <v>211.9</v>
      </c>
    </row>
    <row r="837" spans="1:2">
      <c r="A837">
        <v>193</v>
      </c>
      <c r="B837">
        <v>215.8</v>
      </c>
    </row>
    <row r="838" spans="1:2">
      <c r="A838">
        <v>200.2</v>
      </c>
      <c r="B838">
        <v>218.1</v>
      </c>
    </row>
    <row r="839" spans="1:2">
      <c r="A839">
        <v>200</v>
      </c>
      <c r="B839">
        <v>221.3</v>
      </c>
    </row>
    <row r="840" spans="1:2">
      <c r="A840">
        <v>201.7</v>
      </c>
      <c r="B840">
        <v>221.6</v>
      </c>
    </row>
    <row r="842" spans="1:2">
      <c r="A842">
        <v>204.2</v>
      </c>
      <c r="B842">
        <v>232.2</v>
      </c>
    </row>
    <row r="843" spans="1:2">
      <c r="A843">
        <v>207.2</v>
      </c>
      <c r="B843">
        <v>225.1</v>
      </c>
    </row>
    <row r="844" spans="1:2">
      <c r="A844">
        <v>210</v>
      </c>
      <c r="B844">
        <v>225.9</v>
      </c>
    </row>
    <row r="845" spans="1:2">
      <c r="A845">
        <v>211.9</v>
      </c>
      <c r="B845">
        <v>224.2</v>
      </c>
    </row>
    <row r="846" spans="1:2">
      <c r="A846">
        <v>210.4</v>
      </c>
      <c r="B846">
        <v>218.6</v>
      </c>
    </row>
    <row r="847" spans="1:2">
      <c r="A847">
        <v>206.1</v>
      </c>
      <c r="B847">
        <v>220.7</v>
      </c>
    </row>
    <row r="848" spans="1:2">
      <c r="A848">
        <v>204.7</v>
      </c>
      <c r="B848">
        <v>222.9</v>
      </c>
    </row>
    <row r="849" spans="1:2">
      <c r="A849">
        <v>202.7</v>
      </c>
      <c r="B849">
        <v>223.4</v>
      </c>
    </row>
    <row r="850" spans="1:2">
      <c r="A850">
        <v>201.9</v>
      </c>
      <c r="B850">
        <v>221.9</v>
      </c>
    </row>
    <row r="851" spans="1:2">
      <c r="A851">
        <v>195.9</v>
      </c>
      <c r="B851">
        <v>224.8</v>
      </c>
    </row>
    <row r="852" spans="1:2">
      <c r="A852">
        <v>197.8</v>
      </c>
      <c r="B852">
        <v>225.6</v>
      </c>
    </row>
    <row r="853" spans="1:2">
      <c r="A853">
        <v>197.5</v>
      </c>
      <c r="B853">
        <v>229</v>
      </c>
    </row>
    <row r="854" spans="1:2">
      <c r="A854">
        <v>195.5</v>
      </c>
      <c r="B854">
        <v>230.3</v>
      </c>
    </row>
    <row r="855" spans="1:2">
      <c r="A855">
        <v>196.4</v>
      </c>
      <c r="B855">
        <v>231.1</v>
      </c>
    </row>
    <row r="856" spans="1:2">
      <c r="A856">
        <v>201.7</v>
      </c>
      <c r="B856">
        <v>233.4</v>
      </c>
    </row>
    <row r="857" spans="1:2">
      <c r="A857">
        <v>204.2</v>
      </c>
      <c r="B857">
        <v>232.2</v>
      </c>
    </row>
    <row r="859" spans="1:2">
      <c r="A859">
        <v>189.3</v>
      </c>
      <c r="B859">
        <v>233.2</v>
      </c>
    </row>
    <row r="860" spans="1:2">
      <c r="A860">
        <v>188.6</v>
      </c>
      <c r="B860">
        <v>230.8</v>
      </c>
    </row>
    <row r="861" spans="1:2">
      <c r="A861">
        <v>193</v>
      </c>
      <c r="B861">
        <v>229.1</v>
      </c>
    </row>
    <row r="862" spans="1:2">
      <c r="A862">
        <v>194.7</v>
      </c>
      <c r="B862">
        <v>230.6</v>
      </c>
    </row>
    <row r="863" spans="1:2">
      <c r="A863">
        <v>197.1</v>
      </c>
      <c r="B863">
        <v>229.5</v>
      </c>
    </row>
    <row r="864" spans="1:2">
      <c r="A864">
        <v>197.8</v>
      </c>
      <c r="B864">
        <v>225.6</v>
      </c>
    </row>
    <row r="865" spans="1:2">
      <c r="A865">
        <v>194.7</v>
      </c>
      <c r="B865">
        <v>223.4</v>
      </c>
    </row>
    <row r="866" spans="1:2">
      <c r="A866">
        <v>194.4</v>
      </c>
      <c r="B866">
        <v>219</v>
      </c>
    </row>
    <row r="867" spans="1:2">
      <c r="A867">
        <v>190</v>
      </c>
      <c r="B867">
        <v>213.1</v>
      </c>
    </row>
    <row r="868" spans="1:2">
      <c r="A868">
        <v>186.6</v>
      </c>
      <c r="B868">
        <v>217.7</v>
      </c>
    </row>
    <row r="869" spans="1:2">
      <c r="A869">
        <v>180.9</v>
      </c>
      <c r="B869">
        <v>216.9</v>
      </c>
    </row>
    <row r="870" spans="1:2">
      <c r="A870">
        <v>178.9</v>
      </c>
      <c r="B870">
        <v>221.3</v>
      </c>
    </row>
    <row r="871" spans="1:2">
      <c r="A871">
        <v>181.3</v>
      </c>
      <c r="B871">
        <v>224.1</v>
      </c>
    </row>
    <row r="872" spans="1:2">
      <c r="A872">
        <v>179.7</v>
      </c>
      <c r="B872">
        <v>226.3</v>
      </c>
    </row>
    <row r="873" spans="1:2">
      <c r="A873">
        <v>181.7</v>
      </c>
      <c r="B873">
        <v>226.2</v>
      </c>
    </row>
    <row r="874" spans="1:2">
      <c r="A874">
        <v>182.6</v>
      </c>
      <c r="B874">
        <v>228.8</v>
      </c>
    </row>
    <row r="875" spans="1:2">
      <c r="A875">
        <v>185.3</v>
      </c>
      <c r="B875">
        <v>228.5</v>
      </c>
    </row>
    <row r="876" spans="1:2">
      <c r="A876">
        <v>187</v>
      </c>
      <c r="B876">
        <v>232.8</v>
      </c>
    </row>
    <row r="877" spans="1:2">
      <c r="A877">
        <v>189.3</v>
      </c>
      <c r="B877">
        <v>233.2</v>
      </c>
    </row>
    <row r="879" spans="1:2">
      <c r="A879">
        <v>254</v>
      </c>
      <c r="B879">
        <v>357.8</v>
      </c>
    </row>
    <row r="880" spans="1:2">
      <c r="A880">
        <v>255.9</v>
      </c>
      <c r="B880">
        <v>359.4</v>
      </c>
    </row>
    <row r="881" spans="1:2">
      <c r="A881">
        <v>259</v>
      </c>
      <c r="B881">
        <v>356.7</v>
      </c>
    </row>
    <row r="882" spans="1:2">
      <c r="A882">
        <v>255.9</v>
      </c>
      <c r="B882">
        <v>355.6</v>
      </c>
    </row>
    <row r="883" spans="1:2">
      <c r="A883">
        <v>255.8</v>
      </c>
      <c r="B883">
        <v>352.1</v>
      </c>
    </row>
    <row r="884" spans="1:2">
      <c r="A884">
        <v>253.4</v>
      </c>
      <c r="B884">
        <v>348.2</v>
      </c>
    </row>
    <row r="885" spans="1:2">
      <c r="A885">
        <v>253.1</v>
      </c>
      <c r="B885">
        <v>339.4</v>
      </c>
    </row>
    <row r="886" spans="1:2">
      <c r="A886">
        <v>248.6</v>
      </c>
      <c r="B886">
        <v>334.7</v>
      </c>
    </row>
    <row r="887" spans="1:2">
      <c r="A887">
        <v>247</v>
      </c>
      <c r="B887">
        <v>336.2</v>
      </c>
    </row>
    <row r="888" spans="1:2">
      <c r="A888">
        <v>248.8</v>
      </c>
      <c r="B888">
        <v>339.5</v>
      </c>
    </row>
    <row r="889" spans="1:2">
      <c r="A889">
        <v>247.4</v>
      </c>
      <c r="B889">
        <v>341.2</v>
      </c>
    </row>
    <row r="890" spans="1:2">
      <c r="A890">
        <v>248.5</v>
      </c>
      <c r="B890">
        <v>342.9</v>
      </c>
    </row>
    <row r="891" spans="1:2">
      <c r="A891">
        <v>247.4</v>
      </c>
      <c r="B891">
        <v>345.1</v>
      </c>
    </row>
    <row r="892" spans="1:2">
      <c r="A892">
        <v>250.1</v>
      </c>
      <c r="B892">
        <v>345.4</v>
      </c>
    </row>
    <row r="893" spans="1:2">
      <c r="A893">
        <v>246.2</v>
      </c>
      <c r="B893">
        <v>350.8</v>
      </c>
    </row>
    <row r="894" spans="1:2">
      <c r="A894">
        <v>248.1</v>
      </c>
      <c r="B894">
        <v>352.7</v>
      </c>
    </row>
    <row r="895" spans="1:2">
      <c r="A895">
        <v>250.7</v>
      </c>
      <c r="B895">
        <v>351.6</v>
      </c>
    </row>
    <row r="896" spans="1:2">
      <c r="A896">
        <v>249.8</v>
      </c>
      <c r="B896">
        <v>356.9</v>
      </c>
    </row>
    <row r="897" spans="1:2">
      <c r="A897">
        <v>252.7</v>
      </c>
      <c r="B897">
        <v>361.1</v>
      </c>
    </row>
    <row r="898" spans="1:2">
      <c r="A898">
        <v>254</v>
      </c>
      <c r="B898">
        <v>357.8</v>
      </c>
    </row>
    <row r="900" spans="1:2">
      <c r="A900">
        <v>246.7</v>
      </c>
      <c r="B900">
        <v>350.3</v>
      </c>
    </row>
    <row r="901" spans="1:2">
      <c r="A901">
        <v>250.1</v>
      </c>
      <c r="B901">
        <v>345.4</v>
      </c>
    </row>
    <row r="902" spans="1:2">
      <c r="A902">
        <v>247.4</v>
      </c>
      <c r="B902">
        <v>345.2</v>
      </c>
    </row>
    <row r="903" spans="1:2">
      <c r="A903">
        <v>248.5</v>
      </c>
      <c r="B903">
        <v>342.9</v>
      </c>
    </row>
    <row r="904" spans="1:2">
      <c r="A904">
        <v>247.4</v>
      </c>
      <c r="B904">
        <v>341.2</v>
      </c>
    </row>
    <row r="905" spans="1:2">
      <c r="A905">
        <v>248.8</v>
      </c>
      <c r="B905">
        <v>339.5</v>
      </c>
    </row>
    <row r="906" spans="1:2">
      <c r="A906">
        <v>246.7</v>
      </c>
      <c r="B906">
        <v>336.1</v>
      </c>
    </row>
    <row r="907" spans="1:2">
      <c r="A907">
        <v>243.9</v>
      </c>
      <c r="B907">
        <v>339</v>
      </c>
    </row>
    <row r="908" spans="1:2">
      <c r="A908">
        <v>244.1</v>
      </c>
      <c r="B908">
        <v>342</v>
      </c>
    </row>
    <row r="909" spans="1:2">
      <c r="A909">
        <v>242.2</v>
      </c>
      <c r="B909">
        <v>344.5</v>
      </c>
    </row>
    <row r="910" spans="1:2">
      <c r="A910">
        <v>245.3</v>
      </c>
      <c r="B910">
        <v>351.5</v>
      </c>
    </row>
    <row r="911" spans="1:2">
      <c r="A911">
        <v>246.7</v>
      </c>
      <c r="B911">
        <v>350.3</v>
      </c>
    </row>
    <row r="913" spans="1:2">
      <c r="A913">
        <v>244</v>
      </c>
      <c r="B913">
        <v>353.8</v>
      </c>
    </row>
    <row r="914" spans="1:2">
      <c r="A914">
        <v>245.3</v>
      </c>
      <c r="B914">
        <v>350.3</v>
      </c>
    </row>
    <row r="915" spans="1:2">
      <c r="A915">
        <v>241.6</v>
      </c>
      <c r="B915">
        <v>342.2</v>
      </c>
    </row>
    <row r="916" spans="1:2">
      <c r="A916">
        <v>241.9</v>
      </c>
      <c r="B916">
        <v>337.3</v>
      </c>
    </row>
    <row r="917" spans="1:2">
      <c r="A917">
        <v>239.2</v>
      </c>
      <c r="B917">
        <v>333.5</v>
      </c>
    </row>
    <row r="918" spans="1:2">
      <c r="A918">
        <v>239.2</v>
      </c>
      <c r="B918">
        <v>335.4</v>
      </c>
    </row>
    <row r="919" spans="1:2">
      <c r="A919">
        <v>236.6</v>
      </c>
      <c r="B919">
        <v>338.5</v>
      </c>
    </row>
    <row r="920" spans="1:2">
      <c r="A920">
        <v>235.7</v>
      </c>
      <c r="B920">
        <v>337.8</v>
      </c>
    </row>
    <row r="921" spans="1:2">
      <c r="A921">
        <v>234.4</v>
      </c>
      <c r="B921">
        <v>341</v>
      </c>
    </row>
    <row r="922" spans="1:2">
      <c r="A922">
        <v>239.1</v>
      </c>
      <c r="B922">
        <v>346.3</v>
      </c>
    </row>
    <row r="923" spans="1:2">
      <c r="A923">
        <v>240.7</v>
      </c>
      <c r="B923">
        <v>351.9</v>
      </c>
    </row>
    <row r="924" spans="1:2">
      <c r="A924">
        <v>244</v>
      </c>
      <c r="B924">
        <v>353.8</v>
      </c>
    </row>
    <row r="926" spans="1:2">
      <c r="A926">
        <v>244.9</v>
      </c>
      <c r="B926">
        <v>366.6</v>
      </c>
    </row>
    <row r="927" spans="1:2">
      <c r="A927">
        <v>244.1</v>
      </c>
      <c r="B927">
        <v>361.5</v>
      </c>
    </row>
    <row r="928" spans="1:2">
      <c r="A928">
        <v>246.7</v>
      </c>
      <c r="B928">
        <v>358.6</v>
      </c>
    </row>
    <row r="929" spans="1:2">
      <c r="A929">
        <v>246</v>
      </c>
      <c r="B929">
        <v>354.8</v>
      </c>
    </row>
    <row r="930" spans="1:2">
      <c r="A930">
        <v>240.7</v>
      </c>
      <c r="B930">
        <v>351.9</v>
      </c>
    </row>
    <row r="931" spans="1:2">
      <c r="A931">
        <v>241</v>
      </c>
      <c r="B931">
        <v>349.6</v>
      </c>
    </row>
    <row r="932" spans="1:2">
      <c r="A932">
        <v>239.4</v>
      </c>
      <c r="B932">
        <v>349.4</v>
      </c>
    </row>
    <row r="933" spans="1:2">
      <c r="A933">
        <v>237.1</v>
      </c>
      <c r="B933">
        <v>343.2</v>
      </c>
    </row>
    <row r="934" spans="1:2">
      <c r="A934">
        <v>234.6</v>
      </c>
      <c r="B934">
        <v>342.3</v>
      </c>
    </row>
    <row r="935" spans="1:2">
      <c r="A935">
        <v>231.6</v>
      </c>
      <c r="B935">
        <v>345.1</v>
      </c>
    </row>
    <row r="936" spans="1:2">
      <c r="A936">
        <v>234.4</v>
      </c>
      <c r="B936">
        <v>350.9</v>
      </c>
    </row>
    <row r="937" spans="1:2">
      <c r="A937">
        <v>234.7</v>
      </c>
      <c r="B937">
        <v>358.5</v>
      </c>
    </row>
    <row r="938" spans="1:2">
      <c r="A938">
        <v>239.8</v>
      </c>
      <c r="B938">
        <v>360.3</v>
      </c>
    </row>
    <row r="939" spans="1:2">
      <c r="A939">
        <v>241.5</v>
      </c>
      <c r="B939">
        <v>366.5</v>
      </c>
    </row>
    <row r="940" spans="1:2">
      <c r="A940">
        <v>243.6</v>
      </c>
      <c r="B940">
        <v>367.8</v>
      </c>
    </row>
    <row r="941" spans="1:2">
      <c r="A941">
        <v>244.9</v>
      </c>
      <c r="B941">
        <v>366.6</v>
      </c>
    </row>
    <row r="943" spans="1:2">
      <c r="A943">
        <v>252.5</v>
      </c>
      <c r="B943">
        <v>362.6</v>
      </c>
    </row>
    <row r="944" spans="1:2">
      <c r="A944">
        <v>254.1</v>
      </c>
      <c r="B944">
        <v>362.3</v>
      </c>
    </row>
    <row r="945" spans="1:2">
      <c r="A945">
        <v>249.5</v>
      </c>
      <c r="B945">
        <v>354.9</v>
      </c>
    </row>
    <row r="946" spans="1:2">
      <c r="A946">
        <v>250.7</v>
      </c>
      <c r="B946">
        <v>351.7</v>
      </c>
    </row>
    <row r="947" spans="1:2">
      <c r="A947">
        <v>248.1</v>
      </c>
      <c r="B947">
        <v>352.7</v>
      </c>
    </row>
    <row r="948" spans="1:2">
      <c r="A948">
        <v>246.3</v>
      </c>
      <c r="B948">
        <v>350.5</v>
      </c>
    </row>
    <row r="949" spans="1:2">
      <c r="A949">
        <v>244.4</v>
      </c>
      <c r="B949">
        <v>353.9</v>
      </c>
    </row>
    <row r="950" spans="1:2">
      <c r="A950">
        <v>246</v>
      </c>
      <c r="B950">
        <v>354.8</v>
      </c>
    </row>
    <row r="951" spans="1:2">
      <c r="A951">
        <v>246.8</v>
      </c>
      <c r="B951">
        <v>358.4</v>
      </c>
    </row>
    <row r="952" spans="1:2">
      <c r="A952">
        <v>244.1</v>
      </c>
      <c r="B952">
        <v>361.8</v>
      </c>
    </row>
    <row r="953" spans="1:2">
      <c r="A953">
        <v>245.2</v>
      </c>
      <c r="B953">
        <v>363</v>
      </c>
    </row>
    <row r="954" spans="1:2">
      <c r="A954">
        <v>249.8</v>
      </c>
      <c r="B954">
        <v>362.4</v>
      </c>
    </row>
    <row r="955" spans="1:2">
      <c r="A955">
        <v>252</v>
      </c>
      <c r="B955">
        <v>365.3</v>
      </c>
    </row>
    <row r="956" spans="1:2">
      <c r="A956">
        <v>252.5</v>
      </c>
      <c r="B956">
        <v>362.6</v>
      </c>
    </row>
    <row r="958" spans="1:2">
      <c r="A958">
        <v>414.2</v>
      </c>
      <c r="B958">
        <v>269.7</v>
      </c>
    </row>
    <row r="959" spans="1:2">
      <c r="A959">
        <v>415.5</v>
      </c>
      <c r="B959">
        <v>269.89999999999998</v>
      </c>
    </row>
    <row r="960" spans="1:2">
      <c r="A960">
        <v>415.6</v>
      </c>
      <c r="B960">
        <v>264.89999999999998</v>
      </c>
    </row>
    <row r="961" spans="1:2">
      <c r="A961">
        <v>410.9</v>
      </c>
      <c r="B961">
        <v>264.39999999999998</v>
      </c>
    </row>
    <row r="962" spans="1:2">
      <c r="A962">
        <v>407.7</v>
      </c>
      <c r="B962">
        <v>266.2</v>
      </c>
    </row>
    <row r="963" spans="1:2">
      <c r="A963">
        <v>407.1</v>
      </c>
      <c r="B963">
        <v>269.3</v>
      </c>
    </row>
    <row r="964" spans="1:2">
      <c r="A964">
        <v>410.8</v>
      </c>
      <c r="B964">
        <v>267.8</v>
      </c>
    </row>
    <row r="965" spans="1:2">
      <c r="A965">
        <v>410.4</v>
      </c>
      <c r="B965">
        <v>269.7</v>
      </c>
    </row>
    <row r="966" spans="1:2">
      <c r="A966">
        <v>414.2</v>
      </c>
      <c r="B966">
        <v>269.7</v>
      </c>
    </row>
    <row r="968" spans="1:2">
      <c r="A968">
        <v>408.3</v>
      </c>
      <c r="B968">
        <v>265.60000000000002</v>
      </c>
    </row>
    <row r="969" spans="1:2">
      <c r="A969">
        <v>417.9</v>
      </c>
      <c r="B969">
        <v>263.7</v>
      </c>
    </row>
    <row r="970" spans="1:2">
      <c r="A970">
        <v>418.9</v>
      </c>
      <c r="B970">
        <v>259.8</v>
      </c>
    </row>
    <row r="971" spans="1:2">
      <c r="A971">
        <v>416.8</v>
      </c>
      <c r="B971">
        <v>260</v>
      </c>
    </row>
    <row r="972" spans="1:2">
      <c r="A972">
        <v>419.2</v>
      </c>
      <c r="B972">
        <v>257.2</v>
      </c>
    </row>
    <row r="973" spans="1:2">
      <c r="A973">
        <v>417.3</v>
      </c>
      <c r="B973">
        <v>254.6</v>
      </c>
    </row>
    <row r="974" spans="1:2">
      <c r="A974">
        <v>411.3</v>
      </c>
      <c r="B974">
        <v>259</v>
      </c>
    </row>
    <row r="975" spans="1:2">
      <c r="A975">
        <v>409</v>
      </c>
      <c r="B975">
        <v>262.7</v>
      </c>
    </row>
    <row r="976" spans="1:2">
      <c r="A976">
        <v>405.7</v>
      </c>
      <c r="B976">
        <v>263.5</v>
      </c>
    </row>
    <row r="977" spans="1:2">
      <c r="A977">
        <v>408.3</v>
      </c>
      <c r="B977">
        <v>265.60000000000002</v>
      </c>
    </row>
    <row r="979" spans="1:2">
      <c r="A979">
        <v>424.7</v>
      </c>
      <c r="B979">
        <v>267.10000000000002</v>
      </c>
    </row>
    <row r="980" spans="1:2">
      <c r="A980">
        <v>424.7</v>
      </c>
      <c r="B980">
        <v>262.60000000000002</v>
      </c>
    </row>
    <row r="981" spans="1:2">
      <c r="A981">
        <v>423.4</v>
      </c>
      <c r="B981">
        <v>262.7</v>
      </c>
    </row>
    <row r="982" spans="1:2">
      <c r="A982">
        <v>424.2</v>
      </c>
      <c r="B982">
        <v>260.5</v>
      </c>
    </row>
    <row r="983" spans="1:2">
      <c r="A983">
        <v>422.8</v>
      </c>
      <c r="B983">
        <v>260.2</v>
      </c>
    </row>
    <row r="984" spans="1:2">
      <c r="A984">
        <v>423.9</v>
      </c>
      <c r="B984">
        <v>258.7</v>
      </c>
    </row>
    <row r="985" spans="1:2">
      <c r="A985">
        <v>420.5</v>
      </c>
      <c r="B985">
        <v>256.60000000000002</v>
      </c>
    </row>
    <row r="986" spans="1:2">
      <c r="A986">
        <v>418.9</v>
      </c>
      <c r="B986">
        <v>262.5</v>
      </c>
    </row>
    <row r="987" spans="1:2">
      <c r="A987">
        <v>420.7</v>
      </c>
      <c r="B987">
        <v>261.3</v>
      </c>
    </row>
    <row r="988" spans="1:2">
      <c r="A988">
        <v>421.2</v>
      </c>
      <c r="B988">
        <v>265.89999999999998</v>
      </c>
    </row>
    <row r="989" spans="1:2">
      <c r="A989">
        <v>424.7</v>
      </c>
      <c r="B989">
        <v>267.10000000000002</v>
      </c>
    </row>
    <row r="991" spans="1:2">
      <c r="A991">
        <v>416.6</v>
      </c>
      <c r="B991">
        <v>278.89999999999998</v>
      </c>
    </row>
    <row r="992" spans="1:2">
      <c r="A992">
        <v>424.4</v>
      </c>
      <c r="B992">
        <v>275.89999999999998</v>
      </c>
    </row>
    <row r="993" spans="1:2">
      <c r="A993">
        <v>423.6</v>
      </c>
      <c r="B993">
        <v>273.7</v>
      </c>
    </row>
    <row r="994" spans="1:2">
      <c r="A994">
        <v>425.6</v>
      </c>
      <c r="B994">
        <v>270.89999999999998</v>
      </c>
    </row>
    <row r="995" spans="1:2">
      <c r="A995">
        <v>424.6</v>
      </c>
      <c r="B995">
        <v>267.3</v>
      </c>
    </row>
    <row r="996" spans="1:2">
      <c r="A996">
        <v>420.7</v>
      </c>
      <c r="B996">
        <v>265.10000000000002</v>
      </c>
    </row>
    <row r="997" spans="1:2">
      <c r="A997">
        <v>420.7</v>
      </c>
      <c r="B997">
        <v>261.3</v>
      </c>
    </row>
    <row r="998" spans="1:2">
      <c r="A998">
        <v>415.5</v>
      </c>
      <c r="B998">
        <v>264.89999999999998</v>
      </c>
    </row>
    <row r="999" spans="1:2">
      <c r="A999">
        <v>415.5</v>
      </c>
      <c r="B999">
        <v>269.89999999999998</v>
      </c>
    </row>
    <row r="1000" spans="1:2">
      <c r="A1000">
        <v>410.4</v>
      </c>
      <c r="B1000">
        <v>269.7</v>
      </c>
    </row>
    <row r="1001" spans="1:2">
      <c r="A1001">
        <v>411.6</v>
      </c>
      <c r="B1001">
        <v>276.60000000000002</v>
      </c>
    </row>
    <row r="1002" spans="1:2">
      <c r="A1002">
        <v>416.6</v>
      </c>
      <c r="B1002">
        <v>278.89999999999998</v>
      </c>
    </row>
    <row r="1004" spans="1:2">
      <c r="A1004">
        <v>399</v>
      </c>
      <c r="B1004">
        <v>282.89999999999998</v>
      </c>
    </row>
    <row r="1005" spans="1:2">
      <c r="A1005">
        <v>403.3</v>
      </c>
      <c r="B1005">
        <v>283.5</v>
      </c>
    </row>
    <row r="1006" spans="1:2">
      <c r="A1006">
        <v>407.7</v>
      </c>
      <c r="B1006">
        <v>281</v>
      </c>
    </row>
    <row r="1007" spans="1:2">
      <c r="A1007">
        <v>407.4</v>
      </c>
      <c r="B1007">
        <v>276.89999999999998</v>
      </c>
    </row>
    <row r="1008" spans="1:2">
      <c r="A1008">
        <v>411</v>
      </c>
      <c r="B1008">
        <v>275</v>
      </c>
    </row>
    <row r="1009" spans="1:2">
      <c r="A1009">
        <v>411.3</v>
      </c>
      <c r="B1009">
        <v>271.89999999999998</v>
      </c>
    </row>
    <row r="1010" spans="1:2">
      <c r="A1010">
        <v>410.8</v>
      </c>
      <c r="B1010">
        <v>267.8</v>
      </c>
    </row>
    <row r="1011" spans="1:2">
      <c r="A1011">
        <v>407.1</v>
      </c>
      <c r="B1011">
        <v>269.3</v>
      </c>
    </row>
    <row r="1012" spans="1:2">
      <c r="A1012">
        <v>408.2</v>
      </c>
      <c r="B1012">
        <v>265.7</v>
      </c>
    </row>
    <row r="1013" spans="1:2">
      <c r="A1013">
        <v>405.7</v>
      </c>
      <c r="B1013">
        <v>263.5</v>
      </c>
    </row>
    <row r="1014" spans="1:2">
      <c r="A1014">
        <v>409</v>
      </c>
      <c r="B1014">
        <v>262.7</v>
      </c>
    </row>
    <row r="1015" spans="1:2">
      <c r="A1015">
        <v>411.3</v>
      </c>
      <c r="B1015">
        <v>259</v>
      </c>
    </row>
    <row r="1016" spans="1:2">
      <c r="A1016">
        <v>414.4</v>
      </c>
      <c r="B1016">
        <v>257.7</v>
      </c>
    </row>
    <row r="1017" spans="1:2">
      <c r="A1017">
        <v>416.1</v>
      </c>
      <c r="B1017">
        <v>252.9</v>
      </c>
    </row>
    <row r="1018" spans="1:2">
      <c r="A1018">
        <v>417.7</v>
      </c>
      <c r="B1018">
        <v>253.8</v>
      </c>
    </row>
    <row r="1019" spans="1:2">
      <c r="A1019">
        <v>417.7</v>
      </c>
      <c r="B1019">
        <v>252.1</v>
      </c>
    </row>
    <row r="1020" spans="1:2">
      <c r="A1020">
        <v>415.9</v>
      </c>
      <c r="B1020">
        <v>251.7</v>
      </c>
    </row>
    <row r="1021" spans="1:2">
      <c r="A1021">
        <v>416.7</v>
      </c>
      <c r="B1021">
        <v>249.5</v>
      </c>
    </row>
    <row r="1022" spans="1:2">
      <c r="A1022">
        <v>415.2</v>
      </c>
      <c r="B1022">
        <v>246.4</v>
      </c>
    </row>
    <row r="1023" spans="1:2">
      <c r="A1023">
        <v>416.7</v>
      </c>
      <c r="B1023">
        <v>244.3</v>
      </c>
    </row>
    <row r="1024" spans="1:2">
      <c r="A1024">
        <v>414.3</v>
      </c>
      <c r="B1024">
        <v>244</v>
      </c>
    </row>
    <row r="1025" spans="1:2">
      <c r="A1025">
        <v>412</v>
      </c>
      <c r="B1025">
        <v>241</v>
      </c>
    </row>
    <row r="1026" spans="1:2">
      <c r="A1026">
        <v>409.5</v>
      </c>
      <c r="B1026">
        <v>242.4</v>
      </c>
    </row>
    <row r="1027" spans="1:2">
      <c r="A1027">
        <v>408.2</v>
      </c>
      <c r="B1027">
        <v>247.4</v>
      </c>
    </row>
    <row r="1028" spans="1:2">
      <c r="A1028">
        <v>404.1</v>
      </c>
      <c r="B1028">
        <v>246.5</v>
      </c>
    </row>
    <row r="1029" spans="1:2">
      <c r="A1029">
        <v>402.6</v>
      </c>
      <c r="B1029">
        <v>247.4</v>
      </c>
    </row>
    <row r="1030" spans="1:2">
      <c r="A1030">
        <v>404.2</v>
      </c>
      <c r="B1030">
        <v>249.6</v>
      </c>
    </row>
    <row r="1031" spans="1:2">
      <c r="A1031">
        <v>402.2</v>
      </c>
      <c r="B1031">
        <v>253</v>
      </c>
    </row>
    <row r="1032" spans="1:2">
      <c r="A1032">
        <v>399.5</v>
      </c>
      <c r="B1032">
        <v>252.2</v>
      </c>
    </row>
    <row r="1033" spans="1:2">
      <c r="A1033">
        <v>395.7</v>
      </c>
      <c r="B1033">
        <v>255.6</v>
      </c>
    </row>
    <row r="1034" spans="1:2">
      <c r="A1034">
        <v>394.2</v>
      </c>
      <c r="B1034">
        <v>259.2</v>
      </c>
    </row>
    <row r="1035" spans="1:2">
      <c r="A1035">
        <v>389.6</v>
      </c>
      <c r="B1035">
        <v>261.10000000000002</v>
      </c>
    </row>
    <row r="1036" spans="1:2">
      <c r="A1036">
        <v>389.9</v>
      </c>
      <c r="B1036">
        <v>263.10000000000002</v>
      </c>
    </row>
    <row r="1037" spans="1:2">
      <c r="A1037">
        <v>384.6</v>
      </c>
      <c r="B1037">
        <v>262.60000000000002</v>
      </c>
    </row>
    <row r="1038" spans="1:2">
      <c r="A1038">
        <v>384.7</v>
      </c>
      <c r="B1038">
        <v>264.3</v>
      </c>
    </row>
    <row r="1039" spans="1:2">
      <c r="A1039">
        <v>382.6</v>
      </c>
      <c r="B1039">
        <v>265.8</v>
      </c>
    </row>
    <row r="1040" spans="1:2">
      <c r="A1040">
        <v>387</v>
      </c>
      <c r="B1040">
        <v>269.39999999999998</v>
      </c>
    </row>
    <row r="1041" spans="1:2">
      <c r="A1041">
        <v>387</v>
      </c>
      <c r="B1041">
        <v>271.8</v>
      </c>
    </row>
    <row r="1042" spans="1:2">
      <c r="A1042">
        <v>385.5</v>
      </c>
      <c r="B1042">
        <v>272.89999999999998</v>
      </c>
    </row>
    <row r="1043" spans="1:2">
      <c r="A1043">
        <v>388.2</v>
      </c>
      <c r="B1043">
        <v>273.89999999999998</v>
      </c>
    </row>
    <row r="1044" spans="1:2">
      <c r="A1044">
        <v>389.1</v>
      </c>
      <c r="B1044">
        <v>275.89999999999998</v>
      </c>
    </row>
    <row r="1045" spans="1:2">
      <c r="A1045">
        <v>392.1</v>
      </c>
      <c r="B1045">
        <v>275.10000000000002</v>
      </c>
    </row>
    <row r="1046" spans="1:2">
      <c r="A1046">
        <v>390.9</v>
      </c>
      <c r="B1046">
        <v>278.10000000000002</v>
      </c>
    </row>
    <row r="1047" spans="1:2">
      <c r="A1047">
        <v>392</v>
      </c>
      <c r="B1047">
        <v>280.8</v>
      </c>
    </row>
    <row r="1048" spans="1:2">
      <c r="A1048">
        <v>397.4</v>
      </c>
      <c r="B1048">
        <v>283.8</v>
      </c>
    </row>
    <row r="1049" spans="1:2">
      <c r="A1049">
        <v>399</v>
      </c>
      <c r="B1049">
        <v>282.89999999999998</v>
      </c>
    </row>
    <row r="1051" spans="1:2">
      <c r="A1051">
        <v>225.1</v>
      </c>
      <c r="B1051">
        <v>392.7</v>
      </c>
    </row>
    <row r="1052" spans="1:2">
      <c r="A1052">
        <v>227.8</v>
      </c>
      <c r="B1052">
        <v>392.2</v>
      </c>
    </row>
    <row r="1053" spans="1:2">
      <c r="A1053">
        <v>231.7</v>
      </c>
      <c r="B1053">
        <v>388.8</v>
      </c>
    </row>
    <row r="1054" spans="1:2">
      <c r="A1054">
        <v>236.6</v>
      </c>
      <c r="B1054">
        <v>387.7</v>
      </c>
    </row>
    <row r="1055" spans="1:2">
      <c r="A1055">
        <v>236.7</v>
      </c>
      <c r="B1055">
        <v>385.9</v>
      </c>
    </row>
    <row r="1056" spans="1:2">
      <c r="A1056">
        <v>234.1</v>
      </c>
      <c r="B1056">
        <v>382.9</v>
      </c>
    </row>
    <row r="1057" spans="1:2">
      <c r="A1057">
        <v>235.6</v>
      </c>
      <c r="B1057">
        <v>382.4</v>
      </c>
    </row>
    <row r="1058" spans="1:2">
      <c r="A1058">
        <v>236.2</v>
      </c>
      <c r="B1058">
        <v>377.1</v>
      </c>
    </row>
    <row r="1059" spans="1:2">
      <c r="A1059">
        <v>238.1</v>
      </c>
      <c r="B1059">
        <v>376.8</v>
      </c>
    </row>
    <row r="1060" spans="1:2">
      <c r="A1060">
        <v>239.6</v>
      </c>
      <c r="B1060">
        <v>374.5</v>
      </c>
    </row>
    <row r="1061" spans="1:2">
      <c r="A1061">
        <v>243</v>
      </c>
      <c r="B1061">
        <v>375.1</v>
      </c>
    </row>
    <row r="1062" spans="1:2">
      <c r="A1062">
        <v>243.6</v>
      </c>
      <c r="B1062">
        <v>372.2</v>
      </c>
    </row>
    <row r="1063" spans="1:2">
      <c r="A1063">
        <v>245.4</v>
      </c>
      <c r="B1063">
        <v>371.8</v>
      </c>
    </row>
    <row r="1064" spans="1:2">
      <c r="A1064">
        <v>245.9</v>
      </c>
      <c r="B1064">
        <v>367.3</v>
      </c>
    </row>
    <row r="1065" spans="1:2">
      <c r="A1065">
        <v>241.5</v>
      </c>
      <c r="B1065">
        <v>366.5</v>
      </c>
    </row>
    <row r="1066" spans="1:2">
      <c r="A1066">
        <v>241.1</v>
      </c>
      <c r="B1066">
        <v>362.4</v>
      </c>
    </row>
    <row r="1067" spans="1:2">
      <c r="A1067">
        <v>238.6</v>
      </c>
      <c r="B1067">
        <v>359.3</v>
      </c>
    </row>
    <row r="1068" spans="1:2">
      <c r="A1068">
        <v>231.9</v>
      </c>
      <c r="B1068">
        <v>357.6</v>
      </c>
    </row>
    <row r="1069" spans="1:2">
      <c r="A1069">
        <v>227.4</v>
      </c>
      <c r="B1069">
        <v>361.2</v>
      </c>
    </row>
    <row r="1070" spans="1:2">
      <c r="A1070">
        <v>227</v>
      </c>
      <c r="B1070">
        <v>366.6</v>
      </c>
    </row>
    <row r="1071" spans="1:2">
      <c r="A1071">
        <v>224.9</v>
      </c>
      <c r="B1071">
        <v>368.7</v>
      </c>
    </row>
    <row r="1072" spans="1:2">
      <c r="A1072">
        <v>226</v>
      </c>
      <c r="B1072">
        <v>370</v>
      </c>
    </row>
    <row r="1073" spans="1:2">
      <c r="A1073">
        <v>225.2</v>
      </c>
      <c r="B1073">
        <v>372.3</v>
      </c>
    </row>
    <row r="1074" spans="1:2">
      <c r="A1074">
        <v>226.8</v>
      </c>
      <c r="B1074">
        <v>372.7</v>
      </c>
    </row>
    <row r="1075" spans="1:2">
      <c r="A1075">
        <v>228.2</v>
      </c>
      <c r="B1075">
        <v>376.2</v>
      </c>
    </row>
    <row r="1076" spans="1:2">
      <c r="A1076">
        <v>223.6</v>
      </c>
      <c r="B1076">
        <v>379.2</v>
      </c>
    </row>
    <row r="1077" spans="1:2">
      <c r="A1077">
        <v>224.1</v>
      </c>
      <c r="B1077">
        <v>388.3</v>
      </c>
    </row>
    <row r="1078" spans="1:2">
      <c r="A1078">
        <v>222.4</v>
      </c>
      <c r="B1078">
        <v>388.3</v>
      </c>
    </row>
    <row r="1079" spans="1:2">
      <c r="A1079">
        <v>221.2</v>
      </c>
      <c r="B1079">
        <v>390.3</v>
      </c>
    </row>
    <row r="1080" spans="1:2">
      <c r="A1080">
        <v>225.1</v>
      </c>
      <c r="B1080">
        <v>392.7</v>
      </c>
    </row>
    <row r="1082" spans="1:2">
      <c r="A1082">
        <v>212.2</v>
      </c>
      <c r="B1082">
        <v>459.5</v>
      </c>
    </row>
    <row r="1083" spans="1:2">
      <c r="A1083">
        <v>213.1</v>
      </c>
      <c r="B1083">
        <v>453.6</v>
      </c>
    </row>
    <row r="1084" spans="1:2">
      <c r="A1084">
        <v>207.3</v>
      </c>
      <c r="B1084">
        <v>452.8</v>
      </c>
    </row>
    <row r="1085" spans="1:2">
      <c r="A1085">
        <v>207.5</v>
      </c>
      <c r="B1085">
        <v>457.7</v>
      </c>
    </row>
    <row r="1086" spans="1:2">
      <c r="A1086">
        <v>212.2</v>
      </c>
      <c r="B1086">
        <v>459.5</v>
      </c>
    </row>
    <row r="1088" spans="1:2">
      <c r="A1088">
        <v>213.5</v>
      </c>
      <c r="B1088">
        <v>448.3</v>
      </c>
    </row>
    <row r="1089" spans="1:2">
      <c r="A1089">
        <v>211.9</v>
      </c>
      <c r="B1089">
        <v>446.1</v>
      </c>
    </row>
    <row r="1090" spans="1:2">
      <c r="A1090">
        <v>207.4</v>
      </c>
      <c r="B1090">
        <v>446.6</v>
      </c>
    </row>
    <row r="1091" spans="1:2">
      <c r="A1091">
        <v>203.9</v>
      </c>
      <c r="B1091">
        <v>450</v>
      </c>
    </row>
    <row r="1092" spans="1:2">
      <c r="A1092">
        <v>204.1</v>
      </c>
      <c r="B1092">
        <v>454.6</v>
      </c>
    </row>
    <row r="1093" spans="1:2">
      <c r="A1093">
        <v>206.6</v>
      </c>
      <c r="B1093">
        <v>454.5</v>
      </c>
    </row>
    <row r="1094" spans="1:2">
      <c r="A1094">
        <v>213.5</v>
      </c>
      <c r="B1094">
        <v>448.3</v>
      </c>
    </row>
    <row r="1096" spans="1:2">
      <c r="A1096">
        <v>213.6</v>
      </c>
      <c r="B1096">
        <v>453.3</v>
      </c>
    </row>
    <row r="1097" spans="1:2">
      <c r="A1097">
        <v>213.2</v>
      </c>
      <c r="B1097">
        <v>449.6</v>
      </c>
    </row>
    <row r="1098" spans="1:2">
      <c r="A1098">
        <v>210.1</v>
      </c>
      <c r="B1098">
        <v>450.3</v>
      </c>
    </row>
    <row r="1099" spans="1:2">
      <c r="A1099">
        <v>208</v>
      </c>
      <c r="B1099">
        <v>453</v>
      </c>
    </row>
    <row r="1100" spans="1:2">
      <c r="A1100">
        <v>213.6</v>
      </c>
      <c r="B1100">
        <v>453.3</v>
      </c>
    </row>
    <row r="1102" spans="1:2">
      <c r="A1102">
        <v>214.4</v>
      </c>
      <c r="B1102">
        <v>456</v>
      </c>
    </row>
    <row r="1103" spans="1:2">
      <c r="A1103">
        <v>215.3</v>
      </c>
      <c r="B1103">
        <v>453.9</v>
      </c>
    </row>
    <row r="1104" spans="1:2">
      <c r="A1104">
        <v>217.8</v>
      </c>
      <c r="B1104">
        <v>454.1</v>
      </c>
    </row>
    <row r="1105" spans="1:2">
      <c r="A1105">
        <v>215.7</v>
      </c>
      <c r="B1105">
        <v>451.1</v>
      </c>
    </row>
    <row r="1106" spans="1:2">
      <c r="A1106">
        <v>216.6</v>
      </c>
      <c r="B1106">
        <v>450.1</v>
      </c>
    </row>
    <row r="1107" spans="1:2">
      <c r="A1107">
        <v>217.4</v>
      </c>
      <c r="B1107">
        <v>451</v>
      </c>
    </row>
    <row r="1108" spans="1:2">
      <c r="A1108">
        <v>217.2</v>
      </c>
      <c r="B1108">
        <v>448.8</v>
      </c>
    </row>
    <row r="1109" spans="1:2">
      <c r="A1109">
        <v>214.6</v>
      </c>
      <c r="B1109">
        <v>446.8</v>
      </c>
    </row>
    <row r="1110" spans="1:2">
      <c r="A1110">
        <v>212.9</v>
      </c>
      <c r="B1110">
        <v>450.7</v>
      </c>
    </row>
    <row r="1111" spans="1:2">
      <c r="A1111">
        <v>214</v>
      </c>
      <c r="B1111">
        <v>451.5</v>
      </c>
    </row>
    <row r="1112" spans="1:2">
      <c r="A1112">
        <v>212.9</v>
      </c>
      <c r="B1112">
        <v>455.5</v>
      </c>
    </row>
    <row r="1113" spans="1:2">
      <c r="A1113">
        <v>214.4</v>
      </c>
      <c r="B1113">
        <v>456</v>
      </c>
    </row>
    <row r="1115" spans="1:2">
      <c r="A1115">
        <v>223.8</v>
      </c>
      <c r="B1115">
        <v>472.8</v>
      </c>
    </row>
    <row r="1116" spans="1:2">
      <c r="A1116">
        <v>225.2</v>
      </c>
      <c r="B1116">
        <v>472.2</v>
      </c>
    </row>
    <row r="1117" spans="1:2">
      <c r="A1117">
        <v>223.7</v>
      </c>
      <c r="B1117">
        <v>469.9</v>
      </c>
    </row>
    <row r="1118" spans="1:2">
      <c r="A1118">
        <v>220.4</v>
      </c>
      <c r="B1118">
        <v>468.6</v>
      </c>
    </row>
    <row r="1119" spans="1:2">
      <c r="A1119">
        <v>220.2</v>
      </c>
      <c r="B1119">
        <v>466.1</v>
      </c>
    </row>
    <row r="1120" spans="1:2">
      <c r="A1120">
        <v>217.3</v>
      </c>
      <c r="B1120">
        <v>464.8</v>
      </c>
    </row>
    <row r="1121" spans="1:2">
      <c r="A1121">
        <v>213.8</v>
      </c>
      <c r="B1121">
        <v>465.5</v>
      </c>
    </row>
    <row r="1122" spans="1:2">
      <c r="A1122">
        <v>213.7</v>
      </c>
      <c r="B1122">
        <v>468.1</v>
      </c>
    </row>
    <row r="1123" spans="1:2">
      <c r="A1123">
        <v>216.1</v>
      </c>
      <c r="B1123">
        <v>468.4</v>
      </c>
    </row>
    <row r="1124" spans="1:2">
      <c r="A1124">
        <v>221.6</v>
      </c>
      <c r="B1124">
        <v>473.1</v>
      </c>
    </row>
    <row r="1125" spans="1:2">
      <c r="A1125">
        <v>223.8</v>
      </c>
      <c r="B1125">
        <v>472.8</v>
      </c>
    </row>
    <row r="1127" spans="1:2">
      <c r="A1127">
        <v>225.8</v>
      </c>
      <c r="B1127">
        <v>473</v>
      </c>
    </row>
    <row r="1128" spans="1:2">
      <c r="A1128">
        <v>227.1</v>
      </c>
      <c r="B1128">
        <v>469.8</v>
      </c>
    </row>
    <row r="1129" spans="1:2">
      <c r="A1129">
        <v>226.2</v>
      </c>
      <c r="B1129">
        <v>466.8</v>
      </c>
    </row>
    <row r="1130" spans="1:2">
      <c r="A1130">
        <v>225.1</v>
      </c>
      <c r="B1130">
        <v>465.6</v>
      </c>
    </row>
    <row r="1131" spans="1:2">
      <c r="A1131">
        <v>220.4</v>
      </c>
      <c r="B1131">
        <v>466.8</v>
      </c>
    </row>
    <row r="1132" spans="1:2">
      <c r="A1132">
        <v>220.4</v>
      </c>
      <c r="B1132">
        <v>468.6</v>
      </c>
    </row>
    <row r="1133" spans="1:2">
      <c r="A1133">
        <v>223.7</v>
      </c>
      <c r="B1133">
        <v>469.9</v>
      </c>
    </row>
    <row r="1134" spans="1:2">
      <c r="A1134">
        <v>225.8</v>
      </c>
      <c r="B1134">
        <v>473</v>
      </c>
    </row>
    <row r="1136" spans="1:2">
      <c r="A1136">
        <v>223.1</v>
      </c>
      <c r="B1136">
        <v>466.2</v>
      </c>
    </row>
    <row r="1137" spans="1:2">
      <c r="A1137">
        <v>225.2</v>
      </c>
      <c r="B1137">
        <v>465.7</v>
      </c>
    </row>
    <row r="1138" spans="1:2">
      <c r="A1138">
        <v>225.5</v>
      </c>
      <c r="B1138">
        <v>463.7</v>
      </c>
    </row>
    <row r="1139" spans="1:2">
      <c r="A1139">
        <v>221.8</v>
      </c>
      <c r="B1139">
        <v>460.5</v>
      </c>
    </row>
    <row r="1140" spans="1:2">
      <c r="A1140">
        <v>222.1</v>
      </c>
      <c r="B1140">
        <v>458.6</v>
      </c>
    </row>
    <row r="1141" spans="1:2">
      <c r="A1141">
        <v>219.7</v>
      </c>
      <c r="B1141">
        <v>458</v>
      </c>
    </row>
    <row r="1142" spans="1:2">
      <c r="A1142">
        <v>212.4</v>
      </c>
      <c r="B1142">
        <v>462</v>
      </c>
    </row>
    <row r="1143" spans="1:2">
      <c r="A1143">
        <v>213.8</v>
      </c>
      <c r="B1143">
        <v>465.5</v>
      </c>
    </row>
    <row r="1144" spans="1:2">
      <c r="A1144">
        <v>217.3</v>
      </c>
      <c r="B1144">
        <v>464.8</v>
      </c>
    </row>
    <row r="1145" spans="1:2">
      <c r="A1145">
        <v>220.7</v>
      </c>
      <c r="B1145">
        <v>466.9</v>
      </c>
    </row>
    <row r="1146" spans="1:2">
      <c r="A1146">
        <v>223.1</v>
      </c>
      <c r="B1146">
        <v>466.2</v>
      </c>
    </row>
    <row r="1148" spans="1:2">
      <c r="A1148">
        <v>220.1</v>
      </c>
      <c r="B1148">
        <v>505.6</v>
      </c>
    </row>
    <row r="1149" spans="1:2">
      <c r="A1149">
        <v>222.9</v>
      </c>
      <c r="B1149">
        <v>503.1</v>
      </c>
    </row>
    <row r="1150" spans="1:2">
      <c r="A1150">
        <v>221.3</v>
      </c>
      <c r="B1150">
        <v>502.7</v>
      </c>
    </row>
    <row r="1151" spans="1:2">
      <c r="A1151">
        <v>219.5</v>
      </c>
      <c r="B1151">
        <v>498.4</v>
      </c>
    </row>
    <row r="1152" spans="1:2">
      <c r="A1152">
        <v>214.5</v>
      </c>
      <c r="B1152">
        <v>496</v>
      </c>
    </row>
    <row r="1153" spans="1:2">
      <c r="A1153">
        <v>211.3</v>
      </c>
      <c r="B1153">
        <v>497.7</v>
      </c>
    </row>
    <row r="1154" spans="1:2">
      <c r="A1154">
        <v>210.2</v>
      </c>
      <c r="B1154">
        <v>504.3</v>
      </c>
    </row>
    <row r="1155" spans="1:2">
      <c r="A1155">
        <v>220.1</v>
      </c>
      <c r="B1155">
        <v>505.6</v>
      </c>
    </row>
    <row r="1157" spans="1:2">
      <c r="A1157">
        <v>204.7</v>
      </c>
      <c r="B1157">
        <v>469</v>
      </c>
    </row>
    <row r="1158" spans="1:2">
      <c r="A1158">
        <v>205.5</v>
      </c>
      <c r="B1158">
        <v>467.5</v>
      </c>
    </row>
    <row r="1159" spans="1:2">
      <c r="A1159">
        <v>203.5</v>
      </c>
      <c r="B1159">
        <v>466.2</v>
      </c>
    </row>
    <row r="1160" spans="1:2">
      <c r="A1160">
        <v>204.8</v>
      </c>
      <c r="B1160">
        <v>462.6</v>
      </c>
    </row>
    <row r="1161" spans="1:2">
      <c r="A1161">
        <v>200.9</v>
      </c>
      <c r="B1161">
        <v>460.7</v>
      </c>
    </row>
    <row r="1162" spans="1:2">
      <c r="A1162">
        <v>198.7</v>
      </c>
      <c r="B1162">
        <v>466.4</v>
      </c>
    </row>
    <row r="1163" spans="1:2">
      <c r="A1163">
        <v>200.3</v>
      </c>
      <c r="B1163">
        <v>466.3</v>
      </c>
    </row>
    <row r="1164" spans="1:2">
      <c r="A1164">
        <v>201.2</v>
      </c>
      <c r="B1164">
        <v>469.3</v>
      </c>
    </row>
    <row r="1165" spans="1:2">
      <c r="A1165">
        <v>203.7</v>
      </c>
      <c r="B1165">
        <v>470.5</v>
      </c>
    </row>
    <row r="1166" spans="1:2">
      <c r="A1166">
        <v>204.7</v>
      </c>
      <c r="B1166">
        <v>469</v>
      </c>
    </row>
    <row r="1168" spans="1:2">
      <c r="A1168">
        <v>207</v>
      </c>
      <c r="B1168">
        <v>469.3</v>
      </c>
    </row>
    <row r="1169" spans="1:2">
      <c r="A1169">
        <v>206.7</v>
      </c>
      <c r="B1169">
        <v>467.3</v>
      </c>
    </row>
    <row r="1170" spans="1:2">
      <c r="A1170">
        <v>208.5</v>
      </c>
      <c r="B1170">
        <v>465.1</v>
      </c>
    </row>
    <row r="1171" spans="1:2">
      <c r="A1171">
        <v>206.7</v>
      </c>
      <c r="B1171">
        <v>460.9</v>
      </c>
    </row>
    <row r="1172" spans="1:2">
      <c r="A1172">
        <v>203.5</v>
      </c>
      <c r="B1172">
        <v>466.2</v>
      </c>
    </row>
    <row r="1173" spans="1:2">
      <c r="A1173">
        <v>205.5</v>
      </c>
      <c r="B1173">
        <v>467.5</v>
      </c>
    </row>
    <row r="1174" spans="1:2">
      <c r="A1174">
        <v>205.5</v>
      </c>
      <c r="B1174">
        <v>469.2</v>
      </c>
    </row>
    <row r="1175" spans="1:2">
      <c r="A1175">
        <v>207</v>
      </c>
      <c r="B1175">
        <v>469.3</v>
      </c>
    </row>
    <row r="1177" spans="1:2">
      <c r="A1177">
        <v>190</v>
      </c>
      <c r="B1177">
        <v>481.1</v>
      </c>
    </row>
    <row r="1178" spans="1:2">
      <c r="A1178">
        <v>192</v>
      </c>
      <c r="B1178">
        <v>479.8</v>
      </c>
    </row>
    <row r="1179" spans="1:2">
      <c r="A1179">
        <v>194.4</v>
      </c>
      <c r="B1179">
        <v>480.3</v>
      </c>
    </row>
    <row r="1180" spans="1:2">
      <c r="A1180">
        <v>194.9</v>
      </c>
      <c r="B1180">
        <v>476.8</v>
      </c>
    </row>
    <row r="1181" spans="1:2">
      <c r="A1181">
        <v>193.6</v>
      </c>
      <c r="B1181">
        <v>475.5</v>
      </c>
    </row>
    <row r="1182" spans="1:2">
      <c r="A1182">
        <v>193.8</v>
      </c>
      <c r="B1182">
        <v>473.2</v>
      </c>
    </row>
    <row r="1183" spans="1:2">
      <c r="A1183">
        <v>195.4</v>
      </c>
      <c r="B1183">
        <v>473.4</v>
      </c>
    </row>
    <row r="1184" spans="1:2">
      <c r="A1184">
        <v>194.8</v>
      </c>
      <c r="B1184">
        <v>471.5</v>
      </c>
    </row>
    <row r="1185" spans="1:2">
      <c r="A1185">
        <v>187.5</v>
      </c>
      <c r="B1185">
        <v>474.5</v>
      </c>
    </row>
    <row r="1186" spans="1:2">
      <c r="A1186">
        <v>187.4</v>
      </c>
      <c r="B1186">
        <v>476.8</v>
      </c>
    </row>
    <row r="1187" spans="1:2">
      <c r="A1187">
        <v>190</v>
      </c>
      <c r="B1187">
        <v>481.1</v>
      </c>
    </row>
    <row r="1189" spans="1:2">
      <c r="A1189">
        <v>198.7</v>
      </c>
      <c r="B1189">
        <v>474.8</v>
      </c>
    </row>
    <row r="1190" spans="1:2">
      <c r="A1190">
        <v>201.2</v>
      </c>
      <c r="B1190">
        <v>468.9</v>
      </c>
    </row>
    <row r="1191" spans="1:2">
      <c r="A1191">
        <v>200.3</v>
      </c>
      <c r="B1191">
        <v>466.3</v>
      </c>
    </row>
    <row r="1192" spans="1:2">
      <c r="A1192">
        <v>197.9</v>
      </c>
      <c r="B1192">
        <v>465.2</v>
      </c>
    </row>
    <row r="1193" spans="1:2">
      <c r="A1193">
        <v>194.8</v>
      </c>
      <c r="B1193">
        <v>471.5</v>
      </c>
    </row>
    <row r="1194" spans="1:2">
      <c r="A1194">
        <v>195.4</v>
      </c>
      <c r="B1194">
        <v>473.4</v>
      </c>
    </row>
    <row r="1195" spans="1:2">
      <c r="A1195">
        <v>198.7</v>
      </c>
      <c r="B1195">
        <v>474.8</v>
      </c>
    </row>
    <row r="1197" spans="1:2">
      <c r="A1197">
        <v>220.8</v>
      </c>
      <c r="B1197">
        <v>437.4</v>
      </c>
    </row>
    <row r="1198" spans="1:2">
      <c r="A1198">
        <v>219.6</v>
      </c>
      <c r="B1198">
        <v>435.1</v>
      </c>
    </row>
    <row r="1199" spans="1:2">
      <c r="A1199">
        <v>221.1</v>
      </c>
      <c r="B1199">
        <v>430.6</v>
      </c>
    </row>
    <row r="1200" spans="1:2">
      <c r="A1200">
        <v>218.9</v>
      </c>
      <c r="B1200">
        <v>429.2</v>
      </c>
    </row>
    <row r="1201" spans="1:2">
      <c r="A1201">
        <v>221.4</v>
      </c>
      <c r="B1201">
        <v>428.2</v>
      </c>
    </row>
    <row r="1202" spans="1:2">
      <c r="A1202">
        <v>219.2</v>
      </c>
      <c r="B1202">
        <v>425.6</v>
      </c>
    </row>
    <row r="1203" spans="1:2">
      <c r="A1203">
        <v>223.3</v>
      </c>
      <c r="B1203">
        <v>424.9</v>
      </c>
    </row>
    <row r="1204" spans="1:2">
      <c r="A1204">
        <v>223.5</v>
      </c>
      <c r="B1204">
        <v>421.6</v>
      </c>
    </row>
    <row r="1205" spans="1:2">
      <c r="A1205">
        <v>218.5</v>
      </c>
      <c r="B1205">
        <v>417.5</v>
      </c>
    </row>
    <row r="1206" spans="1:2">
      <c r="A1206">
        <v>218.4</v>
      </c>
      <c r="B1206">
        <v>415.6</v>
      </c>
    </row>
    <row r="1207" spans="1:2">
      <c r="A1207">
        <v>212.7</v>
      </c>
      <c r="B1207">
        <v>414</v>
      </c>
    </row>
    <row r="1208" spans="1:2">
      <c r="A1208">
        <v>209.6</v>
      </c>
      <c r="B1208">
        <v>414.8</v>
      </c>
    </row>
    <row r="1209" spans="1:2">
      <c r="A1209">
        <v>202.1</v>
      </c>
      <c r="B1209">
        <v>411.2</v>
      </c>
    </row>
    <row r="1210" spans="1:2">
      <c r="A1210">
        <v>201.2</v>
      </c>
      <c r="B1210">
        <v>414.2</v>
      </c>
    </row>
    <row r="1211" spans="1:2">
      <c r="A1211">
        <v>196.8</v>
      </c>
      <c r="B1211">
        <v>416</v>
      </c>
    </row>
    <row r="1212" spans="1:2">
      <c r="A1212">
        <v>193.6</v>
      </c>
      <c r="B1212">
        <v>420.4</v>
      </c>
    </row>
    <row r="1213" spans="1:2">
      <c r="A1213">
        <v>194.5</v>
      </c>
      <c r="B1213">
        <v>420.9</v>
      </c>
    </row>
    <row r="1214" spans="1:2">
      <c r="A1214">
        <v>190.7</v>
      </c>
      <c r="B1214">
        <v>422.6</v>
      </c>
    </row>
    <row r="1215" spans="1:2">
      <c r="A1215">
        <v>197</v>
      </c>
      <c r="B1215">
        <v>423.8</v>
      </c>
    </row>
    <row r="1216" spans="1:2">
      <c r="A1216">
        <v>199.8</v>
      </c>
      <c r="B1216">
        <v>429.1</v>
      </c>
    </row>
    <row r="1217" spans="1:2">
      <c r="A1217">
        <v>201.6</v>
      </c>
      <c r="B1217">
        <v>429.7</v>
      </c>
    </row>
    <row r="1218" spans="1:2">
      <c r="A1218">
        <v>204.8</v>
      </c>
      <c r="B1218">
        <v>428.4</v>
      </c>
    </row>
    <row r="1219" spans="1:2">
      <c r="A1219">
        <v>209.7</v>
      </c>
      <c r="B1219">
        <v>429.3</v>
      </c>
    </row>
    <row r="1220" spans="1:2">
      <c r="A1220">
        <v>210.1</v>
      </c>
      <c r="B1220">
        <v>435.7</v>
      </c>
    </row>
    <row r="1221" spans="1:2">
      <c r="A1221">
        <v>213.1</v>
      </c>
      <c r="B1221">
        <v>436.6</v>
      </c>
    </row>
    <row r="1222" spans="1:2">
      <c r="A1222">
        <v>213.9</v>
      </c>
      <c r="B1222">
        <v>435.4</v>
      </c>
    </row>
    <row r="1223" spans="1:2">
      <c r="A1223">
        <v>217.6</v>
      </c>
      <c r="B1223">
        <v>435.5</v>
      </c>
    </row>
    <row r="1224" spans="1:2">
      <c r="A1224">
        <v>220.8</v>
      </c>
      <c r="B1224">
        <v>437.4</v>
      </c>
    </row>
    <row r="1226" spans="1:2">
      <c r="A1226">
        <v>215.6</v>
      </c>
      <c r="B1226">
        <v>527.4</v>
      </c>
    </row>
    <row r="1227" spans="1:2">
      <c r="A1227">
        <v>218</v>
      </c>
      <c r="B1227">
        <v>526.9</v>
      </c>
    </row>
    <row r="1228" spans="1:2">
      <c r="A1228">
        <v>218.4</v>
      </c>
      <c r="B1228">
        <v>523.9</v>
      </c>
    </row>
    <row r="1229" spans="1:2">
      <c r="A1229">
        <v>223.6</v>
      </c>
      <c r="B1229">
        <v>518.70000000000005</v>
      </c>
    </row>
    <row r="1230" spans="1:2">
      <c r="A1230">
        <v>222.8</v>
      </c>
      <c r="B1230">
        <v>516.6</v>
      </c>
    </row>
    <row r="1231" spans="1:2">
      <c r="A1231">
        <v>219.5</v>
      </c>
      <c r="B1231">
        <v>514.9</v>
      </c>
    </row>
    <row r="1232" spans="1:2">
      <c r="A1232">
        <v>215.3</v>
      </c>
      <c r="B1232">
        <v>515.79999999999995</v>
      </c>
    </row>
    <row r="1233" spans="1:2">
      <c r="A1233">
        <v>214</v>
      </c>
      <c r="B1233">
        <v>518.70000000000005</v>
      </c>
    </row>
    <row r="1234" spans="1:2">
      <c r="A1234">
        <v>210.5</v>
      </c>
      <c r="B1234">
        <v>520.79999999999995</v>
      </c>
    </row>
    <row r="1235" spans="1:2">
      <c r="A1235">
        <v>214.3</v>
      </c>
      <c r="B1235">
        <v>527.70000000000005</v>
      </c>
    </row>
    <row r="1236" spans="1:2">
      <c r="A1236">
        <v>215.6</v>
      </c>
      <c r="B1236">
        <v>527.4</v>
      </c>
    </row>
    <row r="1238" spans="1:2">
      <c r="A1238">
        <v>199.6</v>
      </c>
      <c r="B1238">
        <v>462.6</v>
      </c>
    </row>
    <row r="1239" spans="1:2">
      <c r="A1239">
        <v>200.9</v>
      </c>
      <c r="B1239">
        <v>460.7</v>
      </c>
    </row>
    <row r="1240" spans="1:2">
      <c r="A1240">
        <v>199</v>
      </c>
      <c r="B1240">
        <v>456.5</v>
      </c>
    </row>
    <row r="1241" spans="1:2">
      <c r="A1241">
        <v>201.9</v>
      </c>
      <c r="B1241">
        <v>456.6</v>
      </c>
    </row>
    <row r="1242" spans="1:2">
      <c r="A1242">
        <v>204.7</v>
      </c>
      <c r="B1242">
        <v>453.7</v>
      </c>
    </row>
    <row r="1243" spans="1:2">
      <c r="A1243">
        <v>203.6</v>
      </c>
      <c r="B1243">
        <v>452</v>
      </c>
    </row>
    <row r="1244" spans="1:2">
      <c r="A1244">
        <v>201.3</v>
      </c>
      <c r="B1244">
        <v>453.3</v>
      </c>
    </row>
    <row r="1245" spans="1:2">
      <c r="A1245">
        <v>196.3</v>
      </c>
      <c r="B1245">
        <v>450.7</v>
      </c>
    </row>
    <row r="1246" spans="1:2">
      <c r="A1246">
        <v>194</v>
      </c>
      <c r="B1246">
        <v>454.2</v>
      </c>
    </row>
    <row r="1247" spans="1:2">
      <c r="A1247">
        <v>196.2</v>
      </c>
      <c r="B1247">
        <v>454.9</v>
      </c>
    </row>
    <row r="1248" spans="1:2">
      <c r="A1248">
        <v>196.1</v>
      </c>
      <c r="B1248">
        <v>461</v>
      </c>
    </row>
    <row r="1249" spans="1:2">
      <c r="A1249">
        <v>198.2</v>
      </c>
      <c r="B1249">
        <v>460.9</v>
      </c>
    </row>
    <row r="1250" spans="1:2">
      <c r="A1250">
        <v>199.6</v>
      </c>
      <c r="B1250">
        <v>462.6</v>
      </c>
    </row>
    <row r="1252" spans="1:2">
      <c r="A1252">
        <v>173.8</v>
      </c>
      <c r="B1252">
        <v>453.3</v>
      </c>
    </row>
    <row r="1253" spans="1:2">
      <c r="A1253">
        <v>177.1</v>
      </c>
      <c r="B1253">
        <v>450.4</v>
      </c>
    </row>
    <row r="1254" spans="1:2">
      <c r="A1254">
        <v>178.2</v>
      </c>
      <c r="B1254">
        <v>451.3</v>
      </c>
    </row>
    <row r="1255" spans="1:2">
      <c r="A1255">
        <v>178.6</v>
      </c>
      <c r="B1255">
        <v>450.2</v>
      </c>
    </row>
    <row r="1256" spans="1:2">
      <c r="A1256">
        <v>177.7</v>
      </c>
      <c r="B1256">
        <v>452.2</v>
      </c>
    </row>
    <row r="1257" spans="1:2">
      <c r="A1257">
        <v>178.7</v>
      </c>
      <c r="B1257">
        <v>451.2</v>
      </c>
    </row>
    <row r="1258" spans="1:2">
      <c r="A1258">
        <v>179.1</v>
      </c>
      <c r="B1258">
        <v>442.5</v>
      </c>
    </row>
    <row r="1259" spans="1:2">
      <c r="A1259">
        <v>178.6</v>
      </c>
      <c r="B1259">
        <v>445.1</v>
      </c>
    </row>
    <row r="1260" spans="1:2">
      <c r="A1260">
        <v>177.6</v>
      </c>
      <c r="B1260">
        <v>445.4</v>
      </c>
    </row>
    <row r="1261" spans="1:2">
      <c r="A1261">
        <v>177.3</v>
      </c>
      <c r="B1261">
        <v>443.7</v>
      </c>
    </row>
    <row r="1262" spans="1:2">
      <c r="A1262">
        <v>176.9</v>
      </c>
      <c r="B1262">
        <v>447.4</v>
      </c>
    </row>
    <row r="1263" spans="1:2">
      <c r="A1263">
        <v>174</v>
      </c>
      <c r="B1263">
        <v>447</v>
      </c>
    </row>
    <row r="1264" spans="1:2">
      <c r="A1264">
        <v>176.3</v>
      </c>
      <c r="B1264">
        <v>444.5</v>
      </c>
    </row>
    <row r="1265" spans="1:2">
      <c r="A1265">
        <v>174.6</v>
      </c>
      <c r="B1265">
        <v>443.3</v>
      </c>
    </row>
    <row r="1266" spans="1:2">
      <c r="A1266">
        <v>175.1</v>
      </c>
      <c r="B1266">
        <v>445.8</v>
      </c>
    </row>
    <row r="1267" spans="1:2">
      <c r="A1267">
        <v>172.9</v>
      </c>
      <c r="B1267">
        <v>445.7</v>
      </c>
    </row>
    <row r="1268" spans="1:2">
      <c r="A1268">
        <v>171.7</v>
      </c>
      <c r="B1268">
        <v>442.7</v>
      </c>
    </row>
    <row r="1269" spans="1:2">
      <c r="A1269">
        <v>170.2</v>
      </c>
      <c r="B1269">
        <v>444.1</v>
      </c>
    </row>
    <row r="1270" spans="1:2">
      <c r="A1270">
        <v>171.2</v>
      </c>
      <c r="B1270">
        <v>445.4</v>
      </c>
    </row>
    <row r="1271" spans="1:2">
      <c r="A1271">
        <v>170.1</v>
      </c>
      <c r="B1271">
        <v>447.1</v>
      </c>
    </row>
    <row r="1272" spans="1:2">
      <c r="A1272">
        <v>172.3</v>
      </c>
      <c r="B1272">
        <v>447.4</v>
      </c>
    </row>
    <row r="1273" spans="1:2">
      <c r="A1273">
        <v>169.1</v>
      </c>
      <c r="B1273">
        <v>453.1</v>
      </c>
    </row>
    <row r="1274" spans="1:2">
      <c r="A1274">
        <v>171.6</v>
      </c>
      <c r="B1274">
        <v>451.8</v>
      </c>
    </row>
    <row r="1275" spans="1:2">
      <c r="A1275">
        <v>172.5</v>
      </c>
      <c r="B1275">
        <v>454</v>
      </c>
    </row>
    <row r="1276" spans="1:2">
      <c r="A1276">
        <v>176.3</v>
      </c>
      <c r="B1276">
        <v>455.8</v>
      </c>
    </row>
    <row r="1277" spans="1:2">
      <c r="A1277">
        <v>173.8</v>
      </c>
      <c r="B1277">
        <v>453.3</v>
      </c>
    </row>
    <row r="1279" spans="1:2">
      <c r="A1279">
        <v>195.1</v>
      </c>
      <c r="B1279">
        <v>461</v>
      </c>
    </row>
    <row r="1280" spans="1:2">
      <c r="A1280">
        <v>196.1</v>
      </c>
      <c r="B1280">
        <v>461.1</v>
      </c>
    </row>
    <row r="1281" spans="1:2">
      <c r="A1281">
        <v>196.1</v>
      </c>
      <c r="B1281">
        <v>454.9</v>
      </c>
    </row>
    <row r="1282" spans="1:2">
      <c r="A1282">
        <v>189.7</v>
      </c>
      <c r="B1282">
        <v>453.4</v>
      </c>
    </row>
    <row r="1283" spans="1:2">
      <c r="A1283">
        <v>185.3</v>
      </c>
      <c r="B1283">
        <v>455.2</v>
      </c>
    </row>
    <row r="1284" spans="1:2">
      <c r="A1284">
        <v>189.1</v>
      </c>
      <c r="B1284">
        <v>458.7</v>
      </c>
    </row>
    <row r="1285" spans="1:2">
      <c r="A1285">
        <v>191.2</v>
      </c>
      <c r="B1285">
        <v>458.4</v>
      </c>
    </row>
    <row r="1286" spans="1:2">
      <c r="A1286">
        <v>192.1</v>
      </c>
      <c r="B1286">
        <v>460.2</v>
      </c>
    </row>
    <row r="1287" spans="1:2">
      <c r="A1287">
        <v>195.1</v>
      </c>
      <c r="B1287">
        <v>461</v>
      </c>
    </row>
    <row r="1289" spans="1:2">
      <c r="A1289">
        <v>203.9</v>
      </c>
      <c r="B1289">
        <v>502.7</v>
      </c>
    </row>
    <row r="1290" spans="1:2">
      <c r="A1290">
        <v>201.9</v>
      </c>
      <c r="B1290">
        <v>494.3</v>
      </c>
    </row>
    <row r="1291" spans="1:2">
      <c r="A1291">
        <v>204.8</v>
      </c>
      <c r="B1291">
        <v>494.4</v>
      </c>
    </row>
    <row r="1292" spans="1:2">
      <c r="A1292">
        <v>206.1</v>
      </c>
      <c r="B1292">
        <v>496.8</v>
      </c>
    </row>
    <row r="1293" spans="1:2">
      <c r="A1293">
        <v>208.5</v>
      </c>
      <c r="B1293">
        <v>495.9</v>
      </c>
    </row>
    <row r="1294" spans="1:2">
      <c r="A1294">
        <v>209.5</v>
      </c>
      <c r="B1294">
        <v>494.6</v>
      </c>
    </row>
    <row r="1295" spans="1:2">
      <c r="A1295">
        <v>208.6</v>
      </c>
      <c r="B1295">
        <v>490.6</v>
      </c>
    </row>
    <row r="1296" spans="1:2">
      <c r="A1296">
        <v>206.4</v>
      </c>
      <c r="B1296">
        <v>489.9</v>
      </c>
    </row>
    <row r="1297" spans="1:2">
      <c r="A1297">
        <v>205.4</v>
      </c>
      <c r="B1297">
        <v>493.1</v>
      </c>
    </row>
    <row r="1298" spans="1:2">
      <c r="A1298">
        <v>201.7</v>
      </c>
      <c r="B1298">
        <v>492</v>
      </c>
    </row>
    <row r="1299" spans="1:2">
      <c r="A1299">
        <v>201.2</v>
      </c>
      <c r="B1299">
        <v>485.6</v>
      </c>
    </row>
    <row r="1300" spans="1:2">
      <c r="A1300">
        <v>200</v>
      </c>
      <c r="B1300">
        <v>486</v>
      </c>
    </row>
    <row r="1301" spans="1:2">
      <c r="A1301">
        <v>197.2</v>
      </c>
      <c r="B1301">
        <v>483.7</v>
      </c>
    </row>
    <row r="1302" spans="1:2">
      <c r="A1302">
        <v>189</v>
      </c>
      <c r="B1302">
        <v>489.9</v>
      </c>
    </row>
    <row r="1303" spans="1:2">
      <c r="A1303">
        <v>191.7</v>
      </c>
      <c r="B1303">
        <v>489.5</v>
      </c>
    </row>
    <row r="1304" spans="1:2">
      <c r="A1304">
        <v>193.9</v>
      </c>
      <c r="B1304">
        <v>491.7</v>
      </c>
    </row>
    <row r="1305" spans="1:2">
      <c r="A1305">
        <v>194.3</v>
      </c>
      <c r="B1305">
        <v>494.4</v>
      </c>
    </row>
    <row r="1306" spans="1:2">
      <c r="A1306">
        <v>197.2</v>
      </c>
      <c r="B1306">
        <v>496.2</v>
      </c>
    </row>
    <row r="1307" spans="1:2">
      <c r="A1307">
        <v>196.1</v>
      </c>
      <c r="B1307">
        <v>500.9</v>
      </c>
    </row>
    <row r="1308" spans="1:2">
      <c r="A1308">
        <v>200.2</v>
      </c>
      <c r="B1308">
        <v>500</v>
      </c>
    </row>
    <row r="1309" spans="1:2">
      <c r="A1309">
        <v>202.2</v>
      </c>
      <c r="B1309">
        <v>502.6</v>
      </c>
    </row>
    <row r="1310" spans="1:2">
      <c r="A1310">
        <v>203.9</v>
      </c>
      <c r="B1310">
        <v>502.7</v>
      </c>
    </row>
    <row r="1312" spans="1:2">
      <c r="A1312">
        <v>193.5</v>
      </c>
      <c r="B1312">
        <v>500.2</v>
      </c>
    </row>
    <row r="1313" spans="1:2">
      <c r="A1313">
        <v>195.7</v>
      </c>
      <c r="B1313">
        <v>500.5</v>
      </c>
    </row>
    <row r="1314" spans="1:2">
      <c r="A1314">
        <v>197.2</v>
      </c>
      <c r="B1314">
        <v>496.2</v>
      </c>
    </row>
    <row r="1315" spans="1:2">
      <c r="A1315">
        <v>194.3</v>
      </c>
      <c r="B1315">
        <v>494.4</v>
      </c>
    </row>
    <row r="1316" spans="1:2">
      <c r="A1316">
        <v>193.9</v>
      </c>
      <c r="B1316">
        <v>491.7</v>
      </c>
    </row>
    <row r="1317" spans="1:2">
      <c r="A1317">
        <v>191.7</v>
      </c>
      <c r="B1317">
        <v>489.5</v>
      </c>
    </row>
    <row r="1318" spans="1:2">
      <c r="A1318">
        <v>188.3</v>
      </c>
      <c r="B1318">
        <v>490.2</v>
      </c>
    </row>
    <row r="1319" spans="1:2">
      <c r="A1319">
        <v>186.6</v>
      </c>
      <c r="B1319">
        <v>491.8</v>
      </c>
    </row>
    <row r="1320" spans="1:2">
      <c r="A1320">
        <v>190.2</v>
      </c>
      <c r="B1320">
        <v>494.6</v>
      </c>
    </row>
    <row r="1321" spans="1:2">
      <c r="A1321">
        <v>190.3</v>
      </c>
      <c r="B1321">
        <v>498.7</v>
      </c>
    </row>
    <row r="1322" spans="1:2">
      <c r="A1322">
        <v>192</v>
      </c>
      <c r="B1322">
        <v>501.3</v>
      </c>
    </row>
    <row r="1323" spans="1:2">
      <c r="A1323">
        <v>193.5</v>
      </c>
      <c r="B1323">
        <v>500.2</v>
      </c>
    </row>
    <row r="1325" spans="1:2">
      <c r="A1325">
        <v>190.2</v>
      </c>
      <c r="B1325">
        <v>497.9</v>
      </c>
    </row>
    <row r="1326" spans="1:2">
      <c r="A1326">
        <v>190.2</v>
      </c>
      <c r="B1326">
        <v>494.6</v>
      </c>
    </row>
    <row r="1327" spans="1:2">
      <c r="A1327">
        <v>186.6</v>
      </c>
      <c r="B1327">
        <v>491.8</v>
      </c>
    </row>
    <row r="1328" spans="1:2">
      <c r="A1328">
        <v>181.2</v>
      </c>
      <c r="B1328">
        <v>495.5</v>
      </c>
    </row>
    <row r="1329" spans="1:2">
      <c r="A1329">
        <v>181.4</v>
      </c>
      <c r="B1329">
        <v>497.6</v>
      </c>
    </row>
    <row r="1330" spans="1:2">
      <c r="A1330">
        <v>182.9</v>
      </c>
      <c r="B1330">
        <v>496.3</v>
      </c>
    </row>
    <row r="1331" spans="1:2">
      <c r="A1331">
        <v>186</v>
      </c>
      <c r="B1331">
        <v>498</v>
      </c>
    </row>
    <row r="1332" spans="1:2">
      <c r="A1332">
        <v>190.2</v>
      </c>
      <c r="B1332">
        <v>497.9</v>
      </c>
    </row>
    <row r="1334" spans="1:2">
      <c r="A1334">
        <v>210.4</v>
      </c>
      <c r="B1334">
        <v>472.3</v>
      </c>
    </row>
    <row r="1335" spans="1:2">
      <c r="A1335">
        <v>211.3</v>
      </c>
      <c r="B1335">
        <v>471</v>
      </c>
    </row>
    <row r="1336" spans="1:2">
      <c r="A1336">
        <v>213</v>
      </c>
      <c r="B1336">
        <v>472</v>
      </c>
    </row>
    <row r="1337" spans="1:2">
      <c r="A1337">
        <v>214.1</v>
      </c>
      <c r="B1337">
        <v>468.4</v>
      </c>
    </row>
    <row r="1338" spans="1:2">
      <c r="A1338">
        <v>213.4</v>
      </c>
      <c r="B1338">
        <v>466.6</v>
      </c>
    </row>
    <row r="1339" spans="1:2">
      <c r="A1339">
        <v>208.5</v>
      </c>
      <c r="B1339">
        <v>465.1</v>
      </c>
    </row>
    <row r="1340" spans="1:2">
      <c r="A1340">
        <v>206.7</v>
      </c>
      <c r="B1340">
        <v>467.3</v>
      </c>
    </row>
    <row r="1341" spans="1:2">
      <c r="A1341">
        <v>206.8</v>
      </c>
      <c r="B1341">
        <v>470</v>
      </c>
    </row>
    <row r="1342" spans="1:2">
      <c r="A1342">
        <v>210.4</v>
      </c>
      <c r="B1342">
        <v>472.3</v>
      </c>
    </row>
    <row r="1344" spans="1:2">
      <c r="A1344">
        <v>222.8</v>
      </c>
      <c r="B1344">
        <v>491.4</v>
      </c>
    </row>
    <row r="1345" spans="1:2">
      <c r="A1345">
        <v>223</v>
      </c>
      <c r="B1345">
        <v>487.4</v>
      </c>
    </row>
    <row r="1346" spans="1:2">
      <c r="A1346">
        <v>224.9</v>
      </c>
      <c r="B1346">
        <v>484.6</v>
      </c>
    </row>
    <row r="1347" spans="1:2">
      <c r="A1347">
        <v>219.2</v>
      </c>
      <c r="B1347">
        <v>482</v>
      </c>
    </row>
    <row r="1348" spans="1:2">
      <c r="A1348">
        <v>219.7</v>
      </c>
      <c r="B1348">
        <v>491.3</v>
      </c>
    </row>
    <row r="1349" spans="1:2">
      <c r="A1349">
        <v>222.8</v>
      </c>
      <c r="B1349">
        <v>491.4</v>
      </c>
    </row>
    <row r="1351" spans="1:2">
      <c r="A1351">
        <v>233.9</v>
      </c>
      <c r="B1351">
        <v>505.5</v>
      </c>
    </row>
    <row r="1352" spans="1:2">
      <c r="A1352">
        <v>238</v>
      </c>
      <c r="B1352">
        <v>504.7</v>
      </c>
    </row>
    <row r="1353" spans="1:2">
      <c r="A1353">
        <v>243.3</v>
      </c>
      <c r="B1353">
        <v>495.1</v>
      </c>
    </row>
    <row r="1354" spans="1:2">
      <c r="A1354">
        <v>235.6</v>
      </c>
      <c r="B1354">
        <v>476.5</v>
      </c>
    </row>
    <row r="1355" spans="1:2">
      <c r="A1355">
        <v>227.7</v>
      </c>
      <c r="B1355">
        <v>485.5</v>
      </c>
    </row>
    <row r="1356" spans="1:2">
      <c r="A1356">
        <v>224.1</v>
      </c>
      <c r="B1356">
        <v>485.1</v>
      </c>
    </row>
    <row r="1357" spans="1:2">
      <c r="A1357">
        <v>222.8</v>
      </c>
      <c r="B1357">
        <v>491.4</v>
      </c>
    </row>
    <row r="1358" spans="1:2">
      <c r="A1358">
        <v>218.3</v>
      </c>
      <c r="B1358">
        <v>491.5</v>
      </c>
    </row>
    <row r="1359" spans="1:2">
      <c r="A1359">
        <v>218.4</v>
      </c>
      <c r="B1359">
        <v>496.3</v>
      </c>
    </row>
    <row r="1360" spans="1:2">
      <c r="A1360">
        <v>217</v>
      </c>
      <c r="B1360">
        <v>497.5</v>
      </c>
    </row>
    <row r="1361" spans="1:2">
      <c r="A1361">
        <v>219.5</v>
      </c>
      <c r="B1361">
        <v>498.4</v>
      </c>
    </row>
    <row r="1362" spans="1:2">
      <c r="A1362">
        <v>222.8</v>
      </c>
      <c r="B1362">
        <v>503.6</v>
      </c>
    </row>
    <row r="1363" spans="1:2">
      <c r="A1363">
        <v>224.5</v>
      </c>
      <c r="B1363">
        <v>502.6</v>
      </c>
    </row>
    <row r="1364" spans="1:2">
      <c r="A1364">
        <v>228.4</v>
      </c>
      <c r="B1364">
        <v>505</v>
      </c>
    </row>
    <row r="1365" spans="1:2">
      <c r="A1365">
        <v>229.7</v>
      </c>
      <c r="B1365">
        <v>503.3</v>
      </c>
    </row>
    <row r="1366" spans="1:2">
      <c r="A1366">
        <v>233.3</v>
      </c>
      <c r="B1366">
        <v>506.2</v>
      </c>
    </row>
    <row r="1367" spans="1:2">
      <c r="A1367">
        <v>233.9</v>
      </c>
      <c r="B1367">
        <v>505.5</v>
      </c>
    </row>
    <row r="1369" spans="1:2">
      <c r="A1369">
        <v>213.6</v>
      </c>
      <c r="B1369">
        <v>443.2</v>
      </c>
    </row>
    <row r="1370" spans="1:2">
      <c r="A1370">
        <v>215.6</v>
      </c>
      <c r="B1370">
        <v>443.3</v>
      </c>
    </row>
    <row r="1371" spans="1:2">
      <c r="A1371">
        <v>216.2</v>
      </c>
      <c r="B1371">
        <v>440</v>
      </c>
    </row>
    <row r="1372" spans="1:2">
      <c r="A1372">
        <v>218.6</v>
      </c>
      <c r="B1372">
        <v>438.6</v>
      </c>
    </row>
    <row r="1373" spans="1:2">
      <c r="A1373">
        <v>217.6</v>
      </c>
      <c r="B1373">
        <v>435.5</v>
      </c>
    </row>
    <row r="1374" spans="1:2">
      <c r="A1374">
        <v>213.9</v>
      </c>
      <c r="B1374">
        <v>435.5</v>
      </c>
    </row>
    <row r="1375" spans="1:2">
      <c r="A1375">
        <v>212.2</v>
      </c>
      <c r="B1375">
        <v>439.6</v>
      </c>
    </row>
    <row r="1376" spans="1:2">
      <c r="A1376">
        <v>209.6</v>
      </c>
      <c r="B1376">
        <v>440.7</v>
      </c>
    </row>
    <row r="1377" spans="1:2">
      <c r="A1377">
        <v>210.7</v>
      </c>
      <c r="B1377">
        <v>442.7</v>
      </c>
    </row>
    <row r="1378" spans="1:2">
      <c r="A1378">
        <v>213.6</v>
      </c>
      <c r="B1378">
        <v>443.2</v>
      </c>
    </row>
    <row r="1380" spans="1:2">
      <c r="A1380">
        <v>190.7</v>
      </c>
      <c r="B1380">
        <v>464.4</v>
      </c>
    </row>
    <row r="1381" spans="1:2">
      <c r="A1381">
        <v>191.8</v>
      </c>
      <c r="B1381">
        <v>464.3</v>
      </c>
    </row>
    <row r="1382" spans="1:2">
      <c r="A1382">
        <v>191.4</v>
      </c>
      <c r="B1382">
        <v>465.9</v>
      </c>
    </row>
    <row r="1383" spans="1:2">
      <c r="A1383">
        <v>191.1</v>
      </c>
      <c r="B1383">
        <v>464.2</v>
      </c>
    </row>
    <row r="1384" spans="1:2">
      <c r="A1384">
        <v>188</v>
      </c>
      <c r="B1384">
        <v>465.5</v>
      </c>
    </row>
    <row r="1385" spans="1:2">
      <c r="A1385">
        <v>190.6</v>
      </c>
      <c r="B1385">
        <v>472.8</v>
      </c>
    </row>
    <row r="1386" spans="1:2">
      <c r="A1386">
        <v>195.8</v>
      </c>
      <c r="B1386">
        <v>471.4</v>
      </c>
    </row>
    <row r="1387" spans="1:2">
      <c r="A1387">
        <v>196.6</v>
      </c>
      <c r="B1387">
        <v>466.4</v>
      </c>
    </row>
    <row r="1388" spans="1:2">
      <c r="A1388">
        <v>199.2</v>
      </c>
      <c r="B1388">
        <v>465.3</v>
      </c>
    </row>
    <row r="1389" spans="1:2">
      <c r="A1389">
        <v>199.6</v>
      </c>
      <c r="B1389">
        <v>462.3</v>
      </c>
    </row>
    <row r="1390" spans="1:2">
      <c r="A1390">
        <v>197.4</v>
      </c>
      <c r="B1390">
        <v>460.7</v>
      </c>
    </row>
    <row r="1391" spans="1:2">
      <c r="A1391">
        <v>194.6</v>
      </c>
      <c r="B1391">
        <v>461.4</v>
      </c>
    </row>
    <row r="1392" spans="1:2">
      <c r="A1392">
        <v>192.1</v>
      </c>
      <c r="B1392">
        <v>460.2</v>
      </c>
    </row>
    <row r="1393" spans="1:2">
      <c r="A1393">
        <v>191.2</v>
      </c>
      <c r="B1393">
        <v>458.4</v>
      </c>
    </row>
    <row r="1394" spans="1:2">
      <c r="A1394">
        <v>189.1</v>
      </c>
      <c r="B1394">
        <v>458.7</v>
      </c>
    </row>
    <row r="1395" spans="1:2">
      <c r="A1395">
        <v>185.3</v>
      </c>
      <c r="B1395">
        <v>455.2</v>
      </c>
    </row>
    <row r="1396" spans="1:2">
      <c r="A1396">
        <v>181.2</v>
      </c>
      <c r="B1396">
        <v>457.4</v>
      </c>
    </row>
    <row r="1397" spans="1:2">
      <c r="A1397">
        <v>176.3</v>
      </c>
      <c r="B1397">
        <v>455.8</v>
      </c>
    </row>
    <row r="1398" spans="1:2">
      <c r="A1398">
        <v>183</v>
      </c>
      <c r="B1398">
        <v>458.1</v>
      </c>
    </row>
    <row r="1399" spans="1:2">
      <c r="A1399">
        <v>182.7</v>
      </c>
      <c r="B1399">
        <v>459.5</v>
      </c>
    </row>
    <row r="1400" spans="1:2">
      <c r="A1400">
        <v>186.5</v>
      </c>
      <c r="B1400">
        <v>463.6</v>
      </c>
    </row>
    <row r="1401" spans="1:2">
      <c r="A1401">
        <v>187.4</v>
      </c>
      <c r="B1401">
        <v>463.2</v>
      </c>
    </row>
    <row r="1402" spans="1:2">
      <c r="A1402">
        <v>187.6</v>
      </c>
      <c r="B1402">
        <v>464.9</v>
      </c>
    </row>
    <row r="1403" spans="1:2">
      <c r="A1403">
        <v>190.7</v>
      </c>
      <c r="B1403">
        <v>464.4</v>
      </c>
    </row>
    <row r="1405" spans="1:2">
      <c r="A1405">
        <v>204.9</v>
      </c>
      <c r="B1405">
        <v>462.8</v>
      </c>
    </row>
    <row r="1406" spans="1:2">
      <c r="A1406">
        <v>206.6</v>
      </c>
      <c r="B1406">
        <v>459.8</v>
      </c>
    </row>
    <row r="1407" spans="1:2">
      <c r="A1407">
        <v>204.1</v>
      </c>
      <c r="B1407">
        <v>455.1</v>
      </c>
    </row>
    <row r="1408" spans="1:2">
      <c r="A1408">
        <v>199</v>
      </c>
      <c r="B1408">
        <v>456.5</v>
      </c>
    </row>
    <row r="1409" spans="1:2">
      <c r="A1409">
        <v>202.3</v>
      </c>
      <c r="B1409">
        <v>462.2</v>
      </c>
    </row>
    <row r="1410" spans="1:2">
      <c r="A1410">
        <v>204.9</v>
      </c>
      <c r="B1410">
        <v>462.8</v>
      </c>
    </row>
    <row r="1412" spans="1:2">
      <c r="A1412">
        <v>214</v>
      </c>
      <c r="B1412">
        <v>466.6</v>
      </c>
    </row>
    <row r="1413" spans="1:2">
      <c r="A1413">
        <v>210.8</v>
      </c>
      <c r="B1413">
        <v>458.5</v>
      </c>
    </row>
    <row r="1414" spans="1:2">
      <c r="A1414">
        <v>207.5</v>
      </c>
      <c r="B1414">
        <v>457.7</v>
      </c>
    </row>
    <row r="1415" spans="1:2">
      <c r="A1415">
        <v>206.7</v>
      </c>
      <c r="B1415">
        <v>454.5</v>
      </c>
    </row>
    <row r="1416" spans="1:2">
      <c r="A1416">
        <v>204</v>
      </c>
      <c r="B1416">
        <v>454.6</v>
      </c>
    </row>
    <row r="1417" spans="1:2">
      <c r="A1417">
        <v>208.8</v>
      </c>
      <c r="B1417">
        <v>465.8</v>
      </c>
    </row>
    <row r="1418" spans="1:2">
      <c r="A1418">
        <v>214</v>
      </c>
      <c r="B1418">
        <v>466.6</v>
      </c>
    </row>
    <row r="1420" spans="1:2">
      <c r="A1420">
        <v>226.2</v>
      </c>
      <c r="B1420">
        <v>485.8</v>
      </c>
    </row>
    <row r="1421" spans="1:2">
      <c r="A1421">
        <v>234.9</v>
      </c>
      <c r="B1421">
        <v>478.2</v>
      </c>
    </row>
    <row r="1422" spans="1:2">
      <c r="A1422">
        <v>232.3</v>
      </c>
      <c r="B1422">
        <v>476.6</v>
      </c>
    </row>
    <row r="1423" spans="1:2">
      <c r="A1423">
        <v>231.4</v>
      </c>
      <c r="B1423">
        <v>473.4</v>
      </c>
    </row>
    <row r="1424" spans="1:2">
      <c r="A1424">
        <v>225.6</v>
      </c>
      <c r="B1424">
        <v>474.5</v>
      </c>
    </row>
    <row r="1425" spans="1:2">
      <c r="A1425">
        <v>224.9</v>
      </c>
      <c r="B1425">
        <v>472.6</v>
      </c>
    </row>
    <row r="1426" spans="1:2">
      <c r="A1426">
        <v>222.6</v>
      </c>
      <c r="B1426">
        <v>473.1</v>
      </c>
    </row>
    <row r="1427" spans="1:2">
      <c r="A1427">
        <v>224.1</v>
      </c>
      <c r="B1427">
        <v>475.9</v>
      </c>
    </row>
    <row r="1428" spans="1:2">
      <c r="A1428">
        <v>222.3</v>
      </c>
      <c r="B1428">
        <v>477</v>
      </c>
    </row>
    <row r="1429" spans="1:2">
      <c r="A1429">
        <v>224.3</v>
      </c>
      <c r="B1429">
        <v>480.8</v>
      </c>
    </row>
    <row r="1430" spans="1:2">
      <c r="A1430">
        <v>226.1</v>
      </c>
      <c r="B1430">
        <v>480.8</v>
      </c>
    </row>
    <row r="1431" spans="1:2">
      <c r="A1431">
        <v>224.8</v>
      </c>
      <c r="B1431">
        <v>484.4</v>
      </c>
    </row>
    <row r="1432" spans="1:2">
      <c r="A1432">
        <v>226.2</v>
      </c>
      <c r="B1432">
        <v>485.8</v>
      </c>
    </row>
    <row r="1434" spans="1:2">
      <c r="A1434">
        <v>230.9</v>
      </c>
      <c r="B1434">
        <v>460.7</v>
      </c>
    </row>
    <row r="1435" spans="1:2">
      <c r="A1435">
        <v>234.8</v>
      </c>
      <c r="B1435">
        <v>459.1</v>
      </c>
    </row>
    <row r="1436" spans="1:2">
      <c r="A1436">
        <v>234.4</v>
      </c>
      <c r="B1436">
        <v>451</v>
      </c>
    </row>
    <row r="1437" spans="1:2">
      <c r="A1437">
        <v>239.7</v>
      </c>
      <c r="B1437">
        <v>451.1</v>
      </c>
    </row>
    <row r="1438" spans="1:2">
      <c r="A1438">
        <v>238.9</v>
      </c>
      <c r="B1438">
        <v>445.6</v>
      </c>
    </row>
    <row r="1439" spans="1:2">
      <c r="A1439">
        <v>242.4</v>
      </c>
      <c r="B1439">
        <v>443.9</v>
      </c>
    </row>
    <row r="1440" spans="1:2">
      <c r="A1440">
        <v>242.6</v>
      </c>
      <c r="B1440">
        <v>441.9</v>
      </c>
    </row>
    <row r="1441" spans="1:2">
      <c r="A1441">
        <v>246</v>
      </c>
      <c r="B1441">
        <v>441.5</v>
      </c>
    </row>
    <row r="1442" spans="1:2">
      <c r="A1442">
        <v>246</v>
      </c>
      <c r="B1442">
        <v>438.6</v>
      </c>
    </row>
    <row r="1443" spans="1:2">
      <c r="A1443">
        <v>247.4</v>
      </c>
      <c r="B1443">
        <v>437.6</v>
      </c>
    </row>
    <row r="1444" spans="1:2">
      <c r="A1444">
        <v>246.3</v>
      </c>
      <c r="B1444">
        <v>431.4</v>
      </c>
    </row>
    <row r="1445" spans="1:2">
      <c r="A1445">
        <v>244.1</v>
      </c>
      <c r="B1445">
        <v>433.5</v>
      </c>
    </row>
    <row r="1446" spans="1:2">
      <c r="A1446">
        <v>240.8</v>
      </c>
      <c r="B1446">
        <v>432.7</v>
      </c>
    </row>
    <row r="1447" spans="1:2">
      <c r="A1447">
        <v>238.6</v>
      </c>
      <c r="B1447">
        <v>434.7</v>
      </c>
    </row>
    <row r="1448" spans="1:2">
      <c r="A1448">
        <v>236.9</v>
      </c>
      <c r="B1448">
        <v>433.2</v>
      </c>
    </row>
    <row r="1449" spans="1:2">
      <c r="A1449">
        <v>233.1</v>
      </c>
      <c r="B1449">
        <v>438.7</v>
      </c>
    </row>
    <row r="1450" spans="1:2">
      <c r="A1450">
        <v>231.9</v>
      </c>
      <c r="B1450">
        <v>435.1</v>
      </c>
    </row>
    <row r="1451" spans="1:2">
      <c r="A1451">
        <v>228.2</v>
      </c>
      <c r="B1451">
        <v>433.8</v>
      </c>
    </row>
    <row r="1452" spans="1:2">
      <c r="A1452">
        <v>226.3</v>
      </c>
      <c r="B1452">
        <v>430.9</v>
      </c>
    </row>
    <row r="1453" spans="1:2">
      <c r="A1453">
        <v>220.8</v>
      </c>
      <c r="B1453">
        <v>431.6</v>
      </c>
    </row>
    <row r="1454" spans="1:2">
      <c r="A1454">
        <v>219.6</v>
      </c>
      <c r="B1454">
        <v>435.1</v>
      </c>
    </row>
    <row r="1455" spans="1:2">
      <c r="A1455">
        <v>221.6</v>
      </c>
      <c r="B1455">
        <v>440.1</v>
      </c>
    </row>
    <row r="1456" spans="1:2">
      <c r="A1456">
        <v>224.1</v>
      </c>
      <c r="B1456">
        <v>441.3</v>
      </c>
    </row>
    <row r="1457" spans="1:2">
      <c r="A1457">
        <v>223.1</v>
      </c>
      <c r="B1457">
        <v>447.9</v>
      </c>
    </row>
    <row r="1458" spans="1:2">
      <c r="A1458">
        <v>225.3</v>
      </c>
      <c r="B1458">
        <v>449.8</v>
      </c>
    </row>
    <row r="1459" spans="1:2">
      <c r="A1459">
        <v>225.3</v>
      </c>
      <c r="B1459">
        <v>453</v>
      </c>
    </row>
    <row r="1460" spans="1:2">
      <c r="A1460">
        <v>222</v>
      </c>
      <c r="B1460">
        <v>456.4</v>
      </c>
    </row>
    <row r="1461" spans="1:2">
      <c r="A1461">
        <v>222.4</v>
      </c>
      <c r="B1461">
        <v>458.2</v>
      </c>
    </row>
    <row r="1462" spans="1:2">
      <c r="A1462">
        <v>226.8</v>
      </c>
      <c r="B1462">
        <v>459.4</v>
      </c>
    </row>
    <row r="1463" spans="1:2">
      <c r="A1463">
        <v>227.7</v>
      </c>
      <c r="B1463">
        <v>457.3</v>
      </c>
    </row>
    <row r="1464" spans="1:2">
      <c r="A1464">
        <v>229</v>
      </c>
      <c r="B1464">
        <v>460.2</v>
      </c>
    </row>
    <row r="1465" spans="1:2">
      <c r="A1465">
        <v>230.9</v>
      </c>
      <c r="B1465">
        <v>460.7</v>
      </c>
    </row>
    <row r="1467" spans="1:2">
      <c r="A1467">
        <v>222</v>
      </c>
      <c r="B1467">
        <v>456.4</v>
      </c>
    </row>
    <row r="1468" spans="1:2">
      <c r="A1468">
        <v>224.9</v>
      </c>
      <c r="B1468">
        <v>454.2</v>
      </c>
    </row>
    <row r="1469" spans="1:2">
      <c r="A1469">
        <v>225.3</v>
      </c>
      <c r="B1469">
        <v>449.8</v>
      </c>
    </row>
    <row r="1470" spans="1:2">
      <c r="A1470">
        <v>223.1</v>
      </c>
      <c r="B1470">
        <v>448</v>
      </c>
    </row>
    <row r="1471" spans="1:2">
      <c r="A1471">
        <v>223.1</v>
      </c>
      <c r="B1471">
        <v>445.6</v>
      </c>
    </row>
    <row r="1472" spans="1:2">
      <c r="A1472">
        <v>217.7</v>
      </c>
      <c r="B1472">
        <v>445.2</v>
      </c>
    </row>
    <row r="1473" spans="1:2">
      <c r="A1473">
        <v>215.7</v>
      </c>
      <c r="B1473">
        <v>448.2</v>
      </c>
    </row>
    <row r="1474" spans="1:2">
      <c r="A1474">
        <v>217.5</v>
      </c>
      <c r="B1474">
        <v>450.9</v>
      </c>
    </row>
    <row r="1475" spans="1:2">
      <c r="A1475">
        <v>216.6</v>
      </c>
      <c r="B1475">
        <v>450.1</v>
      </c>
    </row>
    <row r="1476" spans="1:2">
      <c r="A1476">
        <v>215.7</v>
      </c>
      <c r="B1476">
        <v>451.3</v>
      </c>
    </row>
    <row r="1477" spans="1:2">
      <c r="A1477">
        <v>217.8</v>
      </c>
      <c r="B1477">
        <v>452.8</v>
      </c>
    </row>
    <row r="1478" spans="1:2">
      <c r="A1478">
        <v>218.6</v>
      </c>
      <c r="B1478">
        <v>456.6</v>
      </c>
    </row>
    <row r="1479" spans="1:2">
      <c r="A1479">
        <v>222</v>
      </c>
      <c r="B1479">
        <v>456.4</v>
      </c>
    </row>
    <row r="1481" spans="1:2">
      <c r="A1481">
        <v>214.8</v>
      </c>
      <c r="B1481">
        <v>460.7</v>
      </c>
    </row>
    <row r="1482" spans="1:2">
      <c r="A1482">
        <v>220.2</v>
      </c>
      <c r="B1482">
        <v>457.9</v>
      </c>
    </row>
    <row r="1483" spans="1:2">
      <c r="A1483">
        <v>222.1</v>
      </c>
      <c r="B1483">
        <v>458.6</v>
      </c>
    </row>
    <row r="1484" spans="1:2">
      <c r="A1484">
        <v>222.5</v>
      </c>
      <c r="B1484">
        <v>457</v>
      </c>
    </row>
    <row r="1485" spans="1:2">
      <c r="A1485">
        <v>218.6</v>
      </c>
      <c r="B1485">
        <v>456.6</v>
      </c>
    </row>
    <row r="1486" spans="1:2">
      <c r="A1486">
        <v>217.8</v>
      </c>
      <c r="B1486">
        <v>454.1</v>
      </c>
    </row>
    <row r="1487" spans="1:2">
      <c r="A1487">
        <v>215.3</v>
      </c>
      <c r="B1487">
        <v>453.9</v>
      </c>
    </row>
    <row r="1488" spans="1:2">
      <c r="A1488">
        <v>211.4</v>
      </c>
      <c r="B1488">
        <v>460.3</v>
      </c>
    </row>
    <row r="1489" spans="1:2">
      <c r="A1489">
        <v>212.4</v>
      </c>
      <c r="B1489">
        <v>462</v>
      </c>
    </row>
    <row r="1490" spans="1:2">
      <c r="A1490">
        <v>214.8</v>
      </c>
      <c r="B1490">
        <v>460.7</v>
      </c>
    </row>
    <row r="1492" spans="1:2">
      <c r="A1492">
        <v>209.1</v>
      </c>
      <c r="B1492">
        <v>530.70000000000005</v>
      </c>
    </row>
    <row r="1493" spans="1:2">
      <c r="A1493">
        <v>211.5</v>
      </c>
      <c r="B1493">
        <v>528.5</v>
      </c>
    </row>
    <row r="1494" spans="1:2">
      <c r="A1494">
        <v>205.6</v>
      </c>
      <c r="B1494">
        <v>521.1</v>
      </c>
    </row>
    <row r="1495" spans="1:2">
      <c r="A1495">
        <v>204.5</v>
      </c>
      <c r="B1495">
        <v>512.79999999999995</v>
      </c>
    </row>
    <row r="1496" spans="1:2">
      <c r="A1496">
        <v>202.3</v>
      </c>
      <c r="B1496">
        <v>512.70000000000005</v>
      </c>
    </row>
    <row r="1497" spans="1:2">
      <c r="A1497">
        <v>201.4</v>
      </c>
      <c r="B1497">
        <v>511</v>
      </c>
    </row>
    <row r="1498" spans="1:2">
      <c r="A1498">
        <v>201.6</v>
      </c>
      <c r="B1498">
        <v>507.3</v>
      </c>
    </row>
    <row r="1499" spans="1:2">
      <c r="A1499">
        <v>204.6</v>
      </c>
      <c r="B1499">
        <v>506.9</v>
      </c>
    </row>
    <row r="1500" spans="1:2">
      <c r="A1500">
        <v>203.9</v>
      </c>
      <c r="B1500">
        <v>503</v>
      </c>
    </row>
    <row r="1501" spans="1:2">
      <c r="A1501">
        <v>200.2</v>
      </c>
      <c r="B1501">
        <v>500</v>
      </c>
    </row>
    <row r="1502" spans="1:2">
      <c r="A1502">
        <v>197.4</v>
      </c>
      <c r="B1502">
        <v>501.3</v>
      </c>
    </row>
    <row r="1503" spans="1:2">
      <c r="A1503">
        <v>193.7</v>
      </c>
      <c r="B1503">
        <v>500.1</v>
      </c>
    </row>
    <row r="1504" spans="1:2">
      <c r="A1504">
        <v>192.3</v>
      </c>
      <c r="B1504">
        <v>501.5</v>
      </c>
    </row>
    <row r="1505" spans="1:2">
      <c r="A1505">
        <v>190.2</v>
      </c>
      <c r="B1505">
        <v>497.9</v>
      </c>
    </row>
    <row r="1506" spans="1:2">
      <c r="A1506">
        <v>186</v>
      </c>
      <c r="B1506">
        <v>498</v>
      </c>
    </row>
    <row r="1507" spans="1:2">
      <c r="A1507">
        <v>182.9</v>
      </c>
      <c r="B1507">
        <v>496.3</v>
      </c>
    </row>
    <row r="1508" spans="1:2">
      <c r="A1508">
        <v>181.5</v>
      </c>
      <c r="B1508">
        <v>497.5</v>
      </c>
    </row>
    <row r="1509" spans="1:2">
      <c r="A1509">
        <v>182</v>
      </c>
      <c r="B1509">
        <v>500.9</v>
      </c>
    </row>
    <row r="1510" spans="1:2">
      <c r="A1510">
        <v>180.5</v>
      </c>
      <c r="B1510">
        <v>506.2</v>
      </c>
    </row>
    <row r="1511" spans="1:2">
      <c r="A1511">
        <v>181.2</v>
      </c>
      <c r="B1511">
        <v>512.1</v>
      </c>
    </row>
    <row r="1512" spans="1:2">
      <c r="A1512">
        <v>180.2</v>
      </c>
      <c r="B1512">
        <v>512.70000000000005</v>
      </c>
    </row>
    <row r="1513" spans="1:2">
      <c r="A1513">
        <v>183.1</v>
      </c>
      <c r="B1513">
        <v>515.70000000000005</v>
      </c>
    </row>
    <row r="1514" spans="1:2">
      <c r="A1514">
        <v>181.4</v>
      </c>
      <c r="B1514">
        <v>515.9</v>
      </c>
    </row>
    <row r="1515" spans="1:2">
      <c r="A1515">
        <v>182.2</v>
      </c>
      <c r="B1515">
        <v>520.5</v>
      </c>
    </row>
    <row r="1516" spans="1:2">
      <c r="A1516">
        <v>180.8</v>
      </c>
      <c r="B1516">
        <v>521.20000000000005</v>
      </c>
    </row>
    <row r="1517" spans="1:2">
      <c r="A1517">
        <v>181.2</v>
      </c>
      <c r="B1517">
        <v>525.1</v>
      </c>
    </row>
    <row r="1518" spans="1:2">
      <c r="A1518">
        <v>184.1</v>
      </c>
      <c r="B1518">
        <v>527.20000000000005</v>
      </c>
    </row>
    <row r="1519" spans="1:2">
      <c r="A1519">
        <v>187</v>
      </c>
      <c r="B1519">
        <v>526.29999999999995</v>
      </c>
    </row>
    <row r="1520" spans="1:2">
      <c r="A1520">
        <v>192.2</v>
      </c>
      <c r="B1520">
        <v>529.29999999999995</v>
      </c>
    </row>
    <row r="1521" spans="1:2">
      <c r="A1521">
        <v>194.3</v>
      </c>
      <c r="B1521">
        <v>525.4</v>
      </c>
    </row>
    <row r="1522" spans="1:2">
      <c r="A1522">
        <v>196.8</v>
      </c>
      <c r="B1522">
        <v>528.5</v>
      </c>
    </row>
    <row r="1523" spans="1:2">
      <c r="A1523">
        <v>200.1</v>
      </c>
      <c r="B1523">
        <v>526.29999999999995</v>
      </c>
    </row>
    <row r="1524" spans="1:2">
      <c r="A1524">
        <v>200.9</v>
      </c>
      <c r="B1524">
        <v>529.4</v>
      </c>
    </row>
    <row r="1525" spans="1:2">
      <c r="A1525">
        <v>204.6</v>
      </c>
      <c r="B1525">
        <v>527.9</v>
      </c>
    </row>
    <row r="1526" spans="1:2">
      <c r="A1526">
        <v>209.1</v>
      </c>
      <c r="B1526">
        <v>530.70000000000005</v>
      </c>
    </row>
    <row r="1528" spans="1:2">
      <c r="A1528">
        <v>251.4</v>
      </c>
      <c r="B1528">
        <v>460.6</v>
      </c>
    </row>
    <row r="1529" spans="1:2">
      <c r="A1529">
        <v>257.8</v>
      </c>
      <c r="B1529">
        <v>455.4</v>
      </c>
    </row>
    <row r="1530" spans="1:2">
      <c r="A1530">
        <v>255.3</v>
      </c>
      <c r="B1530">
        <v>441.5</v>
      </c>
    </row>
    <row r="1531" spans="1:2">
      <c r="A1531">
        <v>259.89999999999998</v>
      </c>
      <c r="B1531">
        <v>440.2</v>
      </c>
    </row>
    <row r="1532" spans="1:2">
      <c r="A1532">
        <v>260.2</v>
      </c>
      <c r="B1532">
        <v>442.1</v>
      </c>
    </row>
    <row r="1533" spans="1:2">
      <c r="A1533">
        <v>262.10000000000002</v>
      </c>
      <c r="B1533">
        <v>442.3</v>
      </c>
    </row>
    <row r="1534" spans="1:2">
      <c r="A1534">
        <v>263.8</v>
      </c>
      <c r="B1534">
        <v>439.5</v>
      </c>
    </row>
    <row r="1535" spans="1:2">
      <c r="A1535">
        <v>265.39999999999998</v>
      </c>
      <c r="B1535">
        <v>439.3</v>
      </c>
    </row>
    <row r="1536" spans="1:2">
      <c r="A1536">
        <v>265.5</v>
      </c>
      <c r="B1536">
        <v>432.5</v>
      </c>
    </row>
    <row r="1537" spans="1:2">
      <c r="A1537">
        <v>262.10000000000002</v>
      </c>
      <c r="B1537">
        <v>431.3</v>
      </c>
    </row>
    <row r="1538" spans="1:2">
      <c r="A1538">
        <v>262.89999999999998</v>
      </c>
      <c r="B1538">
        <v>429.2</v>
      </c>
    </row>
    <row r="1539" spans="1:2">
      <c r="A1539">
        <v>260.60000000000002</v>
      </c>
      <c r="B1539">
        <v>430</v>
      </c>
    </row>
    <row r="1540" spans="1:2">
      <c r="A1540">
        <v>258.7</v>
      </c>
      <c r="B1540">
        <v>426.3</v>
      </c>
    </row>
    <row r="1541" spans="1:2">
      <c r="A1541">
        <v>255.3</v>
      </c>
      <c r="B1541">
        <v>428.1</v>
      </c>
    </row>
    <row r="1542" spans="1:2">
      <c r="A1542">
        <v>252.7</v>
      </c>
      <c r="B1542">
        <v>427.6</v>
      </c>
    </row>
    <row r="1543" spans="1:2">
      <c r="A1543">
        <v>255.2</v>
      </c>
      <c r="B1543">
        <v>430.6</v>
      </c>
    </row>
    <row r="1544" spans="1:2">
      <c r="A1544">
        <v>253.7</v>
      </c>
      <c r="B1544">
        <v>435.1</v>
      </c>
    </row>
    <row r="1545" spans="1:2">
      <c r="A1545">
        <v>246.3</v>
      </c>
      <c r="B1545">
        <v>438.3</v>
      </c>
    </row>
    <row r="1546" spans="1:2">
      <c r="A1546">
        <v>245.9</v>
      </c>
      <c r="B1546">
        <v>441.6</v>
      </c>
    </row>
    <row r="1547" spans="1:2">
      <c r="A1547">
        <v>242.6</v>
      </c>
      <c r="B1547">
        <v>441.9</v>
      </c>
    </row>
    <row r="1548" spans="1:2">
      <c r="A1548">
        <v>242.4</v>
      </c>
      <c r="B1548">
        <v>443.9</v>
      </c>
    </row>
    <row r="1549" spans="1:2">
      <c r="A1549">
        <v>238.9</v>
      </c>
      <c r="B1549">
        <v>445.6</v>
      </c>
    </row>
    <row r="1550" spans="1:2">
      <c r="A1550">
        <v>240.5</v>
      </c>
      <c r="B1550">
        <v>451.8</v>
      </c>
    </row>
    <row r="1551" spans="1:2">
      <c r="A1551">
        <v>239.8</v>
      </c>
      <c r="B1551">
        <v>453</v>
      </c>
    </row>
    <row r="1552" spans="1:2">
      <c r="A1552">
        <v>241.8</v>
      </c>
      <c r="B1552">
        <v>456</v>
      </c>
    </row>
    <row r="1553" spans="1:2">
      <c r="A1553">
        <v>245.4</v>
      </c>
      <c r="B1553">
        <v>457.2</v>
      </c>
    </row>
    <row r="1554" spans="1:2">
      <c r="A1554">
        <v>248.7</v>
      </c>
      <c r="B1554">
        <v>460.6</v>
      </c>
    </row>
    <row r="1555" spans="1:2">
      <c r="A1555">
        <v>251.4</v>
      </c>
      <c r="B1555">
        <v>460.6</v>
      </c>
    </row>
    <row r="1557" spans="1:2">
      <c r="A1557">
        <v>233.6</v>
      </c>
      <c r="B1557">
        <v>438.3</v>
      </c>
    </row>
    <row r="1558" spans="1:2">
      <c r="A1558">
        <v>237</v>
      </c>
      <c r="B1558">
        <v>433.2</v>
      </c>
    </row>
    <row r="1559" spans="1:2">
      <c r="A1559">
        <v>238.6</v>
      </c>
      <c r="B1559">
        <v>434.7</v>
      </c>
    </row>
    <row r="1560" spans="1:2">
      <c r="A1560">
        <v>240.8</v>
      </c>
      <c r="B1560">
        <v>432.7</v>
      </c>
    </row>
    <row r="1561" spans="1:2">
      <c r="A1561">
        <v>244.1</v>
      </c>
      <c r="B1561">
        <v>433.5</v>
      </c>
    </row>
    <row r="1562" spans="1:2">
      <c r="A1562">
        <v>246.3</v>
      </c>
      <c r="B1562">
        <v>431.4</v>
      </c>
    </row>
    <row r="1563" spans="1:2">
      <c r="A1563">
        <v>247.1</v>
      </c>
      <c r="B1563">
        <v>433.9</v>
      </c>
    </row>
    <row r="1564" spans="1:2">
      <c r="A1564">
        <v>246.1</v>
      </c>
      <c r="B1564">
        <v>434.7</v>
      </c>
    </row>
    <row r="1565" spans="1:2">
      <c r="A1565">
        <v>247.9</v>
      </c>
      <c r="B1565">
        <v>437.9</v>
      </c>
    </row>
    <row r="1566" spans="1:2">
      <c r="A1566">
        <v>253.6</v>
      </c>
      <c r="B1566">
        <v>435.2</v>
      </c>
    </row>
    <row r="1567" spans="1:2">
      <c r="A1567">
        <v>255.1</v>
      </c>
      <c r="B1567">
        <v>432.8</v>
      </c>
    </row>
    <row r="1568" spans="1:2">
      <c r="A1568">
        <v>254.3</v>
      </c>
      <c r="B1568">
        <v>428.5</v>
      </c>
    </row>
    <row r="1569" spans="1:2">
      <c r="A1569">
        <v>251</v>
      </c>
      <c r="B1569">
        <v>427.6</v>
      </c>
    </row>
    <row r="1570" spans="1:2">
      <c r="A1570">
        <v>249.1</v>
      </c>
      <c r="B1570">
        <v>423</v>
      </c>
    </row>
    <row r="1571" spans="1:2">
      <c r="A1571">
        <v>244.4</v>
      </c>
      <c r="B1571">
        <v>421.5</v>
      </c>
    </row>
    <row r="1572" spans="1:2">
      <c r="A1572">
        <v>243.7</v>
      </c>
      <c r="B1572">
        <v>420</v>
      </c>
    </row>
    <row r="1573" spans="1:2">
      <c r="A1573">
        <v>245.1</v>
      </c>
      <c r="B1573">
        <v>418.3</v>
      </c>
    </row>
    <row r="1574" spans="1:2">
      <c r="A1574">
        <v>242.9</v>
      </c>
      <c r="B1574">
        <v>416.3</v>
      </c>
    </row>
    <row r="1575" spans="1:2">
      <c r="A1575">
        <v>240.6</v>
      </c>
      <c r="B1575">
        <v>416.7</v>
      </c>
    </row>
    <row r="1576" spans="1:2">
      <c r="A1576">
        <v>235.9</v>
      </c>
      <c r="B1576">
        <v>414.4</v>
      </c>
    </row>
    <row r="1577" spans="1:2">
      <c r="A1577">
        <v>236.5</v>
      </c>
      <c r="B1577">
        <v>412.8</v>
      </c>
    </row>
    <row r="1578" spans="1:2">
      <c r="A1578">
        <v>235.2</v>
      </c>
      <c r="B1578">
        <v>410.3</v>
      </c>
    </row>
    <row r="1579" spans="1:2">
      <c r="A1579">
        <v>232.1</v>
      </c>
      <c r="B1579">
        <v>413.4</v>
      </c>
    </row>
    <row r="1580" spans="1:2">
      <c r="A1580">
        <v>228.4</v>
      </c>
      <c r="B1580">
        <v>414.3</v>
      </c>
    </row>
    <row r="1581" spans="1:2">
      <c r="A1581">
        <v>227.8</v>
      </c>
      <c r="B1581">
        <v>416.5</v>
      </c>
    </row>
    <row r="1582" spans="1:2">
      <c r="A1582">
        <v>225.6</v>
      </c>
      <c r="B1582">
        <v>417.8</v>
      </c>
    </row>
    <row r="1583" spans="1:2">
      <c r="A1583">
        <v>220.6</v>
      </c>
      <c r="B1583">
        <v>418.4</v>
      </c>
    </row>
    <row r="1584" spans="1:2">
      <c r="A1584">
        <v>223.5</v>
      </c>
      <c r="B1584">
        <v>421.6</v>
      </c>
    </row>
    <row r="1585" spans="1:2">
      <c r="A1585">
        <v>223.4</v>
      </c>
      <c r="B1585">
        <v>424.8</v>
      </c>
    </row>
    <row r="1586" spans="1:2">
      <c r="A1586">
        <v>219.9</v>
      </c>
      <c r="B1586">
        <v>424.7</v>
      </c>
    </row>
    <row r="1587" spans="1:2">
      <c r="A1587">
        <v>219.3</v>
      </c>
      <c r="B1587">
        <v>425.7</v>
      </c>
    </row>
    <row r="1588" spans="1:2">
      <c r="A1588">
        <v>221.4</v>
      </c>
      <c r="B1588">
        <v>428.2</v>
      </c>
    </row>
    <row r="1589" spans="1:2">
      <c r="A1589">
        <v>218.9</v>
      </c>
      <c r="B1589">
        <v>429.2</v>
      </c>
    </row>
    <row r="1590" spans="1:2">
      <c r="A1590">
        <v>220.9</v>
      </c>
      <c r="B1590">
        <v>430.2</v>
      </c>
    </row>
    <row r="1591" spans="1:2">
      <c r="A1591">
        <v>220.8</v>
      </c>
      <c r="B1591">
        <v>431.7</v>
      </c>
    </row>
    <row r="1592" spans="1:2">
      <c r="A1592">
        <v>226.3</v>
      </c>
      <c r="B1592">
        <v>430.9</v>
      </c>
    </row>
    <row r="1593" spans="1:2">
      <c r="A1593">
        <v>228.2</v>
      </c>
      <c r="B1593">
        <v>433.8</v>
      </c>
    </row>
    <row r="1594" spans="1:2">
      <c r="A1594">
        <v>231.9</v>
      </c>
      <c r="B1594">
        <v>435.1</v>
      </c>
    </row>
    <row r="1595" spans="1:2">
      <c r="A1595">
        <v>231.9</v>
      </c>
      <c r="B1595">
        <v>437.5</v>
      </c>
    </row>
    <row r="1596" spans="1:2">
      <c r="A1596">
        <v>233.6</v>
      </c>
      <c r="B1596">
        <v>438.3</v>
      </c>
    </row>
    <row r="1598" spans="1:2">
      <c r="A1598">
        <v>172.8</v>
      </c>
      <c r="B1598">
        <v>504.3</v>
      </c>
    </row>
    <row r="1599" spans="1:2">
      <c r="A1599">
        <v>180.5</v>
      </c>
      <c r="B1599">
        <v>506.2</v>
      </c>
    </row>
    <row r="1600" spans="1:2">
      <c r="A1600">
        <v>182</v>
      </c>
      <c r="B1600">
        <v>500.9</v>
      </c>
    </row>
    <row r="1601" spans="1:2">
      <c r="A1601">
        <v>181.4</v>
      </c>
      <c r="B1601">
        <v>495.1</v>
      </c>
    </row>
    <row r="1602" spans="1:2">
      <c r="A1602">
        <v>192.7</v>
      </c>
      <c r="B1602">
        <v>487.2</v>
      </c>
    </row>
    <row r="1603" spans="1:2">
      <c r="A1603">
        <v>191.9</v>
      </c>
      <c r="B1603">
        <v>484.7</v>
      </c>
    </row>
    <row r="1604" spans="1:2">
      <c r="A1604">
        <v>188.3</v>
      </c>
      <c r="B1604">
        <v>484.5</v>
      </c>
    </row>
    <row r="1605" spans="1:2">
      <c r="A1605">
        <v>180</v>
      </c>
      <c r="B1605">
        <v>490.8</v>
      </c>
    </row>
    <row r="1606" spans="1:2">
      <c r="A1606">
        <v>177.3</v>
      </c>
      <c r="B1606">
        <v>487</v>
      </c>
    </row>
    <row r="1607" spans="1:2">
      <c r="A1607">
        <v>174.3</v>
      </c>
      <c r="B1607">
        <v>485.9</v>
      </c>
    </row>
    <row r="1608" spans="1:2">
      <c r="A1608">
        <v>171.5</v>
      </c>
      <c r="B1608">
        <v>486.8</v>
      </c>
    </row>
    <row r="1609" spans="1:2">
      <c r="A1609">
        <v>169</v>
      </c>
      <c r="B1609">
        <v>492.6</v>
      </c>
    </row>
    <row r="1610" spans="1:2">
      <c r="A1610">
        <v>170.1</v>
      </c>
      <c r="B1610">
        <v>493.5</v>
      </c>
    </row>
    <row r="1611" spans="1:2">
      <c r="A1611">
        <v>168.6</v>
      </c>
      <c r="B1611">
        <v>494.7</v>
      </c>
    </row>
    <row r="1612" spans="1:2">
      <c r="A1612">
        <v>169</v>
      </c>
      <c r="B1612">
        <v>502.8</v>
      </c>
    </row>
    <row r="1613" spans="1:2">
      <c r="A1613">
        <v>167.7</v>
      </c>
      <c r="B1613">
        <v>505.2</v>
      </c>
    </row>
    <row r="1614" spans="1:2">
      <c r="A1614">
        <v>168.2</v>
      </c>
      <c r="B1614">
        <v>507.3</v>
      </c>
    </row>
    <row r="1615" spans="1:2">
      <c r="A1615">
        <v>172.8</v>
      </c>
      <c r="B1615">
        <v>504.3</v>
      </c>
    </row>
    <row r="1617" spans="1:2">
      <c r="A1617">
        <v>187.5</v>
      </c>
      <c r="B1617">
        <v>425.9</v>
      </c>
    </row>
    <row r="1618" spans="1:2">
      <c r="A1618">
        <v>188.7</v>
      </c>
      <c r="B1618">
        <v>427.8</v>
      </c>
    </row>
    <row r="1619" spans="1:2">
      <c r="A1619">
        <v>181.5</v>
      </c>
      <c r="B1619">
        <v>434.5</v>
      </c>
    </row>
    <row r="1620" spans="1:2">
      <c r="A1620">
        <v>182</v>
      </c>
      <c r="B1620">
        <v>437.3</v>
      </c>
    </row>
    <row r="1621" spans="1:2">
      <c r="A1621">
        <v>180.3</v>
      </c>
      <c r="B1621">
        <v>436.7</v>
      </c>
    </row>
    <row r="1622" spans="1:2">
      <c r="A1622">
        <v>183.4</v>
      </c>
      <c r="B1622">
        <v>438.1</v>
      </c>
    </row>
    <row r="1623" spans="1:2">
      <c r="A1623">
        <v>182.2</v>
      </c>
      <c r="B1623">
        <v>439.2</v>
      </c>
    </row>
    <row r="1624" spans="1:2">
      <c r="A1624">
        <v>179.4</v>
      </c>
      <c r="B1624">
        <v>438.5</v>
      </c>
    </row>
    <row r="1625" spans="1:2">
      <c r="A1625">
        <v>179.7</v>
      </c>
      <c r="B1625">
        <v>441.4</v>
      </c>
    </row>
    <row r="1626" spans="1:2">
      <c r="A1626">
        <v>181.1</v>
      </c>
      <c r="B1626">
        <v>442.3</v>
      </c>
    </row>
    <row r="1627" spans="1:2">
      <c r="A1627">
        <v>179.3</v>
      </c>
      <c r="B1627">
        <v>441.7</v>
      </c>
    </row>
    <row r="1628" spans="1:2">
      <c r="A1628">
        <v>179.7</v>
      </c>
      <c r="B1628">
        <v>450.9</v>
      </c>
    </row>
    <row r="1629" spans="1:2">
      <c r="A1629">
        <v>177.9</v>
      </c>
      <c r="B1629">
        <v>452.8</v>
      </c>
    </row>
    <row r="1630" spans="1:2">
      <c r="A1630">
        <v>179.1</v>
      </c>
      <c r="B1630">
        <v>451.9</v>
      </c>
    </row>
    <row r="1631" spans="1:2">
      <c r="A1631">
        <v>180.4</v>
      </c>
      <c r="B1631">
        <v>453.3</v>
      </c>
    </row>
    <row r="1632" spans="1:2">
      <c r="A1632">
        <v>177.9</v>
      </c>
      <c r="B1632">
        <v>453.1</v>
      </c>
    </row>
    <row r="1633" spans="1:2">
      <c r="A1633">
        <v>182.4</v>
      </c>
      <c r="B1633">
        <v>452.2</v>
      </c>
    </row>
    <row r="1634" spans="1:2">
      <c r="A1634">
        <v>181.3</v>
      </c>
      <c r="B1634">
        <v>451.4</v>
      </c>
    </row>
    <row r="1635" spans="1:2">
      <c r="A1635">
        <v>182</v>
      </c>
      <c r="B1635">
        <v>449.6</v>
      </c>
    </row>
    <row r="1636" spans="1:2">
      <c r="A1636">
        <v>190.2</v>
      </c>
      <c r="B1636">
        <v>448.7</v>
      </c>
    </row>
    <row r="1637" spans="1:2">
      <c r="A1637">
        <v>191</v>
      </c>
      <c r="B1637">
        <v>446.7</v>
      </c>
    </row>
    <row r="1638" spans="1:2">
      <c r="A1638">
        <v>191.7</v>
      </c>
      <c r="B1638">
        <v>450.7</v>
      </c>
    </row>
    <row r="1639" spans="1:2">
      <c r="A1639">
        <v>193.5</v>
      </c>
      <c r="B1639">
        <v>450.8</v>
      </c>
    </row>
    <row r="1640" spans="1:2">
      <c r="A1640">
        <v>192.9</v>
      </c>
      <c r="B1640">
        <v>453.6</v>
      </c>
    </row>
    <row r="1641" spans="1:2">
      <c r="A1641">
        <v>196.8</v>
      </c>
      <c r="B1641">
        <v>449.6</v>
      </c>
    </row>
    <row r="1642" spans="1:2">
      <c r="A1642">
        <v>199.1</v>
      </c>
      <c r="B1642">
        <v>451.8</v>
      </c>
    </row>
    <row r="1643" spans="1:2">
      <c r="A1643">
        <v>198</v>
      </c>
      <c r="B1643">
        <v>452.2</v>
      </c>
    </row>
    <row r="1644" spans="1:2">
      <c r="A1644">
        <v>202.5</v>
      </c>
      <c r="B1644">
        <v>453.3</v>
      </c>
    </row>
    <row r="1645" spans="1:2">
      <c r="A1645">
        <v>207.5</v>
      </c>
      <c r="B1645">
        <v>446.6</v>
      </c>
    </row>
    <row r="1646" spans="1:2">
      <c r="A1646">
        <v>211.9</v>
      </c>
      <c r="B1646">
        <v>446.1</v>
      </c>
    </row>
    <row r="1647" spans="1:2">
      <c r="A1647">
        <v>213.6</v>
      </c>
      <c r="B1647">
        <v>448.6</v>
      </c>
    </row>
    <row r="1648" spans="1:2">
      <c r="A1648">
        <v>213.6</v>
      </c>
      <c r="B1648">
        <v>447.3</v>
      </c>
    </row>
    <row r="1649" spans="1:2">
      <c r="A1649">
        <v>215.9</v>
      </c>
      <c r="B1649">
        <v>447.8</v>
      </c>
    </row>
    <row r="1650" spans="1:2">
      <c r="A1650">
        <v>217.7</v>
      </c>
      <c r="B1650">
        <v>445.2</v>
      </c>
    </row>
    <row r="1651" spans="1:2">
      <c r="A1651">
        <v>223.3</v>
      </c>
      <c r="B1651">
        <v>445.4</v>
      </c>
    </row>
    <row r="1652" spans="1:2">
      <c r="A1652">
        <v>224.1</v>
      </c>
      <c r="B1652">
        <v>441.3</v>
      </c>
    </row>
    <row r="1653" spans="1:2">
      <c r="A1653">
        <v>221.6</v>
      </c>
      <c r="B1653">
        <v>440.1</v>
      </c>
    </row>
    <row r="1654" spans="1:2">
      <c r="A1654">
        <v>220.8</v>
      </c>
      <c r="B1654">
        <v>437.4</v>
      </c>
    </row>
    <row r="1655" spans="1:2">
      <c r="A1655">
        <v>219.1</v>
      </c>
      <c r="B1655">
        <v>437.2</v>
      </c>
    </row>
    <row r="1656" spans="1:2">
      <c r="A1656">
        <v>216.6</v>
      </c>
      <c r="B1656">
        <v>439.4</v>
      </c>
    </row>
    <row r="1657" spans="1:2">
      <c r="A1657">
        <v>215.6</v>
      </c>
      <c r="B1657">
        <v>443.3</v>
      </c>
    </row>
    <row r="1658" spans="1:2">
      <c r="A1658">
        <v>210.7</v>
      </c>
      <c r="B1658">
        <v>442.7</v>
      </c>
    </row>
    <row r="1659" spans="1:2">
      <c r="A1659">
        <v>209.6</v>
      </c>
      <c r="B1659">
        <v>440.8</v>
      </c>
    </row>
    <row r="1660" spans="1:2">
      <c r="A1660">
        <v>212.2</v>
      </c>
      <c r="B1660">
        <v>439.6</v>
      </c>
    </row>
    <row r="1661" spans="1:2">
      <c r="A1661">
        <v>213.1</v>
      </c>
      <c r="B1661">
        <v>436.6</v>
      </c>
    </row>
    <row r="1662" spans="1:2">
      <c r="A1662">
        <v>209.8</v>
      </c>
      <c r="B1662">
        <v>435.4</v>
      </c>
    </row>
    <row r="1663" spans="1:2">
      <c r="A1663">
        <v>209.7</v>
      </c>
      <c r="B1663">
        <v>429.3</v>
      </c>
    </row>
    <row r="1664" spans="1:2">
      <c r="A1664">
        <v>199.8</v>
      </c>
      <c r="B1664">
        <v>429.1</v>
      </c>
    </row>
    <row r="1665" spans="1:2">
      <c r="A1665">
        <v>196.2</v>
      </c>
      <c r="B1665">
        <v>423.4</v>
      </c>
    </row>
    <row r="1666" spans="1:2">
      <c r="A1666">
        <v>192.3</v>
      </c>
      <c r="B1666">
        <v>423.3</v>
      </c>
    </row>
    <row r="1667" spans="1:2">
      <c r="A1667">
        <v>191.6</v>
      </c>
      <c r="B1667">
        <v>425</v>
      </c>
    </row>
    <row r="1668" spans="1:2">
      <c r="A1668">
        <v>187.5</v>
      </c>
      <c r="B1668">
        <v>425.9</v>
      </c>
    </row>
    <row r="1670" spans="1:2">
      <c r="A1670">
        <v>241.1</v>
      </c>
      <c r="B1670">
        <v>479.7</v>
      </c>
    </row>
    <row r="1671" spans="1:2">
      <c r="A1671">
        <v>243.7</v>
      </c>
      <c r="B1671">
        <v>475.7</v>
      </c>
    </row>
    <row r="1672" spans="1:2">
      <c r="A1672">
        <v>242.6</v>
      </c>
      <c r="B1672">
        <v>469.9</v>
      </c>
    </row>
    <row r="1673" spans="1:2">
      <c r="A1673">
        <v>246.8</v>
      </c>
      <c r="B1673">
        <v>463.6</v>
      </c>
    </row>
    <row r="1674" spans="1:2">
      <c r="A1674">
        <v>248.8</v>
      </c>
      <c r="B1674">
        <v>463.7</v>
      </c>
    </row>
    <row r="1675" spans="1:2">
      <c r="A1675">
        <v>249</v>
      </c>
      <c r="B1675">
        <v>461</v>
      </c>
    </row>
    <row r="1676" spans="1:2">
      <c r="A1676">
        <v>245.4</v>
      </c>
      <c r="B1676">
        <v>457.2</v>
      </c>
    </row>
    <row r="1677" spans="1:2">
      <c r="A1677">
        <v>241.8</v>
      </c>
      <c r="B1677">
        <v>456</v>
      </c>
    </row>
    <row r="1678" spans="1:2">
      <c r="A1678">
        <v>239.8</v>
      </c>
      <c r="B1678">
        <v>453</v>
      </c>
    </row>
    <row r="1679" spans="1:2">
      <c r="A1679">
        <v>240.2</v>
      </c>
      <c r="B1679">
        <v>451.4</v>
      </c>
    </row>
    <row r="1680" spans="1:2">
      <c r="A1680">
        <v>236</v>
      </c>
      <c r="B1680">
        <v>450.5</v>
      </c>
    </row>
    <row r="1681" spans="1:2">
      <c r="A1681">
        <v>234.1</v>
      </c>
      <c r="B1681">
        <v>451.5</v>
      </c>
    </row>
    <row r="1682" spans="1:2">
      <c r="A1682">
        <v>234.8</v>
      </c>
      <c r="B1682">
        <v>459.1</v>
      </c>
    </row>
    <row r="1683" spans="1:2">
      <c r="A1683">
        <v>230.8</v>
      </c>
      <c r="B1683">
        <v>460.8</v>
      </c>
    </row>
    <row r="1684" spans="1:2">
      <c r="A1684">
        <v>229</v>
      </c>
      <c r="B1684">
        <v>460.2</v>
      </c>
    </row>
    <row r="1685" spans="1:2">
      <c r="A1685">
        <v>227.7</v>
      </c>
      <c r="B1685">
        <v>457.3</v>
      </c>
    </row>
    <row r="1686" spans="1:2">
      <c r="A1686">
        <v>226.8</v>
      </c>
      <c r="B1686">
        <v>459.4</v>
      </c>
    </row>
    <row r="1687" spans="1:2">
      <c r="A1687">
        <v>222.4</v>
      </c>
      <c r="B1687">
        <v>458.2</v>
      </c>
    </row>
    <row r="1688" spans="1:2">
      <c r="A1688">
        <v>221.6</v>
      </c>
      <c r="B1688">
        <v>459.7</v>
      </c>
    </row>
    <row r="1689" spans="1:2">
      <c r="A1689">
        <v>225.4</v>
      </c>
      <c r="B1689">
        <v>463.5</v>
      </c>
    </row>
    <row r="1690" spans="1:2">
      <c r="A1690">
        <v>224.7</v>
      </c>
      <c r="B1690">
        <v>464.6</v>
      </c>
    </row>
    <row r="1691" spans="1:2">
      <c r="A1691">
        <v>227</v>
      </c>
      <c r="B1691">
        <v>467.7</v>
      </c>
    </row>
    <row r="1692" spans="1:2">
      <c r="A1692">
        <v>225.6</v>
      </c>
      <c r="B1692">
        <v>474.5</v>
      </c>
    </row>
    <row r="1693" spans="1:2">
      <c r="A1693">
        <v>231.4</v>
      </c>
      <c r="B1693">
        <v>473.4</v>
      </c>
    </row>
    <row r="1694" spans="1:2">
      <c r="A1694">
        <v>232.3</v>
      </c>
      <c r="B1694">
        <v>476.6</v>
      </c>
    </row>
    <row r="1695" spans="1:2">
      <c r="A1695">
        <v>235</v>
      </c>
      <c r="B1695">
        <v>477.4</v>
      </c>
    </row>
    <row r="1696" spans="1:2">
      <c r="A1696">
        <v>235.8</v>
      </c>
      <c r="B1696">
        <v>476.5</v>
      </c>
    </row>
    <row r="1697" spans="1:2">
      <c r="A1697">
        <v>238.4</v>
      </c>
      <c r="B1697">
        <v>479.7</v>
      </c>
    </row>
    <row r="1698" spans="1:2">
      <c r="A1698">
        <v>241.1</v>
      </c>
      <c r="B1698">
        <v>479.7</v>
      </c>
    </row>
    <row r="1700" spans="1:2">
      <c r="A1700">
        <v>208.1</v>
      </c>
      <c r="B1700">
        <v>523.20000000000005</v>
      </c>
    </row>
    <row r="1701" spans="1:2">
      <c r="A1701">
        <v>210.1</v>
      </c>
      <c r="B1701">
        <v>523</v>
      </c>
    </row>
    <row r="1702" spans="1:2">
      <c r="A1702">
        <v>210.9</v>
      </c>
      <c r="B1702">
        <v>519.70000000000005</v>
      </c>
    </row>
    <row r="1703" spans="1:2">
      <c r="A1703">
        <v>214</v>
      </c>
      <c r="B1703">
        <v>518.70000000000005</v>
      </c>
    </row>
    <row r="1704" spans="1:2">
      <c r="A1704">
        <v>215.3</v>
      </c>
      <c r="B1704">
        <v>515.79999999999995</v>
      </c>
    </row>
    <row r="1705" spans="1:2">
      <c r="A1705">
        <v>219.4</v>
      </c>
      <c r="B1705">
        <v>515.1</v>
      </c>
    </row>
    <row r="1706" spans="1:2">
      <c r="A1706">
        <v>220.7</v>
      </c>
      <c r="B1706">
        <v>509.6</v>
      </c>
    </row>
    <row r="1707" spans="1:2">
      <c r="A1707">
        <v>219</v>
      </c>
      <c r="B1707">
        <v>506</v>
      </c>
    </row>
    <row r="1708" spans="1:2">
      <c r="A1708">
        <v>215.3</v>
      </c>
      <c r="B1708">
        <v>504.2</v>
      </c>
    </row>
    <row r="1709" spans="1:2">
      <c r="A1709">
        <v>210.2</v>
      </c>
      <c r="B1709">
        <v>504.3</v>
      </c>
    </row>
    <row r="1710" spans="1:2">
      <c r="A1710">
        <v>211.6</v>
      </c>
      <c r="B1710">
        <v>498.1</v>
      </c>
    </row>
    <row r="1711" spans="1:2">
      <c r="A1711">
        <v>210.8</v>
      </c>
      <c r="B1711">
        <v>495.8</v>
      </c>
    </row>
    <row r="1712" spans="1:2">
      <c r="A1712">
        <v>206.1</v>
      </c>
      <c r="B1712">
        <v>496.8</v>
      </c>
    </row>
    <row r="1713" spans="1:2">
      <c r="A1713">
        <v>205</v>
      </c>
      <c r="B1713">
        <v>494.5</v>
      </c>
    </row>
    <row r="1714" spans="1:2">
      <c r="A1714">
        <v>202.2</v>
      </c>
      <c r="B1714">
        <v>494.1</v>
      </c>
    </row>
    <row r="1715" spans="1:2">
      <c r="A1715">
        <v>204.6</v>
      </c>
      <c r="B1715">
        <v>506.9</v>
      </c>
    </row>
    <row r="1716" spans="1:2">
      <c r="A1716">
        <v>201.6</v>
      </c>
      <c r="B1716">
        <v>507.3</v>
      </c>
    </row>
    <row r="1717" spans="1:2">
      <c r="A1717">
        <v>201.4</v>
      </c>
      <c r="B1717">
        <v>511</v>
      </c>
    </row>
    <row r="1718" spans="1:2">
      <c r="A1718">
        <v>202.3</v>
      </c>
      <c r="B1718">
        <v>512.70000000000005</v>
      </c>
    </row>
    <row r="1719" spans="1:2">
      <c r="A1719">
        <v>204.5</v>
      </c>
      <c r="B1719">
        <v>512.79999999999995</v>
      </c>
    </row>
    <row r="1720" spans="1:2">
      <c r="A1720">
        <v>205.6</v>
      </c>
      <c r="B1720">
        <v>521.1</v>
      </c>
    </row>
    <row r="1721" spans="1:2">
      <c r="A1721">
        <v>208.1</v>
      </c>
      <c r="B1721">
        <v>523.20000000000005</v>
      </c>
    </row>
    <row r="1723" spans="1:2">
      <c r="A1723">
        <v>226.6</v>
      </c>
      <c r="B1723">
        <v>550.1</v>
      </c>
    </row>
    <row r="1724" spans="1:2">
      <c r="A1724">
        <v>226.6</v>
      </c>
      <c r="B1724">
        <v>547.4</v>
      </c>
    </row>
    <row r="1725" spans="1:2">
      <c r="A1725">
        <v>229.4</v>
      </c>
      <c r="B1725">
        <v>544.79999999999995</v>
      </c>
    </row>
    <row r="1726" spans="1:2">
      <c r="A1726">
        <v>233.3</v>
      </c>
      <c r="B1726">
        <v>549.5</v>
      </c>
    </row>
    <row r="1727" spans="1:2">
      <c r="A1727">
        <v>236.1</v>
      </c>
      <c r="B1727">
        <v>549</v>
      </c>
    </row>
    <row r="1728" spans="1:2">
      <c r="A1728">
        <v>234.1</v>
      </c>
      <c r="B1728">
        <v>543.4</v>
      </c>
    </row>
    <row r="1729" spans="1:2">
      <c r="A1729">
        <v>237.1</v>
      </c>
      <c r="B1729">
        <v>542.79999999999995</v>
      </c>
    </row>
    <row r="1730" spans="1:2">
      <c r="A1730">
        <v>239.5</v>
      </c>
      <c r="B1730">
        <v>539.70000000000005</v>
      </c>
    </row>
    <row r="1731" spans="1:2">
      <c r="A1731">
        <v>243.1</v>
      </c>
      <c r="B1731">
        <v>542.79999999999995</v>
      </c>
    </row>
    <row r="1732" spans="1:2">
      <c r="A1732">
        <v>246.2</v>
      </c>
      <c r="B1732">
        <v>541</v>
      </c>
    </row>
    <row r="1733" spans="1:2">
      <c r="A1733">
        <v>247.7</v>
      </c>
      <c r="B1733">
        <v>542.4</v>
      </c>
    </row>
    <row r="1734" spans="1:2">
      <c r="A1734">
        <v>249.1</v>
      </c>
      <c r="B1734">
        <v>535.79999999999995</v>
      </c>
    </row>
    <row r="1735" spans="1:2">
      <c r="A1735">
        <v>246.1</v>
      </c>
      <c r="B1735">
        <v>529.70000000000005</v>
      </c>
    </row>
    <row r="1736" spans="1:2">
      <c r="A1736">
        <v>243.7</v>
      </c>
      <c r="B1736">
        <v>528.1</v>
      </c>
    </row>
    <row r="1737" spans="1:2">
      <c r="A1737">
        <v>243.7</v>
      </c>
      <c r="B1737">
        <v>523.79999999999995</v>
      </c>
    </row>
    <row r="1738" spans="1:2">
      <c r="A1738">
        <v>241.2</v>
      </c>
      <c r="B1738">
        <v>521.4</v>
      </c>
    </row>
    <row r="1739" spans="1:2">
      <c r="A1739">
        <v>238.9</v>
      </c>
      <c r="B1739">
        <v>521.9</v>
      </c>
    </row>
    <row r="1740" spans="1:2">
      <c r="A1740">
        <v>238.3</v>
      </c>
      <c r="B1740">
        <v>516.1</v>
      </c>
    </row>
    <row r="1741" spans="1:2">
      <c r="A1741">
        <v>235.2</v>
      </c>
      <c r="B1741">
        <v>515.79999999999995</v>
      </c>
    </row>
    <row r="1742" spans="1:2">
      <c r="A1742">
        <v>232.7</v>
      </c>
      <c r="B1742">
        <v>504.9</v>
      </c>
    </row>
    <row r="1743" spans="1:2">
      <c r="A1743">
        <v>229.7</v>
      </c>
      <c r="B1743">
        <v>503.3</v>
      </c>
    </row>
    <row r="1744" spans="1:2">
      <c r="A1744">
        <v>228.5</v>
      </c>
      <c r="B1744">
        <v>505</v>
      </c>
    </row>
    <row r="1745" spans="1:2">
      <c r="A1745">
        <v>226</v>
      </c>
      <c r="B1745">
        <v>504.5</v>
      </c>
    </row>
    <row r="1746" spans="1:2">
      <c r="A1746">
        <v>224.3</v>
      </c>
      <c r="B1746">
        <v>502.6</v>
      </c>
    </row>
    <row r="1747" spans="1:2">
      <c r="A1747">
        <v>219.3</v>
      </c>
      <c r="B1747">
        <v>506.2</v>
      </c>
    </row>
    <row r="1748" spans="1:2">
      <c r="A1748">
        <v>220.7</v>
      </c>
      <c r="B1748">
        <v>509.6</v>
      </c>
    </row>
    <row r="1749" spans="1:2">
      <c r="A1749">
        <v>219.5</v>
      </c>
      <c r="B1749">
        <v>514.9</v>
      </c>
    </row>
    <row r="1750" spans="1:2">
      <c r="A1750">
        <v>222.8</v>
      </c>
      <c r="B1750">
        <v>516.6</v>
      </c>
    </row>
    <row r="1751" spans="1:2">
      <c r="A1751">
        <v>223.6</v>
      </c>
      <c r="B1751">
        <v>518.70000000000005</v>
      </c>
    </row>
    <row r="1752" spans="1:2">
      <c r="A1752">
        <v>218.4</v>
      </c>
      <c r="B1752">
        <v>523.9</v>
      </c>
    </row>
    <row r="1753" spans="1:2">
      <c r="A1753">
        <v>217.9</v>
      </c>
      <c r="B1753">
        <v>528.20000000000005</v>
      </c>
    </row>
    <row r="1754" spans="1:2">
      <c r="A1754">
        <v>219.8</v>
      </c>
      <c r="B1754">
        <v>528.79999999999995</v>
      </c>
    </row>
    <row r="1755" spans="1:2">
      <c r="A1755">
        <v>220.5</v>
      </c>
      <c r="B1755">
        <v>527.70000000000005</v>
      </c>
    </row>
    <row r="1756" spans="1:2">
      <c r="A1756">
        <v>222.9</v>
      </c>
      <c r="B1756">
        <v>529.6</v>
      </c>
    </row>
    <row r="1757" spans="1:2">
      <c r="A1757">
        <v>222</v>
      </c>
      <c r="B1757">
        <v>534.1</v>
      </c>
    </row>
    <row r="1758" spans="1:2">
      <c r="A1758">
        <v>220</v>
      </c>
      <c r="B1758">
        <v>534.29999999999995</v>
      </c>
    </row>
    <row r="1759" spans="1:2">
      <c r="A1759">
        <v>220.1</v>
      </c>
      <c r="B1759">
        <v>536.5</v>
      </c>
    </row>
    <row r="1760" spans="1:2">
      <c r="A1760">
        <v>222.5</v>
      </c>
      <c r="B1760">
        <v>537.9</v>
      </c>
    </row>
    <row r="1761" spans="1:2">
      <c r="A1761">
        <v>223</v>
      </c>
      <c r="B1761">
        <v>536.20000000000005</v>
      </c>
    </row>
    <row r="1762" spans="1:2">
      <c r="A1762">
        <v>226.5</v>
      </c>
      <c r="B1762">
        <v>536.9</v>
      </c>
    </row>
    <row r="1763" spans="1:2">
      <c r="A1763">
        <v>225</v>
      </c>
      <c r="B1763">
        <v>543.1</v>
      </c>
    </row>
    <row r="1764" spans="1:2">
      <c r="A1764">
        <v>225.3</v>
      </c>
      <c r="B1764">
        <v>549.5</v>
      </c>
    </row>
    <row r="1765" spans="1:2">
      <c r="A1765">
        <v>226.6</v>
      </c>
      <c r="B1765">
        <v>550.1</v>
      </c>
    </row>
    <row r="1767" spans="1:2">
      <c r="A1767">
        <v>256</v>
      </c>
      <c r="B1767">
        <v>468.6</v>
      </c>
    </row>
    <row r="1768" spans="1:2">
      <c r="A1768">
        <v>257.5</v>
      </c>
      <c r="B1768">
        <v>466.1</v>
      </c>
    </row>
    <row r="1769" spans="1:2">
      <c r="A1769">
        <v>261.7</v>
      </c>
      <c r="B1769">
        <v>467.5</v>
      </c>
    </row>
    <row r="1770" spans="1:2">
      <c r="A1770">
        <v>266.5</v>
      </c>
      <c r="B1770">
        <v>465.6</v>
      </c>
    </row>
    <row r="1771" spans="1:2">
      <c r="A1771">
        <v>267.60000000000002</v>
      </c>
      <c r="B1771">
        <v>466.9</v>
      </c>
    </row>
    <row r="1772" spans="1:2">
      <c r="A1772">
        <v>269.8</v>
      </c>
      <c r="B1772">
        <v>466.6</v>
      </c>
    </row>
    <row r="1773" spans="1:2">
      <c r="A1773">
        <v>269.8</v>
      </c>
      <c r="B1773">
        <v>464.9</v>
      </c>
    </row>
    <row r="1774" spans="1:2">
      <c r="A1774">
        <v>272</v>
      </c>
      <c r="B1774">
        <v>466.2</v>
      </c>
    </row>
    <row r="1775" spans="1:2">
      <c r="A1775">
        <v>271.39999999999998</v>
      </c>
      <c r="B1775">
        <v>462.1</v>
      </c>
    </row>
    <row r="1776" spans="1:2">
      <c r="A1776">
        <v>276.5</v>
      </c>
      <c r="B1776">
        <v>461.5</v>
      </c>
    </row>
    <row r="1777" spans="1:2">
      <c r="A1777">
        <v>277.2</v>
      </c>
      <c r="B1777">
        <v>455</v>
      </c>
    </row>
    <row r="1778" spans="1:2">
      <c r="A1778">
        <v>275.60000000000002</v>
      </c>
      <c r="B1778">
        <v>453.9</v>
      </c>
    </row>
    <row r="1779" spans="1:2">
      <c r="A1779">
        <v>276.5</v>
      </c>
      <c r="B1779">
        <v>451.3</v>
      </c>
    </row>
    <row r="1780" spans="1:2">
      <c r="A1780">
        <v>275.5</v>
      </c>
      <c r="B1780">
        <v>445.4</v>
      </c>
    </row>
    <row r="1781" spans="1:2">
      <c r="A1781">
        <v>270.3</v>
      </c>
      <c r="B1781">
        <v>436.5</v>
      </c>
    </row>
    <row r="1782" spans="1:2">
      <c r="A1782">
        <v>265.10000000000002</v>
      </c>
      <c r="B1782">
        <v>438.5</v>
      </c>
    </row>
    <row r="1783" spans="1:2">
      <c r="A1783">
        <v>262.10000000000002</v>
      </c>
      <c r="B1783">
        <v>442.3</v>
      </c>
    </row>
    <row r="1784" spans="1:2">
      <c r="A1784">
        <v>260.2</v>
      </c>
      <c r="B1784">
        <v>442.1</v>
      </c>
    </row>
    <row r="1785" spans="1:2">
      <c r="A1785">
        <v>259.89999999999998</v>
      </c>
      <c r="B1785">
        <v>440.2</v>
      </c>
    </row>
    <row r="1786" spans="1:2">
      <c r="A1786">
        <v>255.3</v>
      </c>
      <c r="B1786">
        <v>441.5</v>
      </c>
    </row>
    <row r="1787" spans="1:2">
      <c r="A1787">
        <v>257.8</v>
      </c>
      <c r="B1787">
        <v>455.5</v>
      </c>
    </row>
    <row r="1788" spans="1:2">
      <c r="A1788">
        <v>251.2</v>
      </c>
      <c r="B1788">
        <v>460.9</v>
      </c>
    </row>
    <row r="1789" spans="1:2">
      <c r="A1789">
        <v>249.3</v>
      </c>
      <c r="B1789">
        <v>459.9</v>
      </c>
    </row>
    <row r="1790" spans="1:2">
      <c r="A1790">
        <v>248.9</v>
      </c>
      <c r="B1790">
        <v>463.5</v>
      </c>
    </row>
    <row r="1791" spans="1:2">
      <c r="A1791">
        <v>246.8</v>
      </c>
      <c r="B1791">
        <v>463.6</v>
      </c>
    </row>
    <row r="1792" spans="1:2">
      <c r="A1792">
        <v>244.8</v>
      </c>
      <c r="B1792">
        <v>466.8</v>
      </c>
    </row>
    <row r="1793" spans="1:2">
      <c r="A1793">
        <v>247</v>
      </c>
      <c r="B1793">
        <v>469.3</v>
      </c>
    </row>
    <row r="1794" spans="1:2">
      <c r="A1794">
        <v>251.4</v>
      </c>
      <c r="B1794">
        <v>467.5</v>
      </c>
    </row>
    <row r="1795" spans="1:2">
      <c r="A1795">
        <v>254.3</v>
      </c>
      <c r="B1795">
        <v>469.4</v>
      </c>
    </row>
    <row r="1796" spans="1:2">
      <c r="A1796">
        <v>256</v>
      </c>
      <c r="B1796">
        <v>468.6</v>
      </c>
    </row>
    <row r="1798" spans="1:2">
      <c r="A1798">
        <v>218.3</v>
      </c>
      <c r="B1798">
        <v>560.4</v>
      </c>
    </row>
    <row r="1799" spans="1:2">
      <c r="A1799">
        <v>219.7</v>
      </c>
      <c r="B1799">
        <v>559.29999999999995</v>
      </c>
    </row>
    <row r="1800" spans="1:2">
      <c r="A1800">
        <v>219.9</v>
      </c>
      <c r="B1800">
        <v>555.6</v>
      </c>
    </row>
    <row r="1801" spans="1:2">
      <c r="A1801">
        <v>224.3</v>
      </c>
      <c r="B1801">
        <v>555.79999999999995</v>
      </c>
    </row>
    <row r="1802" spans="1:2">
      <c r="A1802">
        <v>225.8</v>
      </c>
      <c r="B1802">
        <v>550.1</v>
      </c>
    </row>
    <row r="1803" spans="1:2">
      <c r="A1803">
        <v>225</v>
      </c>
      <c r="B1803">
        <v>543.1</v>
      </c>
    </row>
    <row r="1804" spans="1:2">
      <c r="A1804">
        <v>226.5</v>
      </c>
      <c r="B1804">
        <v>536.9</v>
      </c>
    </row>
    <row r="1805" spans="1:2">
      <c r="A1805">
        <v>223</v>
      </c>
      <c r="B1805">
        <v>536.20000000000005</v>
      </c>
    </row>
    <row r="1806" spans="1:2">
      <c r="A1806">
        <v>222.5</v>
      </c>
      <c r="B1806">
        <v>537.9</v>
      </c>
    </row>
    <row r="1807" spans="1:2">
      <c r="A1807">
        <v>219.8</v>
      </c>
      <c r="B1807">
        <v>535.5</v>
      </c>
    </row>
    <row r="1808" spans="1:2">
      <c r="A1808">
        <v>220.1</v>
      </c>
      <c r="B1808">
        <v>534.20000000000005</v>
      </c>
    </row>
    <row r="1809" spans="1:2">
      <c r="A1809">
        <v>222</v>
      </c>
      <c r="B1809">
        <v>534.1</v>
      </c>
    </row>
    <row r="1810" spans="1:2">
      <c r="A1810">
        <v>222.6</v>
      </c>
      <c r="B1810">
        <v>529.1</v>
      </c>
    </row>
    <row r="1811" spans="1:2">
      <c r="A1811">
        <v>220.5</v>
      </c>
      <c r="B1811">
        <v>527.70000000000005</v>
      </c>
    </row>
    <row r="1812" spans="1:2">
      <c r="A1812">
        <v>218.8</v>
      </c>
      <c r="B1812">
        <v>528.79999999999995</v>
      </c>
    </row>
    <row r="1813" spans="1:2">
      <c r="A1813">
        <v>218</v>
      </c>
      <c r="B1813">
        <v>526.9</v>
      </c>
    </row>
    <row r="1814" spans="1:2">
      <c r="A1814">
        <v>214.7</v>
      </c>
      <c r="B1814">
        <v>527.9</v>
      </c>
    </row>
    <row r="1815" spans="1:2">
      <c r="A1815">
        <v>210.9</v>
      </c>
      <c r="B1815">
        <v>522.20000000000005</v>
      </c>
    </row>
    <row r="1816" spans="1:2">
      <c r="A1816">
        <v>207.6</v>
      </c>
      <c r="B1816">
        <v>523.70000000000005</v>
      </c>
    </row>
    <row r="1817" spans="1:2">
      <c r="A1817">
        <v>211.5</v>
      </c>
      <c r="B1817">
        <v>528.6</v>
      </c>
    </row>
    <row r="1818" spans="1:2">
      <c r="A1818">
        <v>209.1</v>
      </c>
      <c r="B1818">
        <v>531.1</v>
      </c>
    </row>
    <row r="1819" spans="1:2">
      <c r="A1819">
        <v>204.6</v>
      </c>
      <c r="B1819">
        <v>527.9</v>
      </c>
    </row>
    <row r="1820" spans="1:2">
      <c r="A1820">
        <v>200.9</v>
      </c>
      <c r="B1820">
        <v>529.4</v>
      </c>
    </row>
    <row r="1821" spans="1:2">
      <c r="A1821">
        <v>200.1</v>
      </c>
      <c r="B1821">
        <v>526.29999999999995</v>
      </c>
    </row>
    <row r="1822" spans="1:2">
      <c r="A1822">
        <v>196.6</v>
      </c>
      <c r="B1822">
        <v>528.5</v>
      </c>
    </row>
    <row r="1823" spans="1:2">
      <c r="A1823">
        <v>194.3</v>
      </c>
      <c r="B1823">
        <v>525.4</v>
      </c>
    </row>
    <row r="1824" spans="1:2">
      <c r="A1824">
        <v>191.3</v>
      </c>
      <c r="B1824">
        <v>529.29999999999995</v>
      </c>
    </row>
    <row r="1825" spans="1:2">
      <c r="A1825">
        <v>197.3</v>
      </c>
      <c r="B1825">
        <v>533.4</v>
      </c>
    </row>
    <row r="1826" spans="1:2">
      <c r="A1826">
        <v>198.6</v>
      </c>
      <c r="B1826">
        <v>538.4</v>
      </c>
    </row>
    <row r="1827" spans="1:2">
      <c r="A1827">
        <v>197.8</v>
      </c>
      <c r="B1827">
        <v>541.5</v>
      </c>
    </row>
    <row r="1828" spans="1:2">
      <c r="A1828">
        <v>201.7</v>
      </c>
      <c r="B1828">
        <v>544.9</v>
      </c>
    </row>
    <row r="1829" spans="1:2">
      <c r="A1829">
        <v>203.7</v>
      </c>
      <c r="B1829">
        <v>543.70000000000005</v>
      </c>
    </row>
    <row r="1830" spans="1:2">
      <c r="A1830">
        <v>207.1</v>
      </c>
      <c r="B1830">
        <v>544.79999999999995</v>
      </c>
    </row>
    <row r="1831" spans="1:2">
      <c r="A1831">
        <v>205.6</v>
      </c>
      <c r="B1831">
        <v>547.5</v>
      </c>
    </row>
    <row r="1832" spans="1:2">
      <c r="A1832">
        <v>207</v>
      </c>
      <c r="B1832">
        <v>548.5</v>
      </c>
    </row>
    <row r="1833" spans="1:2">
      <c r="A1833">
        <v>208.4</v>
      </c>
      <c r="B1833">
        <v>554.6</v>
      </c>
    </row>
    <row r="1834" spans="1:2">
      <c r="A1834">
        <v>210.4</v>
      </c>
      <c r="B1834">
        <v>553.9</v>
      </c>
    </row>
    <row r="1835" spans="1:2">
      <c r="A1835">
        <v>211.8</v>
      </c>
      <c r="B1835">
        <v>556.6</v>
      </c>
    </row>
    <row r="1836" spans="1:2">
      <c r="A1836">
        <v>218.3</v>
      </c>
      <c r="B1836">
        <v>560.4</v>
      </c>
    </row>
    <row r="1838" spans="1:2">
      <c r="A1838">
        <v>249.5</v>
      </c>
      <c r="B1838">
        <v>533.70000000000005</v>
      </c>
    </row>
    <row r="1839" spans="1:2">
      <c r="A1839">
        <v>251.3</v>
      </c>
      <c r="B1839">
        <v>530.70000000000005</v>
      </c>
    </row>
    <row r="1840" spans="1:2">
      <c r="A1840">
        <v>257.2</v>
      </c>
      <c r="B1840">
        <v>530</v>
      </c>
    </row>
    <row r="1841" spans="1:2">
      <c r="A1841">
        <v>257.7</v>
      </c>
      <c r="B1841">
        <v>526.5</v>
      </c>
    </row>
    <row r="1842" spans="1:2">
      <c r="A1842">
        <v>262.5</v>
      </c>
      <c r="B1842">
        <v>525.29999999999995</v>
      </c>
    </row>
    <row r="1843" spans="1:2">
      <c r="A1843">
        <v>264</v>
      </c>
      <c r="B1843">
        <v>522.20000000000005</v>
      </c>
    </row>
    <row r="1844" spans="1:2">
      <c r="A1844">
        <v>263</v>
      </c>
      <c r="B1844">
        <v>516.6</v>
      </c>
    </row>
    <row r="1845" spans="1:2">
      <c r="A1845">
        <v>260.60000000000002</v>
      </c>
      <c r="B1845">
        <v>516.29999999999995</v>
      </c>
    </row>
    <row r="1846" spans="1:2">
      <c r="A1846">
        <v>256.10000000000002</v>
      </c>
      <c r="B1846">
        <v>512.29999999999995</v>
      </c>
    </row>
    <row r="1847" spans="1:2">
      <c r="A1847">
        <v>257</v>
      </c>
      <c r="B1847">
        <v>509.5</v>
      </c>
    </row>
    <row r="1848" spans="1:2">
      <c r="A1848">
        <v>255.6</v>
      </c>
      <c r="B1848">
        <v>507.5</v>
      </c>
    </row>
    <row r="1849" spans="1:2">
      <c r="A1849">
        <v>257.7</v>
      </c>
      <c r="B1849">
        <v>504</v>
      </c>
    </row>
    <row r="1850" spans="1:2">
      <c r="A1850">
        <v>254.3</v>
      </c>
      <c r="B1850">
        <v>500.5</v>
      </c>
    </row>
    <row r="1851" spans="1:2">
      <c r="A1851">
        <v>254.8</v>
      </c>
      <c r="B1851">
        <v>499.2</v>
      </c>
    </row>
    <row r="1852" spans="1:2">
      <c r="A1852">
        <v>259</v>
      </c>
      <c r="B1852">
        <v>500.6</v>
      </c>
    </row>
    <row r="1853" spans="1:2">
      <c r="A1853">
        <v>258.39999999999998</v>
      </c>
      <c r="B1853">
        <v>493.4</v>
      </c>
    </row>
    <row r="1854" spans="1:2">
      <c r="A1854">
        <v>256.8</v>
      </c>
      <c r="B1854">
        <v>491.8</v>
      </c>
    </row>
    <row r="1855" spans="1:2">
      <c r="A1855">
        <v>259.89999999999998</v>
      </c>
      <c r="B1855">
        <v>487.7</v>
      </c>
    </row>
    <row r="1856" spans="1:2">
      <c r="A1856">
        <v>259</v>
      </c>
      <c r="B1856">
        <v>484.9</v>
      </c>
    </row>
    <row r="1857" spans="1:2">
      <c r="A1857">
        <v>255.7</v>
      </c>
      <c r="B1857">
        <v>485.2</v>
      </c>
    </row>
    <row r="1858" spans="1:2">
      <c r="A1858">
        <v>253.5</v>
      </c>
      <c r="B1858">
        <v>483.6</v>
      </c>
    </row>
    <row r="1859" spans="1:2">
      <c r="A1859">
        <v>251.2</v>
      </c>
      <c r="B1859">
        <v>484.5</v>
      </c>
    </row>
    <row r="1860" spans="1:2">
      <c r="A1860">
        <v>251.2</v>
      </c>
      <c r="B1860">
        <v>489.1</v>
      </c>
    </row>
    <row r="1861" spans="1:2">
      <c r="A1861">
        <v>248.5</v>
      </c>
      <c r="B1861">
        <v>491.5</v>
      </c>
    </row>
    <row r="1862" spans="1:2">
      <c r="A1862">
        <v>248.5</v>
      </c>
      <c r="B1862">
        <v>493.4</v>
      </c>
    </row>
    <row r="1863" spans="1:2">
      <c r="A1863">
        <v>247.5</v>
      </c>
      <c r="B1863">
        <v>494.4</v>
      </c>
    </row>
    <row r="1864" spans="1:2">
      <c r="A1864">
        <v>242.5</v>
      </c>
      <c r="B1864">
        <v>491.9</v>
      </c>
    </row>
    <row r="1865" spans="1:2">
      <c r="A1865">
        <v>243.3</v>
      </c>
      <c r="B1865">
        <v>495.1</v>
      </c>
    </row>
    <row r="1866" spans="1:2">
      <c r="A1866">
        <v>241.4</v>
      </c>
      <c r="B1866">
        <v>496.9</v>
      </c>
    </row>
    <row r="1867" spans="1:2">
      <c r="A1867">
        <v>239.2</v>
      </c>
      <c r="B1867">
        <v>503.2</v>
      </c>
    </row>
    <row r="1868" spans="1:2">
      <c r="A1868">
        <v>233.4</v>
      </c>
      <c r="B1868">
        <v>506.2</v>
      </c>
    </row>
    <row r="1869" spans="1:2">
      <c r="A1869">
        <v>235.2</v>
      </c>
      <c r="B1869">
        <v>515.79999999999995</v>
      </c>
    </row>
    <row r="1870" spans="1:2">
      <c r="A1870">
        <v>238.3</v>
      </c>
      <c r="B1870">
        <v>516.1</v>
      </c>
    </row>
    <row r="1871" spans="1:2">
      <c r="A1871">
        <v>238.9</v>
      </c>
      <c r="B1871">
        <v>521.9</v>
      </c>
    </row>
    <row r="1872" spans="1:2">
      <c r="A1872">
        <v>241.2</v>
      </c>
      <c r="B1872">
        <v>521.4</v>
      </c>
    </row>
    <row r="1873" spans="1:2">
      <c r="A1873">
        <v>243.7</v>
      </c>
      <c r="B1873">
        <v>523.79999999999995</v>
      </c>
    </row>
    <row r="1874" spans="1:2">
      <c r="A1874">
        <v>243.7</v>
      </c>
      <c r="B1874">
        <v>528.1</v>
      </c>
    </row>
    <row r="1875" spans="1:2">
      <c r="A1875">
        <v>246.1</v>
      </c>
      <c r="B1875">
        <v>529.70000000000005</v>
      </c>
    </row>
    <row r="1876" spans="1:2">
      <c r="A1876">
        <v>249</v>
      </c>
      <c r="B1876">
        <v>535.5</v>
      </c>
    </row>
    <row r="1877" spans="1:2">
      <c r="A1877">
        <v>249.5</v>
      </c>
      <c r="B1877">
        <v>533.70000000000005</v>
      </c>
    </row>
    <row r="1879" spans="1:2">
      <c r="A1879">
        <v>242.5</v>
      </c>
      <c r="B1879">
        <v>491.9</v>
      </c>
    </row>
    <row r="1880" spans="1:2">
      <c r="A1880">
        <v>247.5</v>
      </c>
      <c r="B1880">
        <v>494.4</v>
      </c>
    </row>
    <row r="1881" spans="1:2">
      <c r="A1881">
        <v>251.2</v>
      </c>
      <c r="B1881">
        <v>489.1</v>
      </c>
    </row>
    <row r="1882" spans="1:2">
      <c r="A1882">
        <v>251.2</v>
      </c>
      <c r="B1882">
        <v>484.5</v>
      </c>
    </row>
    <row r="1883" spans="1:2">
      <c r="A1883">
        <v>253.5</v>
      </c>
      <c r="B1883">
        <v>483.6</v>
      </c>
    </row>
    <row r="1884" spans="1:2">
      <c r="A1884">
        <v>255.7</v>
      </c>
      <c r="B1884">
        <v>485.2</v>
      </c>
    </row>
    <row r="1885" spans="1:2">
      <c r="A1885">
        <v>259</v>
      </c>
      <c r="B1885">
        <v>484.9</v>
      </c>
    </row>
    <row r="1886" spans="1:2">
      <c r="A1886">
        <v>259.89999999999998</v>
      </c>
      <c r="B1886">
        <v>488.1</v>
      </c>
    </row>
    <row r="1887" spans="1:2">
      <c r="A1887">
        <v>259</v>
      </c>
      <c r="B1887">
        <v>489.9</v>
      </c>
    </row>
    <row r="1888" spans="1:2">
      <c r="A1888">
        <v>262.7</v>
      </c>
      <c r="B1888">
        <v>492.3</v>
      </c>
    </row>
    <row r="1889" spans="1:2">
      <c r="A1889">
        <v>271.89999999999998</v>
      </c>
      <c r="B1889">
        <v>485.2</v>
      </c>
    </row>
    <row r="1890" spans="1:2">
      <c r="A1890">
        <v>279.5</v>
      </c>
      <c r="B1890">
        <v>485.1</v>
      </c>
    </row>
    <row r="1891" spans="1:2">
      <c r="A1891">
        <v>283.5</v>
      </c>
      <c r="B1891">
        <v>482.3</v>
      </c>
    </row>
    <row r="1892" spans="1:2">
      <c r="A1892">
        <v>283.7</v>
      </c>
      <c r="B1892">
        <v>480.1</v>
      </c>
    </row>
    <row r="1893" spans="1:2">
      <c r="A1893">
        <v>280.8</v>
      </c>
      <c r="B1893">
        <v>480</v>
      </c>
    </row>
    <row r="1894" spans="1:2">
      <c r="A1894">
        <v>276.5</v>
      </c>
      <c r="B1894">
        <v>476.2</v>
      </c>
    </row>
    <row r="1895" spans="1:2">
      <c r="A1895">
        <v>280.10000000000002</v>
      </c>
      <c r="B1895">
        <v>472.6</v>
      </c>
    </row>
    <row r="1896" spans="1:2">
      <c r="A1896">
        <v>280.39999999999998</v>
      </c>
      <c r="B1896">
        <v>468.2</v>
      </c>
    </row>
    <row r="1897" spans="1:2">
      <c r="A1897">
        <v>278.2</v>
      </c>
      <c r="B1897">
        <v>461.9</v>
      </c>
    </row>
    <row r="1898" spans="1:2">
      <c r="A1898">
        <v>271.39999999999998</v>
      </c>
      <c r="B1898">
        <v>462.1</v>
      </c>
    </row>
    <row r="1899" spans="1:2">
      <c r="A1899">
        <v>272</v>
      </c>
      <c r="B1899">
        <v>466.2</v>
      </c>
    </row>
    <row r="1900" spans="1:2">
      <c r="A1900">
        <v>269.8</v>
      </c>
      <c r="B1900">
        <v>464.9</v>
      </c>
    </row>
    <row r="1901" spans="1:2">
      <c r="A1901">
        <v>269.8</v>
      </c>
      <c r="B1901">
        <v>466.6</v>
      </c>
    </row>
    <row r="1902" spans="1:2">
      <c r="A1902">
        <v>267.60000000000002</v>
      </c>
      <c r="B1902">
        <v>466.9</v>
      </c>
    </row>
    <row r="1903" spans="1:2">
      <c r="A1903">
        <v>266.5</v>
      </c>
      <c r="B1903">
        <v>465.6</v>
      </c>
    </row>
    <row r="1904" spans="1:2">
      <c r="A1904">
        <v>261.7</v>
      </c>
      <c r="B1904">
        <v>467.5</v>
      </c>
    </row>
    <row r="1905" spans="1:2">
      <c r="A1905">
        <v>257.5</v>
      </c>
      <c r="B1905">
        <v>466.1</v>
      </c>
    </row>
    <row r="1906" spans="1:2">
      <c r="A1906">
        <v>254.3</v>
      </c>
      <c r="B1906">
        <v>469.4</v>
      </c>
    </row>
    <row r="1907" spans="1:2">
      <c r="A1907">
        <v>251.4</v>
      </c>
      <c r="B1907">
        <v>467.5</v>
      </c>
    </row>
    <row r="1908" spans="1:2">
      <c r="A1908">
        <v>247</v>
      </c>
      <c r="B1908">
        <v>469.3</v>
      </c>
    </row>
    <row r="1909" spans="1:2">
      <c r="A1909">
        <v>244.9</v>
      </c>
      <c r="B1909">
        <v>467.4</v>
      </c>
    </row>
    <row r="1910" spans="1:2">
      <c r="A1910">
        <v>242.6</v>
      </c>
      <c r="B1910">
        <v>469.9</v>
      </c>
    </row>
    <row r="1911" spans="1:2">
      <c r="A1911">
        <v>244</v>
      </c>
      <c r="B1911">
        <v>473.2</v>
      </c>
    </row>
    <row r="1912" spans="1:2">
      <c r="A1912">
        <v>241.9</v>
      </c>
      <c r="B1912">
        <v>479.2</v>
      </c>
    </row>
    <row r="1913" spans="1:2">
      <c r="A1913">
        <v>238.6</v>
      </c>
      <c r="B1913">
        <v>479.7</v>
      </c>
    </row>
    <row r="1914" spans="1:2">
      <c r="A1914">
        <v>236.8</v>
      </c>
      <c r="B1914">
        <v>478.3</v>
      </c>
    </row>
    <row r="1915" spans="1:2">
      <c r="A1915">
        <v>242.5</v>
      </c>
      <c r="B1915">
        <v>491.9</v>
      </c>
    </row>
    <row r="1917" spans="1:2">
      <c r="A1917">
        <v>261.2</v>
      </c>
      <c r="B1917">
        <v>538.70000000000005</v>
      </c>
    </row>
    <row r="1918" spans="1:2">
      <c r="A1918">
        <v>264.60000000000002</v>
      </c>
      <c r="B1918">
        <v>535.5</v>
      </c>
    </row>
    <row r="1919" spans="1:2">
      <c r="A1919">
        <v>267</v>
      </c>
      <c r="B1919">
        <v>535.9</v>
      </c>
    </row>
    <row r="1920" spans="1:2">
      <c r="A1920">
        <v>267.2</v>
      </c>
      <c r="B1920">
        <v>532.5</v>
      </c>
    </row>
    <row r="1921" spans="1:2">
      <c r="A1921">
        <v>271.3</v>
      </c>
      <c r="B1921">
        <v>534.1</v>
      </c>
    </row>
    <row r="1922" spans="1:2">
      <c r="A1922">
        <v>273.5</v>
      </c>
      <c r="B1922">
        <v>532.70000000000005</v>
      </c>
    </row>
    <row r="1923" spans="1:2">
      <c r="A1923">
        <v>275.39999999999998</v>
      </c>
      <c r="B1923">
        <v>534.20000000000005</v>
      </c>
    </row>
    <row r="1924" spans="1:2">
      <c r="A1924">
        <v>279</v>
      </c>
      <c r="B1924">
        <v>529.29999999999995</v>
      </c>
    </row>
    <row r="1925" spans="1:2">
      <c r="A1925">
        <v>285.10000000000002</v>
      </c>
      <c r="B1925">
        <v>532</v>
      </c>
    </row>
    <row r="1926" spans="1:2">
      <c r="A1926">
        <v>284.8</v>
      </c>
      <c r="B1926">
        <v>535.6</v>
      </c>
    </row>
    <row r="1927" spans="1:2">
      <c r="A1927">
        <v>289</v>
      </c>
      <c r="B1927">
        <v>535.4</v>
      </c>
    </row>
    <row r="1928" spans="1:2">
      <c r="A1928">
        <v>289.10000000000002</v>
      </c>
      <c r="B1928">
        <v>533.20000000000005</v>
      </c>
    </row>
    <row r="1929" spans="1:2">
      <c r="A1929">
        <v>291.8</v>
      </c>
      <c r="B1929">
        <v>531.5</v>
      </c>
    </row>
    <row r="1930" spans="1:2">
      <c r="A1930">
        <v>293.60000000000002</v>
      </c>
      <c r="B1930">
        <v>534.1</v>
      </c>
    </row>
    <row r="1931" spans="1:2">
      <c r="A1931">
        <v>296.39999999999998</v>
      </c>
      <c r="B1931">
        <v>532.70000000000005</v>
      </c>
    </row>
    <row r="1932" spans="1:2">
      <c r="A1932">
        <v>296.89999999999998</v>
      </c>
      <c r="B1932">
        <v>530.1</v>
      </c>
    </row>
    <row r="1933" spans="1:2">
      <c r="A1933">
        <v>298.60000000000002</v>
      </c>
      <c r="B1933">
        <v>532</v>
      </c>
    </row>
    <row r="1934" spans="1:2">
      <c r="A1934">
        <v>300.10000000000002</v>
      </c>
      <c r="B1934">
        <v>531.5</v>
      </c>
    </row>
    <row r="1935" spans="1:2">
      <c r="A1935">
        <v>296.10000000000002</v>
      </c>
      <c r="B1935">
        <v>528.70000000000005</v>
      </c>
    </row>
    <row r="1936" spans="1:2">
      <c r="A1936">
        <v>295.5</v>
      </c>
      <c r="B1936">
        <v>525.29999999999995</v>
      </c>
    </row>
    <row r="1937" spans="1:2">
      <c r="A1937">
        <v>297</v>
      </c>
      <c r="B1937">
        <v>523.1</v>
      </c>
    </row>
    <row r="1938" spans="1:2">
      <c r="A1938">
        <v>291.7</v>
      </c>
      <c r="B1938">
        <v>511.3</v>
      </c>
    </row>
    <row r="1939" spans="1:2">
      <c r="A1939">
        <v>287.89999999999998</v>
      </c>
      <c r="B1939">
        <v>515.20000000000005</v>
      </c>
    </row>
    <row r="1940" spans="1:2">
      <c r="A1940">
        <v>286.10000000000002</v>
      </c>
      <c r="B1940">
        <v>512.29999999999995</v>
      </c>
    </row>
    <row r="1941" spans="1:2">
      <c r="A1941">
        <v>281.39999999999998</v>
      </c>
      <c r="B1941">
        <v>512.79999999999995</v>
      </c>
    </row>
    <row r="1942" spans="1:2">
      <c r="A1942">
        <v>282.2</v>
      </c>
      <c r="B1942">
        <v>508.1</v>
      </c>
    </row>
    <row r="1943" spans="1:2">
      <c r="A1943">
        <v>284.89999999999998</v>
      </c>
      <c r="B1943">
        <v>505.2</v>
      </c>
    </row>
    <row r="1944" spans="1:2">
      <c r="A1944">
        <v>283.89999999999998</v>
      </c>
      <c r="B1944">
        <v>502.9</v>
      </c>
    </row>
    <row r="1945" spans="1:2">
      <c r="A1945">
        <v>279.60000000000002</v>
      </c>
      <c r="B1945">
        <v>501.3</v>
      </c>
    </row>
    <row r="1946" spans="1:2">
      <c r="A1946">
        <v>275</v>
      </c>
      <c r="B1946">
        <v>502</v>
      </c>
    </row>
    <row r="1947" spans="1:2">
      <c r="A1947">
        <v>269.5</v>
      </c>
      <c r="B1947">
        <v>498.7</v>
      </c>
    </row>
    <row r="1948" spans="1:2">
      <c r="A1948">
        <v>269.3</v>
      </c>
      <c r="B1948">
        <v>497</v>
      </c>
    </row>
    <row r="1949" spans="1:2">
      <c r="A1949">
        <v>267.10000000000002</v>
      </c>
      <c r="B1949">
        <v>497.5</v>
      </c>
    </row>
    <row r="1950" spans="1:2">
      <c r="A1950">
        <v>266.8</v>
      </c>
      <c r="B1950">
        <v>495.4</v>
      </c>
    </row>
    <row r="1951" spans="1:2">
      <c r="A1951">
        <v>265.60000000000002</v>
      </c>
      <c r="B1951">
        <v>497.3</v>
      </c>
    </row>
    <row r="1952" spans="1:2">
      <c r="A1952">
        <v>263.60000000000002</v>
      </c>
      <c r="B1952">
        <v>494.9</v>
      </c>
    </row>
    <row r="1953" spans="1:2">
      <c r="A1953">
        <v>263.3</v>
      </c>
      <c r="B1953">
        <v>497.6</v>
      </c>
    </row>
    <row r="1954" spans="1:2">
      <c r="A1954">
        <v>260.2</v>
      </c>
      <c r="B1954">
        <v>501.1</v>
      </c>
    </row>
    <row r="1955" spans="1:2">
      <c r="A1955">
        <v>254.8</v>
      </c>
      <c r="B1955">
        <v>499.2</v>
      </c>
    </row>
    <row r="1956" spans="1:2">
      <c r="A1956">
        <v>254.3</v>
      </c>
      <c r="B1956">
        <v>500.1</v>
      </c>
    </row>
    <row r="1957" spans="1:2">
      <c r="A1957">
        <v>257.7</v>
      </c>
      <c r="B1957">
        <v>504</v>
      </c>
    </row>
    <row r="1958" spans="1:2">
      <c r="A1958">
        <v>255.6</v>
      </c>
      <c r="B1958">
        <v>507.5</v>
      </c>
    </row>
    <row r="1959" spans="1:2">
      <c r="A1959">
        <v>257</v>
      </c>
      <c r="B1959">
        <v>509.5</v>
      </c>
    </row>
    <row r="1960" spans="1:2">
      <c r="A1960">
        <v>256.10000000000002</v>
      </c>
      <c r="B1960">
        <v>512.29999999999995</v>
      </c>
    </row>
    <row r="1961" spans="1:2">
      <c r="A1961">
        <v>260.60000000000002</v>
      </c>
      <c r="B1961">
        <v>516.29999999999995</v>
      </c>
    </row>
    <row r="1962" spans="1:2">
      <c r="A1962">
        <v>262.8</v>
      </c>
      <c r="B1962">
        <v>516.4</v>
      </c>
    </row>
    <row r="1963" spans="1:2">
      <c r="A1963">
        <v>264</v>
      </c>
      <c r="B1963">
        <v>519.79999999999995</v>
      </c>
    </row>
    <row r="1964" spans="1:2">
      <c r="A1964">
        <v>262.7</v>
      </c>
      <c r="B1964">
        <v>525.1</v>
      </c>
    </row>
    <row r="1965" spans="1:2">
      <c r="A1965">
        <v>257.60000000000002</v>
      </c>
      <c r="B1965">
        <v>526.70000000000005</v>
      </c>
    </row>
    <row r="1966" spans="1:2">
      <c r="A1966">
        <v>257.7</v>
      </c>
      <c r="B1966">
        <v>532.1</v>
      </c>
    </row>
    <row r="1967" spans="1:2">
      <c r="A1967">
        <v>260.60000000000002</v>
      </c>
      <c r="B1967">
        <v>534.29999999999995</v>
      </c>
    </row>
    <row r="1968" spans="1:2">
      <c r="A1968">
        <v>259.5</v>
      </c>
      <c r="B1968">
        <v>538.9</v>
      </c>
    </row>
    <row r="1969" spans="1:2">
      <c r="A1969">
        <v>261.2</v>
      </c>
      <c r="B1969">
        <v>538.70000000000005</v>
      </c>
    </row>
    <row r="1971" spans="1:2">
      <c r="A1971">
        <v>291.89999999999998</v>
      </c>
      <c r="B1971">
        <v>475.1</v>
      </c>
    </row>
    <row r="1972" spans="1:2">
      <c r="A1972">
        <v>293.10000000000002</v>
      </c>
      <c r="B1972">
        <v>471</v>
      </c>
    </row>
    <row r="1973" spans="1:2">
      <c r="A1973">
        <v>302.7</v>
      </c>
      <c r="B1973">
        <v>470</v>
      </c>
    </row>
    <row r="1974" spans="1:2">
      <c r="A1974">
        <v>305.89999999999998</v>
      </c>
      <c r="B1974">
        <v>466.2</v>
      </c>
    </row>
    <row r="1975" spans="1:2">
      <c r="A1975">
        <v>303.8</v>
      </c>
      <c r="B1975">
        <v>464.2</v>
      </c>
    </row>
    <row r="1976" spans="1:2">
      <c r="A1976">
        <v>303.89999999999998</v>
      </c>
      <c r="B1976">
        <v>461.5</v>
      </c>
    </row>
    <row r="1977" spans="1:2">
      <c r="A1977">
        <v>300.89999999999998</v>
      </c>
      <c r="B1977">
        <v>460.1</v>
      </c>
    </row>
    <row r="1978" spans="1:2">
      <c r="A1978">
        <v>301.7</v>
      </c>
      <c r="B1978">
        <v>455.4</v>
      </c>
    </row>
    <row r="1979" spans="1:2">
      <c r="A1979">
        <v>306.89999999999998</v>
      </c>
      <c r="B1979">
        <v>454.2</v>
      </c>
    </row>
    <row r="1980" spans="1:2">
      <c r="A1980">
        <v>307.7</v>
      </c>
      <c r="B1980">
        <v>451.3</v>
      </c>
    </row>
    <row r="1981" spans="1:2">
      <c r="A1981">
        <v>311.8</v>
      </c>
      <c r="B1981">
        <v>451.4</v>
      </c>
    </row>
    <row r="1982" spans="1:2">
      <c r="A1982">
        <v>314.7</v>
      </c>
      <c r="B1982">
        <v>454</v>
      </c>
    </row>
    <row r="1983" spans="1:2">
      <c r="A1983">
        <v>316.39999999999998</v>
      </c>
      <c r="B1983">
        <v>452.4</v>
      </c>
    </row>
    <row r="1984" spans="1:2">
      <c r="A1984">
        <v>315.8</v>
      </c>
      <c r="B1984">
        <v>448.9</v>
      </c>
    </row>
    <row r="1985" spans="1:2">
      <c r="A1985">
        <v>311.89999999999998</v>
      </c>
      <c r="B1985">
        <v>444.9</v>
      </c>
    </row>
    <row r="1986" spans="1:2">
      <c r="A1986">
        <v>308.5</v>
      </c>
      <c r="B1986">
        <v>447.2</v>
      </c>
    </row>
    <row r="1987" spans="1:2">
      <c r="A1987">
        <v>307</v>
      </c>
      <c r="B1987">
        <v>444.1</v>
      </c>
    </row>
    <row r="1988" spans="1:2">
      <c r="A1988">
        <v>301.10000000000002</v>
      </c>
      <c r="B1988">
        <v>442.2</v>
      </c>
    </row>
    <row r="1989" spans="1:2">
      <c r="A1989">
        <v>299.10000000000002</v>
      </c>
      <c r="B1989">
        <v>448.4</v>
      </c>
    </row>
    <row r="1990" spans="1:2">
      <c r="A1990">
        <v>295</v>
      </c>
      <c r="B1990">
        <v>449.5</v>
      </c>
    </row>
    <row r="1991" spans="1:2">
      <c r="A1991">
        <v>290.7</v>
      </c>
      <c r="B1991">
        <v>446.2</v>
      </c>
    </row>
    <row r="1992" spans="1:2">
      <c r="A1992">
        <v>291.89999999999998</v>
      </c>
      <c r="B1992">
        <v>442.2</v>
      </c>
    </row>
    <row r="1993" spans="1:2">
      <c r="A1993">
        <v>291.10000000000002</v>
      </c>
      <c r="B1993">
        <v>439.7</v>
      </c>
    </row>
    <row r="1994" spans="1:2">
      <c r="A1994">
        <v>289.5</v>
      </c>
      <c r="B1994">
        <v>439.9</v>
      </c>
    </row>
    <row r="1995" spans="1:2">
      <c r="A1995">
        <v>288.7</v>
      </c>
      <c r="B1995">
        <v>438</v>
      </c>
    </row>
    <row r="1996" spans="1:2">
      <c r="A1996">
        <v>286.3</v>
      </c>
      <c r="B1996">
        <v>439.6</v>
      </c>
    </row>
    <row r="1997" spans="1:2">
      <c r="A1997">
        <v>279.10000000000002</v>
      </c>
      <c r="B1997">
        <v>437.3</v>
      </c>
    </row>
    <row r="1998" spans="1:2">
      <c r="A1998">
        <v>276.2</v>
      </c>
      <c r="B1998">
        <v>440.1</v>
      </c>
    </row>
    <row r="1999" spans="1:2">
      <c r="A1999">
        <v>275.10000000000002</v>
      </c>
      <c r="B1999">
        <v>444.3</v>
      </c>
    </row>
    <row r="2000" spans="1:2">
      <c r="A2000">
        <v>276.5</v>
      </c>
      <c r="B2000">
        <v>451.3</v>
      </c>
    </row>
    <row r="2001" spans="1:2">
      <c r="A2001">
        <v>275.60000000000002</v>
      </c>
      <c r="B2001">
        <v>453.9</v>
      </c>
    </row>
    <row r="2002" spans="1:2">
      <c r="A2002">
        <v>277.2</v>
      </c>
      <c r="B2002">
        <v>455</v>
      </c>
    </row>
    <row r="2003" spans="1:2">
      <c r="A2003">
        <v>276.5</v>
      </c>
      <c r="B2003">
        <v>461.5</v>
      </c>
    </row>
    <row r="2004" spans="1:2">
      <c r="A2004">
        <v>278.2</v>
      </c>
      <c r="B2004">
        <v>461.9</v>
      </c>
    </row>
    <row r="2005" spans="1:2">
      <c r="A2005">
        <v>281.2</v>
      </c>
      <c r="B2005">
        <v>470</v>
      </c>
    </row>
    <row r="2006" spans="1:2">
      <c r="A2006">
        <v>283.5</v>
      </c>
      <c r="B2006">
        <v>468.7</v>
      </c>
    </row>
    <row r="2007" spans="1:2">
      <c r="A2007">
        <v>284.5</v>
      </c>
      <c r="B2007">
        <v>464.6</v>
      </c>
    </row>
    <row r="2008" spans="1:2">
      <c r="A2008">
        <v>286</v>
      </c>
      <c r="B2008">
        <v>465</v>
      </c>
    </row>
    <row r="2009" spans="1:2">
      <c r="A2009">
        <v>286.7</v>
      </c>
      <c r="B2009">
        <v>472.3</v>
      </c>
    </row>
    <row r="2010" spans="1:2">
      <c r="A2010">
        <v>289.3</v>
      </c>
      <c r="B2010">
        <v>473</v>
      </c>
    </row>
    <row r="2011" spans="1:2">
      <c r="A2011">
        <v>291.2</v>
      </c>
      <c r="B2011">
        <v>476.6</v>
      </c>
    </row>
    <row r="2012" spans="1:2">
      <c r="A2012">
        <v>291.89999999999998</v>
      </c>
      <c r="B2012">
        <v>475.1</v>
      </c>
    </row>
    <row r="2014" spans="1:2">
      <c r="A2014">
        <v>374.3</v>
      </c>
      <c r="B2014">
        <v>512.79999999999995</v>
      </c>
    </row>
    <row r="2015" spans="1:2">
      <c r="A2015">
        <v>389.8</v>
      </c>
      <c r="B2015">
        <v>494.9</v>
      </c>
    </row>
    <row r="2016" spans="1:2">
      <c r="A2016">
        <v>388.9</v>
      </c>
      <c r="B2016">
        <v>490.9</v>
      </c>
    </row>
    <row r="2017" spans="1:2">
      <c r="A2017">
        <v>391.6</v>
      </c>
      <c r="B2017">
        <v>487.2</v>
      </c>
    </row>
    <row r="2018" spans="1:2">
      <c r="A2018">
        <v>389.9</v>
      </c>
      <c r="B2018">
        <v>486.4</v>
      </c>
    </row>
    <row r="2019" spans="1:2">
      <c r="A2019">
        <v>389.1</v>
      </c>
      <c r="B2019">
        <v>480.9</v>
      </c>
    </row>
    <row r="2020" spans="1:2">
      <c r="A2020">
        <v>383.3</v>
      </c>
      <c r="B2020">
        <v>479.5</v>
      </c>
    </row>
    <row r="2021" spans="1:2">
      <c r="A2021">
        <v>381.6</v>
      </c>
      <c r="B2021">
        <v>481.2</v>
      </c>
    </row>
    <row r="2022" spans="1:2">
      <c r="A2022">
        <v>379.5</v>
      </c>
      <c r="B2022">
        <v>480</v>
      </c>
    </row>
    <row r="2023" spans="1:2">
      <c r="A2023">
        <v>376.8</v>
      </c>
      <c r="B2023">
        <v>481.6</v>
      </c>
    </row>
    <row r="2024" spans="1:2">
      <c r="A2024">
        <v>376.1</v>
      </c>
      <c r="B2024">
        <v>485.3</v>
      </c>
    </row>
    <row r="2025" spans="1:2">
      <c r="A2025">
        <v>373.9</v>
      </c>
      <c r="B2025">
        <v>485.6</v>
      </c>
    </row>
    <row r="2026" spans="1:2">
      <c r="A2026">
        <v>371.8</v>
      </c>
      <c r="B2026">
        <v>477.6</v>
      </c>
    </row>
    <row r="2027" spans="1:2">
      <c r="A2027">
        <v>368.7</v>
      </c>
      <c r="B2027">
        <v>476.2</v>
      </c>
    </row>
    <row r="2028" spans="1:2">
      <c r="A2028">
        <v>366.6</v>
      </c>
      <c r="B2028">
        <v>480.2</v>
      </c>
    </row>
    <row r="2029" spans="1:2">
      <c r="A2029">
        <v>362</v>
      </c>
      <c r="B2029">
        <v>481</v>
      </c>
    </row>
    <row r="2030" spans="1:2">
      <c r="A2030">
        <v>360.5</v>
      </c>
      <c r="B2030">
        <v>479</v>
      </c>
    </row>
    <row r="2031" spans="1:2">
      <c r="A2031">
        <v>356.9</v>
      </c>
      <c r="B2031">
        <v>483.1</v>
      </c>
    </row>
    <row r="2032" spans="1:2">
      <c r="A2032">
        <v>357.3</v>
      </c>
      <c r="B2032">
        <v>486</v>
      </c>
    </row>
    <row r="2033" spans="1:2">
      <c r="A2033">
        <v>359.8</v>
      </c>
      <c r="B2033">
        <v>485.5</v>
      </c>
    </row>
    <row r="2034" spans="1:2">
      <c r="A2034">
        <v>360.8</v>
      </c>
      <c r="B2034">
        <v>487.9</v>
      </c>
    </row>
    <row r="2035" spans="1:2">
      <c r="A2035">
        <v>361.9</v>
      </c>
      <c r="B2035">
        <v>487.8</v>
      </c>
    </row>
    <row r="2036" spans="1:2">
      <c r="A2036">
        <v>361.6</v>
      </c>
      <c r="B2036">
        <v>492.5</v>
      </c>
    </row>
    <row r="2037" spans="1:2">
      <c r="A2037">
        <v>364.4</v>
      </c>
      <c r="B2037">
        <v>494.6</v>
      </c>
    </row>
    <row r="2038" spans="1:2">
      <c r="A2038">
        <v>362.6</v>
      </c>
      <c r="B2038">
        <v>502</v>
      </c>
    </row>
    <row r="2039" spans="1:2">
      <c r="A2039">
        <v>358.6</v>
      </c>
      <c r="B2039">
        <v>505.2</v>
      </c>
    </row>
    <row r="2040" spans="1:2">
      <c r="A2040">
        <v>356.2</v>
      </c>
      <c r="B2040">
        <v>504.8</v>
      </c>
    </row>
    <row r="2041" spans="1:2">
      <c r="A2041">
        <v>353.3</v>
      </c>
      <c r="B2041">
        <v>506.4</v>
      </c>
    </row>
    <row r="2042" spans="1:2">
      <c r="A2042">
        <v>350.2</v>
      </c>
      <c r="B2042">
        <v>505</v>
      </c>
    </row>
    <row r="2043" spans="1:2">
      <c r="A2043">
        <v>348.4</v>
      </c>
      <c r="B2043">
        <v>512.4</v>
      </c>
    </row>
    <row r="2044" spans="1:2">
      <c r="A2044">
        <v>349.3</v>
      </c>
      <c r="B2044">
        <v>515.4</v>
      </c>
    </row>
    <row r="2045" spans="1:2">
      <c r="A2045">
        <v>353.8</v>
      </c>
      <c r="B2045">
        <v>518.6</v>
      </c>
    </row>
    <row r="2046" spans="1:2">
      <c r="A2046">
        <v>356.1</v>
      </c>
      <c r="B2046">
        <v>517.6</v>
      </c>
    </row>
    <row r="2047" spans="1:2">
      <c r="A2047">
        <v>368.4</v>
      </c>
      <c r="B2047">
        <v>521</v>
      </c>
    </row>
    <row r="2048" spans="1:2">
      <c r="A2048">
        <v>374.3</v>
      </c>
      <c r="B2048">
        <v>512.79999999999995</v>
      </c>
    </row>
    <row r="2050" spans="1:2">
      <c r="A2050">
        <v>394.8</v>
      </c>
      <c r="B2050">
        <v>484.7</v>
      </c>
    </row>
    <row r="2051" spans="1:2">
      <c r="A2051">
        <v>395</v>
      </c>
      <c r="B2051">
        <v>479.8</v>
      </c>
    </row>
    <row r="2052" spans="1:2">
      <c r="A2052">
        <v>398</v>
      </c>
      <c r="B2052">
        <v>475.6</v>
      </c>
    </row>
    <row r="2053" spans="1:2">
      <c r="A2053">
        <v>396.9</v>
      </c>
      <c r="B2053">
        <v>476.3</v>
      </c>
    </row>
    <row r="2054" spans="1:2">
      <c r="A2054">
        <v>395.9</v>
      </c>
      <c r="B2054">
        <v>474.9</v>
      </c>
    </row>
    <row r="2055" spans="1:2">
      <c r="A2055">
        <v>397.7</v>
      </c>
      <c r="B2055">
        <v>475.5</v>
      </c>
    </row>
    <row r="2056" spans="1:2">
      <c r="A2056">
        <v>399</v>
      </c>
      <c r="B2056">
        <v>473.3</v>
      </c>
    </row>
    <row r="2057" spans="1:2">
      <c r="A2057">
        <v>398.2</v>
      </c>
      <c r="B2057">
        <v>472.2</v>
      </c>
    </row>
    <row r="2058" spans="1:2">
      <c r="A2058">
        <v>396.8</v>
      </c>
      <c r="B2058">
        <v>470.8</v>
      </c>
    </row>
    <row r="2059" spans="1:2">
      <c r="A2059">
        <v>393.4</v>
      </c>
      <c r="B2059">
        <v>471.9</v>
      </c>
    </row>
    <row r="2060" spans="1:2">
      <c r="A2060">
        <v>389.2</v>
      </c>
      <c r="B2060">
        <v>471.2</v>
      </c>
    </row>
    <row r="2061" spans="1:2">
      <c r="A2061">
        <v>385.4</v>
      </c>
      <c r="B2061">
        <v>468</v>
      </c>
    </row>
    <row r="2062" spans="1:2">
      <c r="A2062">
        <v>382.6</v>
      </c>
      <c r="B2062">
        <v>468.8</v>
      </c>
    </row>
    <row r="2063" spans="1:2">
      <c r="A2063">
        <v>381.3</v>
      </c>
      <c r="B2063">
        <v>470.1</v>
      </c>
    </row>
    <row r="2064" spans="1:2">
      <c r="A2064">
        <v>384.1</v>
      </c>
      <c r="B2064">
        <v>474.2</v>
      </c>
    </row>
    <row r="2065" spans="1:2">
      <c r="A2065">
        <v>381.7</v>
      </c>
      <c r="B2065">
        <v>476.9</v>
      </c>
    </row>
    <row r="2066" spans="1:2">
      <c r="A2066">
        <v>382.3</v>
      </c>
      <c r="B2066">
        <v>479.2</v>
      </c>
    </row>
    <row r="2067" spans="1:2">
      <c r="A2067">
        <v>389.1</v>
      </c>
      <c r="B2067">
        <v>480.9</v>
      </c>
    </row>
    <row r="2068" spans="1:2">
      <c r="A2068">
        <v>389.9</v>
      </c>
      <c r="B2068">
        <v>486.4</v>
      </c>
    </row>
    <row r="2069" spans="1:2">
      <c r="A2069">
        <v>391.6</v>
      </c>
      <c r="B2069">
        <v>487.2</v>
      </c>
    </row>
    <row r="2070" spans="1:2">
      <c r="A2070">
        <v>394.8</v>
      </c>
      <c r="B2070">
        <v>484.7</v>
      </c>
    </row>
    <row r="2072" spans="1:2">
      <c r="A2072">
        <v>386.1</v>
      </c>
      <c r="B2072">
        <v>458.1</v>
      </c>
    </row>
    <row r="2073" spans="1:2">
      <c r="A2073">
        <v>384.8</v>
      </c>
      <c r="B2073">
        <v>456.9</v>
      </c>
    </row>
    <row r="2074" spans="1:2">
      <c r="A2074">
        <v>386.6</v>
      </c>
      <c r="B2074">
        <v>454.6</v>
      </c>
    </row>
    <row r="2075" spans="1:2">
      <c r="A2075">
        <v>385.3</v>
      </c>
      <c r="B2075">
        <v>453</v>
      </c>
    </row>
    <row r="2076" spans="1:2">
      <c r="A2076">
        <v>385.9</v>
      </c>
      <c r="B2076">
        <v>449.4</v>
      </c>
    </row>
    <row r="2077" spans="1:2">
      <c r="A2077">
        <v>384.1</v>
      </c>
      <c r="B2077">
        <v>447.9</v>
      </c>
    </row>
    <row r="2078" spans="1:2">
      <c r="A2078">
        <v>385.7</v>
      </c>
      <c r="B2078">
        <v>447</v>
      </c>
    </row>
    <row r="2079" spans="1:2">
      <c r="A2079">
        <v>384.9</v>
      </c>
      <c r="B2079">
        <v>444.3</v>
      </c>
    </row>
    <row r="2080" spans="1:2">
      <c r="A2080">
        <v>387.4</v>
      </c>
      <c r="B2080">
        <v>440.7</v>
      </c>
    </row>
    <row r="2081" spans="1:2">
      <c r="A2081">
        <v>392.7</v>
      </c>
      <c r="B2081">
        <v>438.9</v>
      </c>
    </row>
    <row r="2082" spans="1:2">
      <c r="A2082">
        <v>393.4</v>
      </c>
      <c r="B2082">
        <v>432.7</v>
      </c>
    </row>
    <row r="2083" spans="1:2">
      <c r="A2083">
        <v>390.2</v>
      </c>
      <c r="B2083">
        <v>428.9</v>
      </c>
    </row>
    <row r="2084" spans="1:2">
      <c r="A2084">
        <v>384</v>
      </c>
      <c r="B2084">
        <v>430.9</v>
      </c>
    </row>
    <row r="2085" spans="1:2">
      <c r="A2085">
        <v>381.4</v>
      </c>
      <c r="B2085">
        <v>430.2</v>
      </c>
    </row>
    <row r="2086" spans="1:2">
      <c r="A2086">
        <v>380.2</v>
      </c>
      <c r="B2086">
        <v>432</v>
      </c>
    </row>
    <row r="2087" spans="1:2">
      <c r="A2087">
        <v>378.2</v>
      </c>
      <c r="B2087">
        <v>431.7</v>
      </c>
    </row>
    <row r="2088" spans="1:2">
      <c r="A2088">
        <v>377.2</v>
      </c>
      <c r="B2088">
        <v>429.2</v>
      </c>
    </row>
    <row r="2089" spans="1:2">
      <c r="A2089">
        <v>375.2</v>
      </c>
      <c r="B2089">
        <v>428.5</v>
      </c>
    </row>
    <row r="2090" spans="1:2">
      <c r="A2090">
        <v>374</v>
      </c>
      <c r="B2090">
        <v>430</v>
      </c>
    </row>
    <row r="2091" spans="1:2">
      <c r="A2091">
        <v>375.1</v>
      </c>
      <c r="B2091">
        <v>432.8</v>
      </c>
    </row>
    <row r="2092" spans="1:2">
      <c r="A2092">
        <v>373.6</v>
      </c>
      <c r="B2092">
        <v>433.9</v>
      </c>
    </row>
    <row r="2093" spans="1:2">
      <c r="A2093">
        <v>377.7</v>
      </c>
      <c r="B2093">
        <v>438.8</v>
      </c>
    </row>
    <row r="2094" spans="1:2">
      <c r="A2094">
        <v>376.9</v>
      </c>
      <c r="B2094">
        <v>445.2</v>
      </c>
    </row>
    <row r="2095" spans="1:2">
      <c r="A2095">
        <v>379.3</v>
      </c>
      <c r="B2095">
        <v>448.3</v>
      </c>
    </row>
    <row r="2096" spans="1:2">
      <c r="A2096">
        <v>378.4</v>
      </c>
      <c r="B2096">
        <v>451.3</v>
      </c>
    </row>
    <row r="2097" spans="1:2">
      <c r="A2097">
        <v>379.8</v>
      </c>
      <c r="B2097">
        <v>452</v>
      </c>
    </row>
    <row r="2098" spans="1:2">
      <c r="A2098">
        <v>380</v>
      </c>
      <c r="B2098">
        <v>454.9</v>
      </c>
    </row>
    <row r="2099" spans="1:2">
      <c r="A2099">
        <v>382.3</v>
      </c>
      <c r="B2099">
        <v>457.9</v>
      </c>
    </row>
    <row r="2100" spans="1:2">
      <c r="A2100">
        <v>385.7</v>
      </c>
      <c r="B2100">
        <v>459.2</v>
      </c>
    </row>
    <row r="2101" spans="1:2">
      <c r="A2101">
        <v>386.1</v>
      </c>
      <c r="B2101">
        <v>458.1</v>
      </c>
    </row>
    <row r="2103" spans="1:2">
      <c r="A2103">
        <v>350.2</v>
      </c>
      <c r="B2103">
        <v>552.4</v>
      </c>
    </row>
    <row r="2104" spans="1:2">
      <c r="A2104">
        <v>348.4</v>
      </c>
      <c r="B2104">
        <v>550.9</v>
      </c>
    </row>
    <row r="2105" spans="1:2">
      <c r="A2105">
        <v>350</v>
      </c>
      <c r="B2105">
        <v>551.79999999999995</v>
      </c>
    </row>
    <row r="2106" spans="1:2">
      <c r="A2106">
        <v>351.3</v>
      </c>
      <c r="B2106">
        <v>549.5</v>
      </c>
    </row>
    <row r="2107" spans="1:2">
      <c r="A2107">
        <v>350.7</v>
      </c>
      <c r="B2107">
        <v>547.29999999999995</v>
      </c>
    </row>
    <row r="2108" spans="1:2">
      <c r="A2108">
        <v>347.5</v>
      </c>
      <c r="B2108">
        <v>547.4</v>
      </c>
    </row>
    <row r="2109" spans="1:2">
      <c r="A2109">
        <v>338.4</v>
      </c>
      <c r="B2109">
        <v>542.79999999999995</v>
      </c>
    </row>
    <row r="2110" spans="1:2">
      <c r="A2110">
        <v>338.3</v>
      </c>
      <c r="B2110">
        <v>544.79999999999995</v>
      </c>
    </row>
    <row r="2111" spans="1:2">
      <c r="A2111">
        <v>334.3</v>
      </c>
      <c r="B2111">
        <v>549.1</v>
      </c>
    </row>
    <row r="2112" spans="1:2">
      <c r="A2112">
        <v>336.2</v>
      </c>
      <c r="B2112">
        <v>552</v>
      </c>
    </row>
    <row r="2113" spans="1:2">
      <c r="A2113">
        <v>339.9</v>
      </c>
      <c r="B2113">
        <v>550.29999999999995</v>
      </c>
    </row>
    <row r="2114" spans="1:2">
      <c r="A2114">
        <v>348.7</v>
      </c>
      <c r="B2114">
        <v>554.9</v>
      </c>
    </row>
    <row r="2115" spans="1:2">
      <c r="A2115">
        <v>350.2</v>
      </c>
      <c r="B2115">
        <v>552.4</v>
      </c>
    </row>
    <row r="2117" spans="1:2">
      <c r="A2117">
        <v>398.8</v>
      </c>
      <c r="B2117">
        <v>473.3</v>
      </c>
    </row>
    <row r="2118" spans="1:2">
      <c r="A2118">
        <v>401.4</v>
      </c>
      <c r="B2118">
        <v>471.1</v>
      </c>
    </row>
    <row r="2119" spans="1:2">
      <c r="A2119">
        <v>402.7</v>
      </c>
      <c r="B2119">
        <v>466.3</v>
      </c>
    </row>
    <row r="2120" spans="1:2">
      <c r="A2120">
        <v>407.5</v>
      </c>
      <c r="B2120">
        <v>462.9</v>
      </c>
    </row>
    <row r="2121" spans="1:2">
      <c r="A2121">
        <v>408.7</v>
      </c>
      <c r="B2121">
        <v>456.6</v>
      </c>
    </row>
    <row r="2122" spans="1:2">
      <c r="A2122">
        <v>413.8</v>
      </c>
      <c r="B2122">
        <v>452.1</v>
      </c>
    </row>
    <row r="2123" spans="1:2">
      <c r="A2123">
        <v>413.7</v>
      </c>
      <c r="B2123">
        <v>450.3</v>
      </c>
    </row>
    <row r="2124" spans="1:2">
      <c r="A2124">
        <v>416.2</v>
      </c>
      <c r="B2124">
        <v>447.3</v>
      </c>
    </row>
    <row r="2125" spans="1:2">
      <c r="A2125">
        <v>414.9</v>
      </c>
      <c r="B2125">
        <v>446.2</v>
      </c>
    </row>
    <row r="2126" spans="1:2">
      <c r="A2126">
        <v>415</v>
      </c>
      <c r="B2126">
        <v>440.7</v>
      </c>
    </row>
    <row r="2127" spans="1:2">
      <c r="A2127">
        <v>416.8</v>
      </c>
      <c r="B2127">
        <v>437.6</v>
      </c>
    </row>
    <row r="2128" spans="1:2">
      <c r="A2128">
        <v>413.4</v>
      </c>
      <c r="B2128">
        <v>437.2</v>
      </c>
    </row>
    <row r="2129" spans="1:2">
      <c r="A2129">
        <v>410.8</v>
      </c>
      <c r="B2129">
        <v>434.2</v>
      </c>
    </row>
    <row r="2130" spans="1:2">
      <c r="A2130">
        <v>408.7</v>
      </c>
      <c r="B2130">
        <v>434.4</v>
      </c>
    </row>
    <row r="2131" spans="1:2">
      <c r="A2131">
        <v>404.7</v>
      </c>
      <c r="B2131">
        <v>429.8</v>
      </c>
    </row>
    <row r="2132" spans="1:2">
      <c r="A2132">
        <v>405.8</v>
      </c>
      <c r="B2132">
        <v>426</v>
      </c>
    </row>
    <row r="2133" spans="1:2">
      <c r="A2133">
        <v>401.2</v>
      </c>
      <c r="B2133">
        <v>426.3</v>
      </c>
    </row>
    <row r="2134" spans="1:2">
      <c r="A2134">
        <v>399.5</v>
      </c>
      <c r="B2134">
        <v>429.3</v>
      </c>
    </row>
    <row r="2135" spans="1:2">
      <c r="A2135">
        <v>393.4</v>
      </c>
      <c r="B2135">
        <v>432.7</v>
      </c>
    </row>
    <row r="2136" spans="1:2">
      <c r="A2136">
        <v>392.7</v>
      </c>
      <c r="B2136">
        <v>438.9</v>
      </c>
    </row>
    <row r="2137" spans="1:2">
      <c r="A2137">
        <v>386</v>
      </c>
      <c r="B2137">
        <v>442</v>
      </c>
    </row>
    <row r="2138" spans="1:2">
      <c r="A2138">
        <v>384.9</v>
      </c>
      <c r="B2138">
        <v>444.3</v>
      </c>
    </row>
    <row r="2139" spans="1:2">
      <c r="A2139">
        <v>385.7</v>
      </c>
      <c r="B2139">
        <v>447</v>
      </c>
    </row>
    <row r="2140" spans="1:2">
      <c r="A2140">
        <v>384.1</v>
      </c>
      <c r="B2140">
        <v>447.9</v>
      </c>
    </row>
    <row r="2141" spans="1:2">
      <c r="A2141">
        <v>386.3</v>
      </c>
      <c r="B2141">
        <v>451.5</v>
      </c>
    </row>
    <row r="2142" spans="1:2">
      <c r="A2142">
        <v>385.3</v>
      </c>
      <c r="B2142">
        <v>453</v>
      </c>
    </row>
    <row r="2143" spans="1:2">
      <c r="A2143">
        <v>386.6</v>
      </c>
      <c r="B2143">
        <v>454.8</v>
      </c>
    </row>
    <row r="2144" spans="1:2">
      <c r="A2144">
        <v>384.9</v>
      </c>
      <c r="B2144">
        <v>456.3</v>
      </c>
    </row>
    <row r="2145" spans="1:2">
      <c r="A2145">
        <v>385.7</v>
      </c>
      <c r="B2145">
        <v>459.2</v>
      </c>
    </row>
    <row r="2146" spans="1:2">
      <c r="A2146">
        <v>382.3</v>
      </c>
      <c r="B2146">
        <v>457.9</v>
      </c>
    </row>
    <row r="2147" spans="1:2">
      <c r="A2147">
        <v>380</v>
      </c>
      <c r="B2147">
        <v>454.9</v>
      </c>
    </row>
    <row r="2148" spans="1:2">
      <c r="A2148">
        <v>379.8</v>
      </c>
      <c r="B2148">
        <v>452</v>
      </c>
    </row>
    <row r="2149" spans="1:2">
      <c r="A2149">
        <v>378.4</v>
      </c>
      <c r="B2149">
        <v>451.3</v>
      </c>
    </row>
    <row r="2150" spans="1:2">
      <c r="A2150">
        <v>379.3</v>
      </c>
      <c r="B2150">
        <v>448.3</v>
      </c>
    </row>
    <row r="2151" spans="1:2">
      <c r="A2151">
        <v>376.9</v>
      </c>
      <c r="B2151">
        <v>445.2</v>
      </c>
    </row>
    <row r="2152" spans="1:2">
      <c r="A2152">
        <v>374.5</v>
      </c>
      <c r="B2152">
        <v>450.4</v>
      </c>
    </row>
    <row r="2153" spans="1:2">
      <c r="A2153">
        <v>375.3</v>
      </c>
      <c r="B2153">
        <v>451.7</v>
      </c>
    </row>
    <row r="2154" spans="1:2">
      <c r="A2154">
        <v>372.6</v>
      </c>
      <c r="B2154">
        <v>454.3</v>
      </c>
    </row>
    <row r="2155" spans="1:2">
      <c r="A2155">
        <v>374.3</v>
      </c>
      <c r="B2155">
        <v>456.8</v>
      </c>
    </row>
    <row r="2156" spans="1:2">
      <c r="A2156">
        <v>371.5</v>
      </c>
      <c r="B2156">
        <v>458.6</v>
      </c>
    </row>
    <row r="2157" spans="1:2">
      <c r="A2157">
        <v>373.7</v>
      </c>
      <c r="B2157">
        <v>465.1</v>
      </c>
    </row>
    <row r="2158" spans="1:2">
      <c r="A2158">
        <v>378.7</v>
      </c>
      <c r="B2158">
        <v>470.3</v>
      </c>
    </row>
    <row r="2159" spans="1:2">
      <c r="A2159">
        <v>385.4</v>
      </c>
      <c r="B2159">
        <v>468</v>
      </c>
    </row>
    <row r="2160" spans="1:2">
      <c r="A2160">
        <v>389.2</v>
      </c>
      <c r="B2160">
        <v>471.2</v>
      </c>
    </row>
    <row r="2161" spans="1:2">
      <c r="A2161">
        <v>393.4</v>
      </c>
      <c r="B2161">
        <v>471.9</v>
      </c>
    </row>
    <row r="2162" spans="1:2">
      <c r="A2162">
        <v>396.8</v>
      </c>
      <c r="B2162">
        <v>470.8</v>
      </c>
    </row>
    <row r="2163" spans="1:2">
      <c r="A2163">
        <v>398.8</v>
      </c>
      <c r="B2163">
        <v>473.3</v>
      </c>
    </row>
    <row r="2165" spans="1:2">
      <c r="A2165">
        <v>299.89999999999998</v>
      </c>
      <c r="B2165">
        <v>524</v>
      </c>
    </row>
    <row r="2166" spans="1:2">
      <c r="A2166">
        <v>305.5</v>
      </c>
      <c r="B2166">
        <v>519</v>
      </c>
    </row>
    <row r="2167" spans="1:2">
      <c r="A2167">
        <v>311.60000000000002</v>
      </c>
      <c r="B2167">
        <v>518.6</v>
      </c>
    </row>
    <row r="2168" spans="1:2">
      <c r="A2168">
        <v>312.7</v>
      </c>
      <c r="B2168">
        <v>517.5</v>
      </c>
    </row>
    <row r="2169" spans="1:2">
      <c r="A2169">
        <v>312.3</v>
      </c>
      <c r="B2169">
        <v>513.9</v>
      </c>
    </row>
    <row r="2170" spans="1:2">
      <c r="A2170">
        <v>316.10000000000002</v>
      </c>
      <c r="B2170">
        <v>509.6</v>
      </c>
    </row>
    <row r="2171" spans="1:2">
      <c r="A2171">
        <v>323</v>
      </c>
      <c r="B2171">
        <v>515.79999999999995</v>
      </c>
    </row>
    <row r="2172" spans="1:2">
      <c r="A2172">
        <v>325.5</v>
      </c>
      <c r="B2172">
        <v>511.7</v>
      </c>
    </row>
    <row r="2173" spans="1:2">
      <c r="A2173">
        <v>327.9</v>
      </c>
      <c r="B2173">
        <v>511.2</v>
      </c>
    </row>
    <row r="2174" spans="1:2">
      <c r="A2174">
        <v>332.6</v>
      </c>
      <c r="B2174">
        <v>515</v>
      </c>
    </row>
    <row r="2175" spans="1:2">
      <c r="A2175">
        <v>333.6</v>
      </c>
      <c r="B2175">
        <v>517.5</v>
      </c>
    </row>
    <row r="2176" spans="1:2">
      <c r="A2176">
        <v>336</v>
      </c>
      <c r="B2176">
        <v>515.29999999999995</v>
      </c>
    </row>
    <row r="2177" spans="1:2">
      <c r="A2177">
        <v>339.6</v>
      </c>
      <c r="B2177">
        <v>518.4</v>
      </c>
    </row>
    <row r="2178" spans="1:2">
      <c r="A2178">
        <v>342.3</v>
      </c>
      <c r="B2178">
        <v>517</v>
      </c>
    </row>
    <row r="2179" spans="1:2">
      <c r="A2179">
        <v>344.8</v>
      </c>
      <c r="B2179">
        <v>518.20000000000005</v>
      </c>
    </row>
    <row r="2180" spans="1:2">
      <c r="A2180">
        <v>349</v>
      </c>
      <c r="B2180">
        <v>514.79999999999995</v>
      </c>
    </row>
    <row r="2181" spans="1:2">
      <c r="A2181">
        <v>348.5</v>
      </c>
      <c r="B2181">
        <v>510.6</v>
      </c>
    </row>
    <row r="2182" spans="1:2">
      <c r="A2182">
        <v>345.1</v>
      </c>
      <c r="B2182">
        <v>508.4</v>
      </c>
    </row>
    <row r="2183" spans="1:2">
      <c r="A2183">
        <v>343.3</v>
      </c>
      <c r="B2183">
        <v>504.4</v>
      </c>
    </row>
    <row r="2184" spans="1:2">
      <c r="A2184">
        <v>343.6</v>
      </c>
      <c r="B2184">
        <v>500.9</v>
      </c>
    </row>
    <row r="2185" spans="1:2">
      <c r="A2185">
        <v>337.6</v>
      </c>
      <c r="B2185">
        <v>500.8</v>
      </c>
    </row>
    <row r="2186" spans="1:2">
      <c r="A2186">
        <v>336.3</v>
      </c>
      <c r="B2186">
        <v>497.6</v>
      </c>
    </row>
    <row r="2187" spans="1:2">
      <c r="A2187">
        <v>333.9</v>
      </c>
      <c r="B2187">
        <v>496.2</v>
      </c>
    </row>
    <row r="2188" spans="1:2">
      <c r="A2188">
        <v>329</v>
      </c>
      <c r="B2188">
        <v>497.4</v>
      </c>
    </row>
    <row r="2189" spans="1:2">
      <c r="A2189">
        <v>325.8</v>
      </c>
      <c r="B2189">
        <v>496.4</v>
      </c>
    </row>
    <row r="2190" spans="1:2">
      <c r="A2190">
        <v>324.8</v>
      </c>
      <c r="B2190">
        <v>497.9</v>
      </c>
    </row>
    <row r="2191" spans="1:2">
      <c r="A2191">
        <v>321.7</v>
      </c>
      <c r="B2191">
        <v>494.2</v>
      </c>
    </row>
    <row r="2192" spans="1:2">
      <c r="A2192">
        <v>321.2</v>
      </c>
      <c r="B2192">
        <v>490.2</v>
      </c>
    </row>
    <row r="2193" spans="1:2">
      <c r="A2193">
        <v>319.2</v>
      </c>
      <c r="B2193">
        <v>489.5</v>
      </c>
    </row>
    <row r="2194" spans="1:2">
      <c r="A2194">
        <v>307.89999999999998</v>
      </c>
      <c r="B2194">
        <v>495.2</v>
      </c>
    </row>
    <row r="2195" spans="1:2">
      <c r="A2195">
        <v>307.5</v>
      </c>
      <c r="B2195">
        <v>492.6</v>
      </c>
    </row>
    <row r="2196" spans="1:2">
      <c r="A2196">
        <v>304.5</v>
      </c>
      <c r="B2196">
        <v>492</v>
      </c>
    </row>
    <row r="2197" spans="1:2">
      <c r="A2197">
        <v>299.3</v>
      </c>
      <c r="B2197">
        <v>488.1</v>
      </c>
    </row>
    <row r="2198" spans="1:2">
      <c r="A2198">
        <v>295</v>
      </c>
      <c r="B2198">
        <v>490.8</v>
      </c>
    </row>
    <row r="2199" spans="1:2">
      <c r="A2199">
        <v>293.2</v>
      </c>
      <c r="B2199">
        <v>487.9</v>
      </c>
    </row>
    <row r="2200" spans="1:2">
      <c r="A2200">
        <v>288.2</v>
      </c>
      <c r="B2200">
        <v>486.5</v>
      </c>
    </row>
    <row r="2201" spans="1:2">
      <c r="A2201">
        <v>286.5</v>
      </c>
      <c r="B2201">
        <v>482.1</v>
      </c>
    </row>
    <row r="2202" spans="1:2">
      <c r="A2202">
        <v>284.2</v>
      </c>
      <c r="B2202">
        <v>481.5</v>
      </c>
    </row>
    <row r="2203" spans="1:2">
      <c r="A2203">
        <v>279.5</v>
      </c>
      <c r="B2203">
        <v>485.1</v>
      </c>
    </row>
    <row r="2204" spans="1:2">
      <c r="A2204">
        <v>271.89999999999998</v>
      </c>
      <c r="B2204">
        <v>485.2</v>
      </c>
    </row>
    <row r="2205" spans="1:2">
      <c r="A2205">
        <v>263</v>
      </c>
      <c r="B2205">
        <v>492.2</v>
      </c>
    </row>
    <row r="2206" spans="1:2">
      <c r="A2206">
        <v>258.89999999999998</v>
      </c>
      <c r="B2206">
        <v>489.8</v>
      </c>
    </row>
    <row r="2207" spans="1:2">
      <c r="A2207">
        <v>257.10000000000002</v>
      </c>
      <c r="B2207">
        <v>491.2</v>
      </c>
    </row>
    <row r="2208" spans="1:2">
      <c r="A2208">
        <v>259.7</v>
      </c>
      <c r="B2208">
        <v>501.1</v>
      </c>
    </row>
    <row r="2209" spans="1:2">
      <c r="A2209">
        <v>261.89999999999998</v>
      </c>
      <c r="B2209">
        <v>499.8</v>
      </c>
    </row>
    <row r="2210" spans="1:2">
      <c r="A2210">
        <v>263.60000000000002</v>
      </c>
      <c r="B2210">
        <v>494.9</v>
      </c>
    </row>
    <row r="2211" spans="1:2">
      <c r="A2211">
        <v>265.60000000000002</v>
      </c>
      <c r="B2211">
        <v>497.3</v>
      </c>
    </row>
    <row r="2212" spans="1:2">
      <c r="A2212">
        <v>266.8</v>
      </c>
      <c r="B2212">
        <v>495.4</v>
      </c>
    </row>
    <row r="2213" spans="1:2">
      <c r="A2213">
        <v>267.10000000000002</v>
      </c>
      <c r="B2213">
        <v>497.5</v>
      </c>
    </row>
    <row r="2214" spans="1:2">
      <c r="A2214">
        <v>269.3</v>
      </c>
      <c r="B2214">
        <v>497</v>
      </c>
    </row>
    <row r="2215" spans="1:2">
      <c r="A2215">
        <v>269.5</v>
      </c>
      <c r="B2215">
        <v>498.7</v>
      </c>
    </row>
    <row r="2216" spans="1:2">
      <c r="A2216">
        <v>275</v>
      </c>
      <c r="B2216">
        <v>502</v>
      </c>
    </row>
    <row r="2217" spans="1:2">
      <c r="A2217">
        <v>276</v>
      </c>
      <c r="B2217">
        <v>501</v>
      </c>
    </row>
    <row r="2218" spans="1:2">
      <c r="A2218">
        <v>281.2</v>
      </c>
      <c r="B2218">
        <v>502.7</v>
      </c>
    </row>
    <row r="2219" spans="1:2">
      <c r="A2219">
        <v>282.89999999999998</v>
      </c>
      <c r="B2219">
        <v>502</v>
      </c>
    </row>
    <row r="2220" spans="1:2">
      <c r="A2220">
        <v>284.89999999999998</v>
      </c>
      <c r="B2220">
        <v>505</v>
      </c>
    </row>
    <row r="2221" spans="1:2">
      <c r="A2221">
        <v>282.2</v>
      </c>
      <c r="B2221">
        <v>508.1</v>
      </c>
    </row>
    <row r="2222" spans="1:2">
      <c r="A2222">
        <v>281.39999999999998</v>
      </c>
      <c r="B2222">
        <v>512.79999999999995</v>
      </c>
    </row>
    <row r="2223" spans="1:2">
      <c r="A2223">
        <v>286.10000000000002</v>
      </c>
      <c r="B2223">
        <v>512.29999999999995</v>
      </c>
    </row>
    <row r="2224" spans="1:2">
      <c r="A2224">
        <v>287.89999999999998</v>
      </c>
      <c r="B2224">
        <v>515.20000000000005</v>
      </c>
    </row>
    <row r="2225" spans="1:2">
      <c r="A2225">
        <v>291.60000000000002</v>
      </c>
      <c r="B2225">
        <v>511.2</v>
      </c>
    </row>
    <row r="2226" spans="1:2">
      <c r="A2226">
        <v>297.10000000000002</v>
      </c>
      <c r="B2226">
        <v>523.6</v>
      </c>
    </row>
    <row r="2227" spans="1:2">
      <c r="A2227">
        <v>299.89999999999998</v>
      </c>
      <c r="B2227">
        <v>524</v>
      </c>
    </row>
    <row r="2229" spans="1:2">
      <c r="A2229">
        <v>309.60000000000002</v>
      </c>
      <c r="B2229">
        <v>495.3</v>
      </c>
    </row>
    <row r="2230" spans="1:2">
      <c r="A2230">
        <v>313.8</v>
      </c>
      <c r="B2230">
        <v>491.5</v>
      </c>
    </row>
    <row r="2231" spans="1:2">
      <c r="A2231">
        <v>315</v>
      </c>
      <c r="B2231">
        <v>492.3</v>
      </c>
    </row>
    <row r="2232" spans="1:2">
      <c r="A2232">
        <v>318.10000000000002</v>
      </c>
      <c r="B2232">
        <v>489.4</v>
      </c>
    </row>
    <row r="2233" spans="1:2">
      <c r="A2233">
        <v>322.3</v>
      </c>
      <c r="B2233">
        <v>488.9</v>
      </c>
    </row>
    <row r="2234" spans="1:2">
      <c r="A2234">
        <v>323.89999999999998</v>
      </c>
      <c r="B2234">
        <v>479.2</v>
      </c>
    </row>
    <row r="2235" spans="1:2">
      <c r="A2235">
        <v>323.5</v>
      </c>
      <c r="B2235">
        <v>477.2</v>
      </c>
    </row>
    <row r="2236" spans="1:2">
      <c r="A2236">
        <v>318.8</v>
      </c>
      <c r="B2236">
        <v>473.7</v>
      </c>
    </row>
    <row r="2237" spans="1:2">
      <c r="A2237">
        <v>320.7</v>
      </c>
      <c r="B2237">
        <v>466</v>
      </c>
    </row>
    <row r="2238" spans="1:2">
      <c r="A2238">
        <v>319.8</v>
      </c>
      <c r="B2238">
        <v>464.5</v>
      </c>
    </row>
    <row r="2239" spans="1:2">
      <c r="A2239">
        <v>313.7</v>
      </c>
      <c r="B2239">
        <v>464.3</v>
      </c>
    </row>
    <row r="2240" spans="1:2">
      <c r="A2240">
        <v>313.8</v>
      </c>
      <c r="B2240">
        <v>458.7</v>
      </c>
    </row>
    <row r="2241" spans="1:2">
      <c r="A2241">
        <v>312.2</v>
      </c>
      <c r="B2241">
        <v>458.4</v>
      </c>
    </row>
    <row r="2242" spans="1:2">
      <c r="A2242">
        <v>312.2</v>
      </c>
      <c r="B2242">
        <v>456.6</v>
      </c>
    </row>
    <row r="2243" spans="1:2">
      <c r="A2243">
        <v>308.10000000000002</v>
      </c>
      <c r="B2243">
        <v>456.9</v>
      </c>
    </row>
    <row r="2244" spans="1:2">
      <c r="A2244">
        <v>307</v>
      </c>
      <c r="B2244">
        <v>454.1</v>
      </c>
    </row>
    <row r="2245" spans="1:2">
      <c r="A2245">
        <v>302</v>
      </c>
      <c r="B2245">
        <v>455.2</v>
      </c>
    </row>
    <row r="2246" spans="1:2">
      <c r="A2246">
        <v>300.39999999999998</v>
      </c>
      <c r="B2246">
        <v>457.8</v>
      </c>
    </row>
    <row r="2247" spans="1:2">
      <c r="A2247">
        <v>301.5</v>
      </c>
      <c r="B2247">
        <v>461.1</v>
      </c>
    </row>
    <row r="2248" spans="1:2">
      <c r="A2248">
        <v>303.89999999999998</v>
      </c>
      <c r="B2248">
        <v>461.5</v>
      </c>
    </row>
    <row r="2249" spans="1:2">
      <c r="A2249">
        <v>303.8</v>
      </c>
      <c r="B2249">
        <v>464.2</v>
      </c>
    </row>
    <row r="2250" spans="1:2">
      <c r="A2250">
        <v>306</v>
      </c>
      <c r="B2250">
        <v>465.8</v>
      </c>
    </row>
    <row r="2251" spans="1:2">
      <c r="A2251">
        <v>302.7</v>
      </c>
      <c r="B2251">
        <v>470</v>
      </c>
    </row>
    <row r="2252" spans="1:2">
      <c r="A2252">
        <v>293.10000000000002</v>
      </c>
      <c r="B2252">
        <v>471</v>
      </c>
    </row>
    <row r="2253" spans="1:2">
      <c r="A2253">
        <v>291.3</v>
      </c>
      <c r="B2253">
        <v>476.6</v>
      </c>
    </row>
    <row r="2254" spans="1:2">
      <c r="A2254">
        <v>289.2</v>
      </c>
      <c r="B2254">
        <v>472.9</v>
      </c>
    </row>
    <row r="2255" spans="1:2">
      <c r="A2255">
        <v>286.7</v>
      </c>
      <c r="B2255">
        <v>472.3</v>
      </c>
    </row>
    <row r="2256" spans="1:2">
      <c r="A2256">
        <v>286</v>
      </c>
      <c r="B2256">
        <v>465</v>
      </c>
    </row>
    <row r="2257" spans="1:2">
      <c r="A2257">
        <v>284.5</v>
      </c>
      <c r="B2257">
        <v>464.6</v>
      </c>
    </row>
    <row r="2258" spans="1:2">
      <c r="A2258">
        <v>283.5</v>
      </c>
      <c r="B2258">
        <v>468.7</v>
      </c>
    </row>
    <row r="2259" spans="1:2">
      <c r="A2259">
        <v>281.7</v>
      </c>
      <c r="B2259">
        <v>470.1</v>
      </c>
    </row>
    <row r="2260" spans="1:2">
      <c r="A2260">
        <v>280</v>
      </c>
      <c r="B2260">
        <v>469.3</v>
      </c>
    </row>
    <row r="2261" spans="1:2">
      <c r="A2261">
        <v>280</v>
      </c>
      <c r="B2261">
        <v>472.9</v>
      </c>
    </row>
    <row r="2262" spans="1:2">
      <c r="A2262">
        <v>276.5</v>
      </c>
      <c r="B2262">
        <v>476.2</v>
      </c>
    </row>
    <row r="2263" spans="1:2">
      <c r="A2263">
        <v>280.8</v>
      </c>
      <c r="B2263">
        <v>480</v>
      </c>
    </row>
    <row r="2264" spans="1:2">
      <c r="A2264">
        <v>286.5</v>
      </c>
      <c r="B2264">
        <v>482.1</v>
      </c>
    </row>
    <row r="2265" spans="1:2">
      <c r="A2265">
        <v>288.10000000000002</v>
      </c>
      <c r="B2265">
        <v>486.4</v>
      </c>
    </row>
    <row r="2266" spans="1:2">
      <c r="A2266">
        <v>293.2</v>
      </c>
      <c r="B2266">
        <v>487.9</v>
      </c>
    </row>
    <row r="2267" spans="1:2">
      <c r="A2267">
        <v>295</v>
      </c>
      <c r="B2267">
        <v>490.8</v>
      </c>
    </row>
    <row r="2268" spans="1:2">
      <c r="A2268">
        <v>299.3</v>
      </c>
      <c r="B2268">
        <v>488.1</v>
      </c>
    </row>
    <row r="2269" spans="1:2">
      <c r="A2269">
        <v>304.5</v>
      </c>
      <c r="B2269">
        <v>492</v>
      </c>
    </row>
    <row r="2270" spans="1:2">
      <c r="A2270">
        <v>307.10000000000002</v>
      </c>
      <c r="B2270">
        <v>492.3</v>
      </c>
    </row>
    <row r="2271" spans="1:2">
      <c r="A2271">
        <v>307.5</v>
      </c>
      <c r="B2271">
        <v>494.8</v>
      </c>
    </row>
    <row r="2272" spans="1:2">
      <c r="A2272">
        <v>309.60000000000002</v>
      </c>
      <c r="B2272">
        <v>495.3</v>
      </c>
    </row>
    <row r="2274" spans="1:2">
      <c r="A2274">
        <v>321.5</v>
      </c>
      <c r="B2274">
        <v>465.9</v>
      </c>
    </row>
    <row r="2275" spans="1:2">
      <c r="A2275">
        <v>326</v>
      </c>
      <c r="B2275">
        <v>462.7</v>
      </c>
    </row>
    <row r="2276" spans="1:2">
      <c r="A2276">
        <v>325.89999999999998</v>
      </c>
      <c r="B2276">
        <v>456.6</v>
      </c>
    </row>
    <row r="2277" spans="1:2">
      <c r="A2277">
        <v>330</v>
      </c>
      <c r="B2277">
        <v>453.3</v>
      </c>
    </row>
    <row r="2278" spans="1:2">
      <c r="A2278">
        <v>333.3</v>
      </c>
      <c r="B2278">
        <v>453.7</v>
      </c>
    </row>
    <row r="2279" spans="1:2">
      <c r="A2279">
        <v>334.1</v>
      </c>
      <c r="B2279">
        <v>458.9</v>
      </c>
    </row>
    <row r="2280" spans="1:2">
      <c r="A2280">
        <v>336.8</v>
      </c>
      <c r="B2280">
        <v>458.3</v>
      </c>
    </row>
    <row r="2281" spans="1:2">
      <c r="A2281">
        <v>338</v>
      </c>
      <c r="B2281">
        <v>455.2</v>
      </c>
    </row>
    <row r="2282" spans="1:2">
      <c r="A2282">
        <v>341</v>
      </c>
      <c r="B2282">
        <v>454.6</v>
      </c>
    </row>
    <row r="2283" spans="1:2">
      <c r="A2283">
        <v>341.3</v>
      </c>
      <c r="B2283">
        <v>453.1</v>
      </c>
    </row>
    <row r="2284" spans="1:2">
      <c r="A2284">
        <v>347.8</v>
      </c>
      <c r="B2284">
        <v>452.1</v>
      </c>
    </row>
    <row r="2285" spans="1:2">
      <c r="A2285">
        <v>346.9</v>
      </c>
      <c r="B2285">
        <v>449.7</v>
      </c>
    </row>
    <row r="2286" spans="1:2">
      <c r="A2286">
        <v>348</v>
      </c>
      <c r="B2286">
        <v>445.8</v>
      </c>
    </row>
    <row r="2287" spans="1:2">
      <c r="A2287">
        <v>351.7</v>
      </c>
      <c r="B2287">
        <v>445.5</v>
      </c>
    </row>
    <row r="2288" spans="1:2">
      <c r="A2288">
        <v>353.7</v>
      </c>
      <c r="B2288">
        <v>441.5</v>
      </c>
    </row>
    <row r="2289" spans="1:2">
      <c r="A2289">
        <v>358.3</v>
      </c>
      <c r="B2289">
        <v>441.8</v>
      </c>
    </row>
    <row r="2290" spans="1:2">
      <c r="A2290">
        <v>363</v>
      </c>
      <c r="B2290">
        <v>444.7</v>
      </c>
    </row>
    <row r="2291" spans="1:2">
      <c r="A2291">
        <v>371.2</v>
      </c>
      <c r="B2291">
        <v>439.9</v>
      </c>
    </row>
    <row r="2292" spans="1:2">
      <c r="A2292">
        <v>375</v>
      </c>
      <c r="B2292">
        <v>440</v>
      </c>
    </row>
    <row r="2293" spans="1:2">
      <c r="A2293">
        <v>376.3</v>
      </c>
      <c r="B2293">
        <v>437.7</v>
      </c>
    </row>
    <row r="2294" spans="1:2">
      <c r="A2294">
        <v>373.5</v>
      </c>
      <c r="B2294">
        <v>433.7</v>
      </c>
    </row>
    <row r="2295" spans="1:2">
      <c r="A2295">
        <v>375.1</v>
      </c>
      <c r="B2295">
        <v>432.8</v>
      </c>
    </row>
    <row r="2296" spans="1:2">
      <c r="A2296">
        <v>374.2</v>
      </c>
      <c r="B2296">
        <v>429.6</v>
      </c>
    </row>
    <row r="2297" spans="1:2">
      <c r="A2297">
        <v>375.2</v>
      </c>
      <c r="B2297">
        <v>428.5</v>
      </c>
    </row>
    <row r="2298" spans="1:2">
      <c r="A2298">
        <v>377.2</v>
      </c>
      <c r="B2298">
        <v>429.2</v>
      </c>
    </row>
    <row r="2299" spans="1:2">
      <c r="A2299">
        <v>376</v>
      </c>
      <c r="B2299">
        <v>426.7</v>
      </c>
    </row>
    <row r="2300" spans="1:2">
      <c r="A2300">
        <v>371.6</v>
      </c>
      <c r="B2300">
        <v>427.4</v>
      </c>
    </row>
    <row r="2301" spans="1:2">
      <c r="A2301">
        <v>370.1</v>
      </c>
      <c r="B2301">
        <v>430.3</v>
      </c>
    </row>
    <row r="2302" spans="1:2">
      <c r="A2302">
        <v>365.8</v>
      </c>
      <c r="B2302">
        <v>431.8</v>
      </c>
    </row>
    <row r="2303" spans="1:2">
      <c r="A2303">
        <v>364.5</v>
      </c>
      <c r="B2303">
        <v>428.7</v>
      </c>
    </row>
    <row r="2304" spans="1:2">
      <c r="A2304">
        <v>363.7</v>
      </c>
      <c r="B2304">
        <v>429.2</v>
      </c>
    </row>
    <row r="2305" spans="1:2">
      <c r="A2305">
        <v>363.2</v>
      </c>
      <c r="B2305">
        <v>424.8</v>
      </c>
    </row>
    <row r="2306" spans="1:2">
      <c r="A2306">
        <v>358.8</v>
      </c>
      <c r="B2306">
        <v>426.2</v>
      </c>
    </row>
    <row r="2307" spans="1:2">
      <c r="A2307">
        <v>352</v>
      </c>
      <c r="B2307">
        <v>431.3</v>
      </c>
    </row>
    <row r="2308" spans="1:2">
      <c r="A2308">
        <v>350.6</v>
      </c>
      <c r="B2308">
        <v>430.1</v>
      </c>
    </row>
    <row r="2309" spans="1:2">
      <c r="A2309">
        <v>344.6</v>
      </c>
      <c r="B2309">
        <v>431.5</v>
      </c>
    </row>
    <row r="2310" spans="1:2">
      <c r="A2310">
        <v>341</v>
      </c>
      <c r="B2310">
        <v>435.4</v>
      </c>
    </row>
    <row r="2311" spans="1:2">
      <c r="A2311">
        <v>339.3</v>
      </c>
      <c r="B2311">
        <v>433.7</v>
      </c>
    </row>
    <row r="2312" spans="1:2">
      <c r="A2312">
        <v>334.7</v>
      </c>
      <c r="B2312">
        <v>432.9</v>
      </c>
    </row>
    <row r="2313" spans="1:2">
      <c r="A2313">
        <v>331.1</v>
      </c>
      <c r="B2313">
        <v>438.9</v>
      </c>
    </row>
    <row r="2314" spans="1:2">
      <c r="A2314">
        <v>327</v>
      </c>
      <c r="B2314">
        <v>438.9</v>
      </c>
    </row>
    <row r="2315" spans="1:2">
      <c r="A2315">
        <v>323.60000000000002</v>
      </c>
      <c r="B2315">
        <v>436.3</v>
      </c>
    </row>
    <row r="2316" spans="1:2">
      <c r="A2316">
        <v>322</v>
      </c>
      <c r="B2316">
        <v>437.2</v>
      </c>
    </row>
    <row r="2317" spans="1:2">
      <c r="A2317">
        <v>320.60000000000002</v>
      </c>
      <c r="B2317">
        <v>439.2</v>
      </c>
    </row>
    <row r="2318" spans="1:2">
      <c r="A2318">
        <v>323.60000000000002</v>
      </c>
      <c r="B2318">
        <v>440.4</v>
      </c>
    </row>
    <row r="2319" spans="1:2">
      <c r="A2319">
        <v>326.39999999999998</v>
      </c>
      <c r="B2319">
        <v>445.2</v>
      </c>
    </row>
    <row r="2320" spans="1:2">
      <c r="A2320">
        <v>325.2</v>
      </c>
      <c r="B2320">
        <v>446</v>
      </c>
    </row>
    <row r="2321" spans="1:2">
      <c r="A2321">
        <v>321</v>
      </c>
      <c r="B2321">
        <v>444.3</v>
      </c>
    </row>
    <row r="2322" spans="1:2">
      <c r="A2322">
        <v>319.5</v>
      </c>
      <c r="B2322">
        <v>446.6</v>
      </c>
    </row>
    <row r="2323" spans="1:2">
      <c r="A2323">
        <v>317.60000000000002</v>
      </c>
      <c r="B2323">
        <v>446.4</v>
      </c>
    </row>
    <row r="2324" spans="1:2">
      <c r="A2324">
        <v>315.7</v>
      </c>
      <c r="B2324">
        <v>448.7</v>
      </c>
    </row>
    <row r="2325" spans="1:2">
      <c r="A2325">
        <v>316.2</v>
      </c>
      <c r="B2325">
        <v>453</v>
      </c>
    </row>
    <row r="2326" spans="1:2">
      <c r="A2326">
        <v>314.7</v>
      </c>
      <c r="B2326">
        <v>454</v>
      </c>
    </row>
    <row r="2327" spans="1:2">
      <c r="A2327">
        <v>310</v>
      </c>
      <c r="B2327">
        <v>451.1</v>
      </c>
    </row>
    <row r="2328" spans="1:2">
      <c r="A2328">
        <v>307.60000000000002</v>
      </c>
      <c r="B2328">
        <v>451.3</v>
      </c>
    </row>
    <row r="2329" spans="1:2">
      <c r="A2329">
        <v>306.89999999999998</v>
      </c>
      <c r="B2329">
        <v>453.5</v>
      </c>
    </row>
    <row r="2330" spans="1:2">
      <c r="A2330">
        <v>308</v>
      </c>
      <c r="B2330">
        <v>456.8</v>
      </c>
    </row>
    <row r="2331" spans="1:2">
      <c r="A2331">
        <v>312.2</v>
      </c>
      <c r="B2331">
        <v>456.6</v>
      </c>
    </row>
    <row r="2332" spans="1:2">
      <c r="A2332">
        <v>312.2</v>
      </c>
      <c r="B2332">
        <v>458.4</v>
      </c>
    </row>
    <row r="2333" spans="1:2">
      <c r="A2333">
        <v>313.8</v>
      </c>
      <c r="B2333">
        <v>458.7</v>
      </c>
    </row>
    <row r="2334" spans="1:2">
      <c r="A2334">
        <v>313.7</v>
      </c>
      <c r="B2334">
        <v>464.3</v>
      </c>
    </row>
    <row r="2335" spans="1:2">
      <c r="A2335">
        <v>318.2</v>
      </c>
      <c r="B2335">
        <v>463.8</v>
      </c>
    </row>
    <row r="2336" spans="1:2">
      <c r="A2336">
        <v>321.5</v>
      </c>
      <c r="B2336">
        <v>465.9</v>
      </c>
    </row>
    <row r="2338" spans="1:2">
      <c r="A2338">
        <v>324.8</v>
      </c>
      <c r="B2338">
        <v>497.9</v>
      </c>
    </row>
    <row r="2339" spans="1:2">
      <c r="A2339">
        <v>325.8</v>
      </c>
      <c r="B2339">
        <v>496.4</v>
      </c>
    </row>
    <row r="2340" spans="1:2">
      <c r="A2340">
        <v>329</v>
      </c>
      <c r="B2340">
        <v>497.4</v>
      </c>
    </row>
    <row r="2341" spans="1:2">
      <c r="A2341">
        <v>333.9</v>
      </c>
      <c r="B2341">
        <v>496.2</v>
      </c>
    </row>
    <row r="2342" spans="1:2">
      <c r="A2342">
        <v>336.3</v>
      </c>
      <c r="B2342">
        <v>497.6</v>
      </c>
    </row>
    <row r="2343" spans="1:2">
      <c r="A2343">
        <v>337.6</v>
      </c>
      <c r="B2343">
        <v>500.8</v>
      </c>
    </row>
    <row r="2344" spans="1:2">
      <c r="A2344">
        <v>343.3</v>
      </c>
      <c r="B2344">
        <v>500.8</v>
      </c>
    </row>
    <row r="2345" spans="1:2">
      <c r="A2345">
        <v>345.1</v>
      </c>
      <c r="B2345">
        <v>508.4</v>
      </c>
    </row>
    <row r="2346" spans="1:2">
      <c r="A2346">
        <v>348.5</v>
      </c>
      <c r="B2346">
        <v>510.6</v>
      </c>
    </row>
    <row r="2347" spans="1:2">
      <c r="A2347">
        <v>350</v>
      </c>
      <c r="B2347">
        <v>509.3</v>
      </c>
    </row>
    <row r="2348" spans="1:2">
      <c r="A2348">
        <v>350.2</v>
      </c>
      <c r="B2348">
        <v>505</v>
      </c>
    </row>
    <row r="2349" spans="1:2">
      <c r="A2349">
        <v>353.3</v>
      </c>
      <c r="B2349">
        <v>506.4</v>
      </c>
    </row>
    <row r="2350" spans="1:2">
      <c r="A2350">
        <v>356.2</v>
      </c>
      <c r="B2350">
        <v>504.8</v>
      </c>
    </row>
    <row r="2351" spans="1:2">
      <c r="A2351">
        <v>358.6</v>
      </c>
      <c r="B2351">
        <v>505.2</v>
      </c>
    </row>
    <row r="2352" spans="1:2">
      <c r="A2352">
        <v>362.6</v>
      </c>
      <c r="B2352">
        <v>502</v>
      </c>
    </row>
    <row r="2353" spans="1:2">
      <c r="A2353">
        <v>364.4</v>
      </c>
      <c r="B2353">
        <v>494.7</v>
      </c>
    </row>
    <row r="2354" spans="1:2">
      <c r="A2354">
        <v>361.6</v>
      </c>
      <c r="B2354">
        <v>492.5</v>
      </c>
    </row>
    <row r="2355" spans="1:2">
      <c r="A2355">
        <v>361.9</v>
      </c>
      <c r="B2355">
        <v>487.8</v>
      </c>
    </row>
    <row r="2356" spans="1:2">
      <c r="A2356">
        <v>360.8</v>
      </c>
      <c r="B2356">
        <v>487.9</v>
      </c>
    </row>
    <row r="2357" spans="1:2">
      <c r="A2357">
        <v>359.8</v>
      </c>
      <c r="B2357">
        <v>485.5</v>
      </c>
    </row>
    <row r="2358" spans="1:2">
      <c r="A2358">
        <v>357.3</v>
      </c>
      <c r="B2358">
        <v>486</v>
      </c>
    </row>
    <row r="2359" spans="1:2">
      <c r="A2359">
        <v>356.5</v>
      </c>
      <c r="B2359">
        <v>482</v>
      </c>
    </row>
    <row r="2360" spans="1:2">
      <c r="A2360">
        <v>353.9</v>
      </c>
      <c r="B2360">
        <v>481.6</v>
      </c>
    </row>
    <row r="2361" spans="1:2">
      <c r="A2361">
        <v>353.5</v>
      </c>
      <c r="B2361">
        <v>480.3</v>
      </c>
    </row>
    <row r="2362" spans="1:2">
      <c r="A2362">
        <v>352.2</v>
      </c>
      <c r="B2362">
        <v>483.8</v>
      </c>
    </row>
    <row r="2363" spans="1:2">
      <c r="A2363">
        <v>350.1</v>
      </c>
      <c r="B2363">
        <v>483.4</v>
      </c>
    </row>
    <row r="2364" spans="1:2">
      <c r="A2364">
        <v>348</v>
      </c>
      <c r="B2364">
        <v>477.1</v>
      </c>
    </row>
    <row r="2365" spans="1:2">
      <c r="A2365">
        <v>348.6</v>
      </c>
      <c r="B2365">
        <v>474.5</v>
      </c>
    </row>
    <row r="2366" spans="1:2">
      <c r="A2366">
        <v>346.9</v>
      </c>
      <c r="B2366">
        <v>476</v>
      </c>
    </row>
    <row r="2367" spans="1:2">
      <c r="A2367">
        <v>346.8</v>
      </c>
      <c r="B2367">
        <v>471.7</v>
      </c>
    </row>
    <row r="2368" spans="1:2">
      <c r="A2368">
        <v>342.4</v>
      </c>
      <c r="B2368">
        <v>471</v>
      </c>
    </row>
    <row r="2369" spans="1:2">
      <c r="A2369">
        <v>342</v>
      </c>
      <c r="B2369">
        <v>466.2</v>
      </c>
    </row>
    <row r="2370" spans="1:2">
      <c r="A2370">
        <v>344.8</v>
      </c>
      <c r="B2370">
        <v>464.7</v>
      </c>
    </row>
    <row r="2371" spans="1:2">
      <c r="A2371">
        <v>345.4</v>
      </c>
      <c r="B2371">
        <v>460.2</v>
      </c>
    </row>
    <row r="2372" spans="1:2">
      <c r="A2372">
        <v>347</v>
      </c>
      <c r="B2372">
        <v>459.2</v>
      </c>
    </row>
    <row r="2373" spans="1:2">
      <c r="A2373">
        <v>349.7</v>
      </c>
      <c r="B2373">
        <v>452.4</v>
      </c>
    </row>
    <row r="2374" spans="1:2">
      <c r="A2374">
        <v>348.4</v>
      </c>
      <c r="B2374">
        <v>450.7</v>
      </c>
    </row>
    <row r="2375" spans="1:2">
      <c r="A2375">
        <v>346.2</v>
      </c>
      <c r="B2375">
        <v>453</v>
      </c>
    </row>
    <row r="2376" spans="1:2">
      <c r="A2376">
        <v>341.3</v>
      </c>
      <c r="B2376">
        <v>453.1</v>
      </c>
    </row>
    <row r="2377" spans="1:2">
      <c r="A2377">
        <v>341</v>
      </c>
      <c r="B2377">
        <v>454.6</v>
      </c>
    </row>
    <row r="2378" spans="1:2">
      <c r="A2378">
        <v>338</v>
      </c>
      <c r="B2378">
        <v>455.2</v>
      </c>
    </row>
    <row r="2379" spans="1:2">
      <c r="A2379">
        <v>337.1</v>
      </c>
      <c r="B2379">
        <v>458.1</v>
      </c>
    </row>
    <row r="2380" spans="1:2">
      <c r="A2380">
        <v>334.3</v>
      </c>
      <c r="B2380">
        <v>459</v>
      </c>
    </row>
    <row r="2381" spans="1:2">
      <c r="A2381">
        <v>333.3</v>
      </c>
      <c r="B2381">
        <v>453.7</v>
      </c>
    </row>
    <row r="2382" spans="1:2">
      <c r="A2382">
        <v>330.1</v>
      </c>
      <c r="B2382">
        <v>453.3</v>
      </c>
    </row>
    <row r="2383" spans="1:2">
      <c r="A2383">
        <v>325.89999999999998</v>
      </c>
      <c r="B2383">
        <v>456.6</v>
      </c>
    </row>
    <row r="2384" spans="1:2">
      <c r="A2384">
        <v>326</v>
      </c>
      <c r="B2384">
        <v>462.7</v>
      </c>
    </row>
    <row r="2385" spans="1:2">
      <c r="A2385">
        <v>320.2</v>
      </c>
      <c r="B2385">
        <v>466.9</v>
      </c>
    </row>
    <row r="2386" spans="1:2">
      <c r="A2386">
        <v>318.8</v>
      </c>
      <c r="B2386">
        <v>473.7</v>
      </c>
    </row>
    <row r="2387" spans="1:2">
      <c r="A2387">
        <v>323.5</v>
      </c>
      <c r="B2387">
        <v>477.2</v>
      </c>
    </row>
    <row r="2388" spans="1:2">
      <c r="A2388">
        <v>323.89999999999998</v>
      </c>
      <c r="B2388">
        <v>480</v>
      </c>
    </row>
    <row r="2389" spans="1:2">
      <c r="A2389">
        <v>322.3</v>
      </c>
      <c r="B2389">
        <v>488.9</v>
      </c>
    </row>
    <row r="2390" spans="1:2">
      <c r="A2390">
        <v>319.7</v>
      </c>
      <c r="B2390">
        <v>489.7</v>
      </c>
    </row>
    <row r="2391" spans="1:2">
      <c r="A2391">
        <v>321.2</v>
      </c>
      <c r="B2391">
        <v>490.2</v>
      </c>
    </row>
    <row r="2392" spans="1:2">
      <c r="A2392">
        <v>321.7</v>
      </c>
      <c r="B2392">
        <v>494.2</v>
      </c>
    </row>
    <row r="2393" spans="1:2">
      <c r="A2393">
        <v>324.8</v>
      </c>
      <c r="B2393">
        <v>497.9</v>
      </c>
    </row>
    <row r="2395" spans="1:2">
      <c r="A2395">
        <v>375.4</v>
      </c>
      <c r="B2395">
        <v>485.4</v>
      </c>
    </row>
    <row r="2396" spans="1:2">
      <c r="A2396">
        <v>376.8</v>
      </c>
      <c r="B2396">
        <v>481.6</v>
      </c>
    </row>
    <row r="2397" spans="1:2">
      <c r="A2397">
        <v>379.5</v>
      </c>
      <c r="B2397">
        <v>480</v>
      </c>
    </row>
    <row r="2398" spans="1:2">
      <c r="A2398">
        <v>381.6</v>
      </c>
      <c r="B2398">
        <v>481.2</v>
      </c>
    </row>
    <row r="2399" spans="1:2">
      <c r="A2399">
        <v>382.7</v>
      </c>
      <c r="B2399">
        <v>479.5</v>
      </c>
    </row>
    <row r="2400" spans="1:2">
      <c r="A2400">
        <v>381.7</v>
      </c>
      <c r="B2400">
        <v>476.9</v>
      </c>
    </row>
    <row r="2401" spans="1:2">
      <c r="A2401">
        <v>384.1</v>
      </c>
      <c r="B2401">
        <v>474.2</v>
      </c>
    </row>
    <row r="2402" spans="1:2">
      <c r="A2402">
        <v>381.3</v>
      </c>
      <c r="B2402">
        <v>470.1</v>
      </c>
    </row>
    <row r="2403" spans="1:2">
      <c r="A2403">
        <v>376.5</v>
      </c>
      <c r="B2403">
        <v>469.1</v>
      </c>
    </row>
    <row r="2404" spans="1:2">
      <c r="A2404">
        <v>371.8</v>
      </c>
      <c r="B2404">
        <v>460.3</v>
      </c>
    </row>
    <row r="2405" spans="1:2">
      <c r="A2405">
        <v>371.5</v>
      </c>
      <c r="B2405">
        <v>458.6</v>
      </c>
    </row>
    <row r="2406" spans="1:2">
      <c r="A2406">
        <v>374.3</v>
      </c>
      <c r="B2406">
        <v>456.8</v>
      </c>
    </row>
    <row r="2407" spans="1:2">
      <c r="A2407">
        <v>372.7</v>
      </c>
      <c r="B2407">
        <v>454.1</v>
      </c>
    </row>
    <row r="2408" spans="1:2">
      <c r="A2408">
        <v>375.3</v>
      </c>
      <c r="B2408">
        <v>451.7</v>
      </c>
    </row>
    <row r="2409" spans="1:2">
      <c r="A2409">
        <v>374.5</v>
      </c>
      <c r="B2409">
        <v>450.4</v>
      </c>
    </row>
    <row r="2410" spans="1:2">
      <c r="A2410">
        <v>377.7</v>
      </c>
      <c r="B2410">
        <v>444.7</v>
      </c>
    </row>
    <row r="2411" spans="1:2">
      <c r="A2411">
        <v>377.3</v>
      </c>
      <c r="B2411">
        <v>438</v>
      </c>
    </row>
    <row r="2412" spans="1:2">
      <c r="A2412">
        <v>376.2</v>
      </c>
      <c r="B2412">
        <v>437.8</v>
      </c>
    </row>
    <row r="2413" spans="1:2">
      <c r="A2413">
        <v>374.9</v>
      </c>
      <c r="B2413">
        <v>440.1</v>
      </c>
    </row>
    <row r="2414" spans="1:2">
      <c r="A2414">
        <v>371.2</v>
      </c>
      <c r="B2414">
        <v>439.9</v>
      </c>
    </row>
    <row r="2415" spans="1:2">
      <c r="A2415">
        <v>363.5</v>
      </c>
      <c r="B2415">
        <v>444.7</v>
      </c>
    </row>
    <row r="2416" spans="1:2">
      <c r="A2416">
        <v>358.3</v>
      </c>
      <c r="B2416">
        <v>441.8</v>
      </c>
    </row>
    <row r="2417" spans="1:2">
      <c r="A2417">
        <v>353.7</v>
      </c>
      <c r="B2417">
        <v>441.5</v>
      </c>
    </row>
    <row r="2418" spans="1:2">
      <c r="A2418">
        <v>351.7</v>
      </c>
      <c r="B2418">
        <v>445.5</v>
      </c>
    </row>
    <row r="2419" spans="1:2">
      <c r="A2419">
        <v>348</v>
      </c>
      <c r="B2419">
        <v>445.8</v>
      </c>
    </row>
    <row r="2420" spans="1:2">
      <c r="A2420">
        <v>347</v>
      </c>
      <c r="B2420">
        <v>450.7</v>
      </c>
    </row>
    <row r="2421" spans="1:2">
      <c r="A2421">
        <v>349.7</v>
      </c>
      <c r="B2421">
        <v>452.4</v>
      </c>
    </row>
    <row r="2422" spans="1:2">
      <c r="A2422">
        <v>347</v>
      </c>
      <c r="B2422">
        <v>459.2</v>
      </c>
    </row>
    <row r="2423" spans="1:2">
      <c r="A2423">
        <v>345.4</v>
      </c>
      <c r="B2423">
        <v>460.2</v>
      </c>
    </row>
    <row r="2424" spans="1:2">
      <c r="A2424">
        <v>344.7</v>
      </c>
      <c r="B2424">
        <v>465</v>
      </c>
    </row>
    <row r="2425" spans="1:2">
      <c r="A2425">
        <v>342</v>
      </c>
      <c r="B2425">
        <v>466.2</v>
      </c>
    </row>
    <row r="2426" spans="1:2">
      <c r="A2426">
        <v>342.4</v>
      </c>
      <c r="B2426">
        <v>471</v>
      </c>
    </row>
    <row r="2427" spans="1:2">
      <c r="A2427">
        <v>346.8</v>
      </c>
      <c r="B2427">
        <v>471.7</v>
      </c>
    </row>
    <row r="2428" spans="1:2">
      <c r="A2428">
        <v>346.2</v>
      </c>
      <c r="B2428">
        <v>474.7</v>
      </c>
    </row>
    <row r="2429" spans="1:2">
      <c r="A2429">
        <v>346.9</v>
      </c>
      <c r="B2429">
        <v>476</v>
      </c>
    </row>
    <row r="2430" spans="1:2">
      <c r="A2430">
        <v>348.6</v>
      </c>
      <c r="B2430">
        <v>474.5</v>
      </c>
    </row>
    <row r="2431" spans="1:2">
      <c r="A2431">
        <v>349</v>
      </c>
      <c r="B2431">
        <v>482</v>
      </c>
    </row>
    <row r="2432" spans="1:2">
      <c r="A2432">
        <v>351.4</v>
      </c>
      <c r="B2432">
        <v>484.1</v>
      </c>
    </row>
    <row r="2433" spans="1:2">
      <c r="A2433">
        <v>353</v>
      </c>
      <c r="B2433">
        <v>480.2</v>
      </c>
    </row>
    <row r="2434" spans="1:2">
      <c r="A2434">
        <v>356.5</v>
      </c>
      <c r="B2434">
        <v>482</v>
      </c>
    </row>
    <row r="2435" spans="1:2">
      <c r="A2435">
        <v>356.7</v>
      </c>
      <c r="B2435">
        <v>483.5</v>
      </c>
    </row>
    <row r="2436" spans="1:2">
      <c r="A2436">
        <v>359.4</v>
      </c>
      <c r="B2436">
        <v>479.4</v>
      </c>
    </row>
    <row r="2437" spans="1:2">
      <c r="A2437">
        <v>362.2</v>
      </c>
      <c r="B2437">
        <v>481</v>
      </c>
    </row>
    <row r="2438" spans="1:2">
      <c r="A2438">
        <v>366.7</v>
      </c>
      <c r="B2438">
        <v>480.1</v>
      </c>
    </row>
    <row r="2439" spans="1:2">
      <c r="A2439">
        <v>368.7</v>
      </c>
      <c r="B2439">
        <v>476.2</v>
      </c>
    </row>
    <row r="2440" spans="1:2">
      <c r="A2440">
        <v>371.8</v>
      </c>
      <c r="B2440">
        <v>477.6</v>
      </c>
    </row>
    <row r="2441" spans="1:2">
      <c r="A2441">
        <v>373.1</v>
      </c>
      <c r="B2441">
        <v>484</v>
      </c>
    </row>
    <row r="2442" spans="1:2">
      <c r="A2442">
        <v>375.4</v>
      </c>
      <c r="B2442">
        <v>485.4</v>
      </c>
    </row>
    <row r="2444" spans="1:2">
      <c r="A2444">
        <v>279</v>
      </c>
      <c r="B2444">
        <v>566.79999999999995</v>
      </c>
    </row>
    <row r="2445" spans="1:2">
      <c r="A2445">
        <v>281.89999999999998</v>
      </c>
      <c r="B2445">
        <v>562.79999999999995</v>
      </c>
    </row>
    <row r="2446" spans="1:2">
      <c r="A2446">
        <v>286.60000000000002</v>
      </c>
      <c r="B2446">
        <v>564.20000000000005</v>
      </c>
    </row>
    <row r="2447" spans="1:2">
      <c r="A2447">
        <v>287.7</v>
      </c>
      <c r="B2447">
        <v>563.4</v>
      </c>
    </row>
    <row r="2448" spans="1:2">
      <c r="A2448">
        <v>285.39999999999998</v>
      </c>
      <c r="B2448">
        <v>560.6</v>
      </c>
    </row>
    <row r="2449" spans="1:2">
      <c r="A2449">
        <v>275.7</v>
      </c>
      <c r="B2449">
        <v>560.6</v>
      </c>
    </row>
    <row r="2450" spans="1:2">
      <c r="A2450">
        <v>271.7</v>
      </c>
      <c r="B2450">
        <v>556.79999999999995</v>
      </c>
    </row>
    <row r="2451" spans="1:2">
      <c r="A2451">
        <v>268.8</v>
      </c>
      <c r="B2451">
        <v>558.5</v>
      </c>
    </row>
    <row r="2452" spans="1:2">
      <c r="A2452">
        <v>264.89999999999998</v>
      </c>
      <c r="B2452">
        <v>558.5</v>
      </c>
    </row>
    <row r="2453" spans="1:2">
      <c r="A2453">
        <v>262.5</v>
      </c>
      <c r="B2453">
        <v>560.6</v>
      </c>
    </row>
    <row r="2454" spans="1:2">
      <c r="A2454">
        <v>262.3</v>
      </c>
      <c r="B2454">
        <v>558.4</v>
      </c>
    </row>
    <row r="2455" spans="1:2">
      <c r="A2455">
        <v>254.5</v>
      </c>
      <c r="B2455">
        <v>551.5</v>
      </c>
    </row>
    <row r="2456" spans="1:2">
      <c r="A2456">
        <v>252.8</v>
      </c>
      <c r="B2456">
        <v>543.79999999999995</v>
      </c>
    </row>
    <row r="2457" spans="1:2">
      <c r="A2457">
        <v>248.6</v>
      </c>
      <c r="B2457">
        <v>543.4</v>
      </c>
    </row>
    <row r="2458" spans="1:2">
      <c r="A2458">
        <v>246.2</v>
      </c>
      <c r="B2458">
        <v>541</v>
      </c>
    </row>
    <row r="2459" spans="1:2">
      <c r="A2459">
        <v>243.1</v>
      </c>
      <c r="B2459">
        <v>542.79999999999995</v>
      </c>
    </row>
    <row r="2460" spans="1:2">
      <c r="A2460">
        <v>239.5</v>
      </c>
      <c r="B2460">
        <v>539.70000000000005</v>
      </c>
    </row>
    <row r="2461" spans="1:2">
      <c r="A2461">
        <v>237.1</v>
      </c>
      <c r="B2461">
        <v>542.79999999999995</v>
      </c>
    </row>
    <row r="2462" spans="1:2">
      <c r="A2462">
        <v>234.1</v>
      </c>
      <c r="B2462">
        <v>543.4</v>
      </c>
    </row>
    <row r="2463" spans="1:2">
      <c r="A2463">
        <v>236.1</v>
      </c>
      <c r="B2463">
        <v>549</v>
      </c>
    </row>
    <row r="2464" spans="1:2">
      <c r="A2464">
        <v>233.3</v>
      </c>
      <c r="B2464">
        <v>549.5</v>
      </c>
    </row>
    <row r="2465" spans="1:2">
      <c r="A2465">
        <v>229.4</v>
      </c>
      <c r="B2465">
        <v>544.79999999999995</v>
      </c>
    </row>
    <row r="2466" spans="1:2">
      <c r="A2466">
        <v>226.5</v>
      </c>
      <c r="B2466">
        <v>547.5</v>
      </c>
    </row>
    <row r="2467" spans="1:2">
      <c r="A2467">
        <v>224.3</v>
      </c>
      <c r="B2467">
        <v>555.79999999999995</v>
      </c>
    </row>
    <row r="2468" spans="1:2">
      <c r="A2468">
        <v>219.9</v>
      </c>
      <c r="B2468">
        <v>555.6</v>
      </c>
    </row>
    <row r="2469" spans="1:2">
      <c r="A2469">
        <v>219.7</v>
      </c>
      <c r="B2469">
        <v>559.29999999999995</v>
      </c>
    </row>
    <row r="2470" spans="1:2">
      <c r="A2470">
        <v>218.3</v>
      </c>
      <c r="B2470">
        <v>560.4</v>
      </c>
    </row>
    <row r="2471" spans="1:2">
      <c r="A2471">
        <v>221.6</v>
      </c>
      <c r="B2471">
        <v>563.9</v>
      </c>
    </row>
    <row r="2472" spans="1:2">
      <c r="A2472">
        <v>223.6</v>
      </c>
      <c r="B2472">
        <v>562.79999999999995</v>
      </c>
    </row>
    <row r="2473" spans="1:2">
      <c r="A2473">
        <v>231.2</v>
      </c>
      <c r="B2473">
        <v>566</v>
      </c>
    </row>
    <row r="2474" spans="1:2">
      <c r="A2474">
        <v>236.2</v>
      </c>
      <c r="B2474">
        <v>563.79999999999995</v>
      </c>
    </row>
    <row r="2475" spans="1:2">
      <c r="A2475">
        <v>243.4</v>
      </c>
      <c r="B2475">
        <v>566.4</v>
      </c>
    </row>
    <row r="2476" spans="1:2">
      <c r="A2476">
        <v>249</v>
      </c>
      <c r="B2476">
        <v>564.20000000000005</v>
      </c>
    </row>
    <row r="2477" spans="1:2">
      <c r="A2477">
        <v>250.1</v>
      </c>
      <c r="B2477">
        <v>565.29999999999995</v>
      </c>
    </row>
    <row r="2478" spans="1:2">
      <c r="A2478">
        <v>253.4</v>
      </c>
      <c r="B2478">
        <v>562.4</v>
      </c>
    </row>
    <row r="2479" spans="1:2">
      <c r="A2479">
        <v>260.60000000000002</v>
      </c>
      <c r="B2479">
        <v>566.29999999999995</v>
      </c>
    </row>
    <row r="2480" spans="1:2">
      <c r="A2480">
        <v>268.7</v>
      </c>
      <c r="B2480">
        <v>564.9</v>
      </c>
    </row>
    <row r="2481" spans="1:2">
      <c r="A2481">
        <v>275.2</v>
      </c>
      <c r="B2481">
        <v>567</v>
      </c>
    </row>
    <row r="2482" spans="1:2">
      <c r="A2482">
        <v>277.3</v>
      </c>
      <c r="B2482">
        <v>566.20000000000005</v>
      </c>
    </row>
    <row r="2483" spans="1:2">
      <c r="A2483">
        <v>278.39999999999998</v>
      </c>
      <c r="B2483">
        <v>567.70000000000005</v>
      </c>
    </row>
    <row r="2484" spans="1:2">
      <c r="A2484">
        <v>279</v>
      </c>
      <c r="B2484">
        <v>566.79999999999995</v>
      </c>
    </row>
    <row r="2486" spans="1:2">
      <c r="A2486">
        <v>281.5</v>
      </c>
      <c r="B2486">
        <v>561.1</v>
      </c>
    </row>
    <row r="2487" spans="1:2">
      <c r="A2487">
        <v>285.5</v>
      </c>
      <c r="B2487">
        <v>560.6</v>
      </c>
    </row>
    <row r="2488" spans="1:2">
      <c r="A2488">
        <v>284.5</v>
      </c>
      <c r="B2488">
        <v>552.6</v>
      </c>
    </row>
    <row r="2489" spans="1:2">
      <c r="A2489">
        <v>286.8</v>
      </c>
      <c r="B2489">
        <v>551.29999999999995</v>
      </c>
    </row>
    <row r="2490" spans="1:2">
      <c r="A2490">
        <v>286.7</v>
      </c>
      <c r="B2490">
        <v>542.79999999999995</v>
      </c>
    </row>
    <row r="2491" spans="1:2">
      <c r="A2491">
        <v>289.89999999999998</v>
      </c>
      <c r="B2491">
        <v>536.20000000000005</v>
      </c>
    </row>
    <row r="2492" spans="1:2">
      <c r="A2492">
        <v>284.8</v>
      </c>
      <c r="B2492">
        <v>535.6</v>
      </c>
    </row>
    <row r="2493" spans="1:2">
      <c r="A2493">
        <v>285.10000000000002</v>
      </c>
      <c r="B2493">
        <v>532</v>
      </c>
    </row>
    <row r="2494" spans="1:2">
      <c r="A2494">
        <v>279</v>
      </c>
      <c r="B2494">
        <v>529.29999999999995</v>
      </c>
    </row>
    <row r="2495" spans="1:2">
      <c r="A2495">
        <v>275.39999999999998</v>
      </c>
      <c r="B2495">
        <v>534.20000000000005</v>
      </c>
    </row>
    <row r="2496" spans="1:2">
      <c r="A2496">
        <v>273.5</v>
      </c>
      <c r="B2496">
        <v>532.70000000000005</v>
      </c>
    </row>
    <row r="2497" spans="1:2">
      <c r="A2497">
        <v>271.3</v>
      </c>
      <c r="B2497">
        <v>534.1</v>
      </c>
    </row>
    <row r="2498" spans="1:2">
      <c r="A2498">
        <v>267.2</v>
      </c>
      <c r="B2498">
        <v>532.5</v>
      </c>
    </row>
    <row r="2499" spans="1:2">
      <c r="A2499">
        <v>267</v>
      </c>
      <c r="B2499">
        <v>535.9</v>
      </c>
    </row>
    <row r="2500" spans="1:2">
      <c r="A2500">
        <v>264.7</v>
      </c>
      <c r="B2500">
        <v>535.5</v>
      </c>
    </row>
    <row r="2501" spans="1:2">
      <c r="A2501">
        <v>262.2</v>
      </c>
      <c r="B2501">
        <v>538.6</v>
      </c>
    </row>
    <row r="2502" spans="1:2">
      <c r="A2502">
        <v>260</v>
      </c>
      <c r="B2502">
        <v>539.1</v>
      </c>
    </row>
    <row r="2503" spans="1:2">
      <c r="A2503">
        <v>260.60000000000002</v>
      </c>
      <c r="B2503">
        <v>534.29999999999995</v>
      </c>
    </row>
    <row r="2504" spans="1:2">
      <c r="A2504">
        <v>257.7</v>
      </c>
      <c r="B2504">
        <v>532.1</v>
      </c>
    </row>
    <row r="2505" spans="1:2">
      <c r="A2505">
        <v>257.2</v>
      </c>
      <c r="B2505">
        <v>530</v>
      </c>
    </row>
    <row r="2506" spans="1:2">
      <c r="A2506">
        <v>250.4</v>
      </c>
      <c r="B2506">
        <v>531.4</v>
      </c>
    </row>
    <row r="2507" spans="1:2">
      <c r="A2507">
        <v>247.7</v>
      </c>
      <c r="B2507">
        <v>542.4</v>
      </c>
    </row>
    <row r="2508" spans="1:2">
      <c r="A2508">
        <v>253.3</v>
      </c>
      <c r="B2508">
        <v>544.29999999999995</v>
      </c>
    </row>
    <row r="2509" spans="1:2">
      <c r="A2509">
        <v>254.5</v>
      </c>
      <c r="B2509">
        <v>551.5</v>
      </c>
    </row>
    <row r="2510" spans="1:2">
      <c r="A2510">
        <v>262.3</v>
      </c>
      <c r="B2510">
        <v>558.4</v>
      </c>
    </row>
    <row r="2511" spans="1:2">
      <c r="A2511">
        <v>262.3</v>
      </c>
      <c r="B2511">
        <v>560.4</v>
      </c>
    </row>
    <row r="2512" spans="1:2">
      <c r="A2512">
        <v>271.7</v>
      </c>
      <c r="B2512">
        <v>556.79999999999995</v>
      </c>
    </row>
    <row r="2513" spans="1:2">
      <c r="A2513">
        <v>274.10000000000002</v>
      </c>
      <c r="B2513">
        <v>560.1</v>
      </c>
    </row>
    <row r="2514" spans="1:2">
      <c r="A2514">
        <v>278.39999999999998</v>
      </c>
      <c r="B2514">
        <v>561.1</v>
      </c>
    </row>
    <row r="2515" spans="1:2">
      <c r="A2515">
        <v>280.10000000000002</v>
      </c>
      <c r="B2515">
        <v>559.9</v>
      </c>
    </row>
    <row r="2516" spans="1:2">
      <c r="A2516">
        <v>281.5</v>
      </c>
      <c r="B2516">
        <v>561.1</v>
      </c>
    </row>
    <row r="2518" spans="1:2">
      <c r="A2518">
        <v>311.39999999999998</v>
      </c>
      <c r="B2518">
        <v>565.20000000000005</v>
      </c>
    </row>
    <row r="2519" spans="1:2">
      <c r="A2519">
        <v>312.60000000000002</v>
      </c>
      <c r="B2519">
        <v>560.4</v>
      </c>
    </row>
    <row r="2520" spans="1:2">
      <c r="A2520">
        <v>308.39999999999998</v>
      </c>
      <c r="B2520">
        <v>556</v>
      </c>
    </row>
    <row r="2521" spans="1:2">
      <c r="A2521">
        <v>305.10000000000002</v>
      </c>
      <c r="B2521">
        <v>546.4</v>
      </c>
    </row>
    <row r="2522" spans="1:2">
      <c r="A2522">
        <v>306.7</v>
      </c>
      <c r="B2522">
        <v>541.70000000000005</v>
      </c>
    </row>
    <row r="2523" spans="1:2">
      <c r="A2523">
        <v>305.2</v>
      </c>
      <c r="B2523">
        <v>540.29999999999995</v>
      </c>
    </row>
    <row r="2524" spans="1:2">
      <c r="A2524">
        <v>307.39999999999998</v>
      </c>
      <c r="B2524">
        <v>537.70000000000005</v>
      </c>
    </row>
    <row r="2525" spans="1:2">
      <c r="A2525">
        <v>307.5</v>
      </c>
      <c r="B2525">
        <v>534</v>
      </c>
    </row>
    <row r="2526" spans="1:2">
      <c r="A2526">
        <v>305.8</v>
      </c>
      <c r="B2526">
        <v>533</v>
      </c>
    </row>
    <row r="2527" spans="1:2">
      <c r="A2527">
        <v>302.8</v>
      </c>
      <c r="B2527">
        <v>535.1</v>
      </c>
    </row>
    <row r="2528" spans="1:2">
      <c r="A2528">
        <v>302.8</v>
      </c>
      <c r="B2528">
        <v>531.6</v>
      </c>
    </row>
    <row r="2529" spans="1:2">
      <c r="A2529">
        <v>298.8</v>
      </c>
      <c r="B2529">
        <v>532.1</v>
      </c>
    </row>
    <row r="2530" spans="1:2">
      <c r="A2530">
        <v>297.10000000000002</v>
      </c>
      <c r="B2530">
        <v>530.20000000000005</v>
      </c>
    </row>
    <row r="2531" spans="1:2">
      <c r="A2531">
        <v>296.2</v>
      </c>
      <c r="B2531">
        <v>532.9</v>
      </c>
    </row>
    <row r="2532" spans="1:2">
      <c r="A2532">
        <v>293.60000000000002</v>
      </c>
      <c r="B2532">
        <v>534.1</v>
      </c>
    </row>
    <row r="2533" spans="1:2">
      <c r="A2533">
        <v>292.3</v>
      </c>
      <c r="B2533">
        <v>531.6</v>
      </c>
    </row>
    <row r="2534" spans="1:2">
      <c r="A2534">
        <v>289.89999999999998</v>
      </c>
      <c r="B2534">
        <v>532.4</v>
      </c>
    </row>
    <row r="2535" spans="1:2">
      <c r="A2535">
        <v>289.39999999999998</v>
      </c>
      <c r="B2535">
        <v>538.70000000000005</v>
      </c>
    </row>
    <row r="2536" spans="1:2">
      <c r="A2536">
        <v>286.7</v>
      </c>
      <c r="B2536">
        <v>542.79999999999995</v>
      </c>
    </row>
    <row r="2537" spans="1:2">
      <c r="A2537">
        <v>286.8</v>
      </c>
      <c r="B2537">
        <v>551.29999999999995</v>
      </c>
    </row>
    <row r="2538" spans="1:2">
      <c r="A2538">
        <v>284.5</v>
      </c>
      <c r="B2538">
        <v>552.6</v>
      </c>
    </row>
    <row r="2539" spans="1:2">
      <c r="A2539">
        <v>285.5</v>
      </c>
      <c r="B2539">
        <v>560.79999999999995</v>
      </c>
    </row>
    <row r="2540" spans="1:2">
      <c r="A2540">
        <v>288.5</v>
      </c>
      <c r="B2540">
        <v>563.79999999999995</v>
      </c>
    </row>
    <row r="2541" spans="1:2">
      <c r="A2541">
        <v>293</v>
      </c>
      <c r="B2541">
        <v>562.9</v>
      </c>
    </row>
    <row r="2542" spans="1:2">
      <c r="A2542">
        <v>296.3</v>
      </c>
      <c r="B2542">
        <v>559.5</v>
      </c>
    </row>
    <row r="2543" spans="1:2">
      <c r="A2543">
        <v>297.7</v>
      </c>
      <c r="B2543">
        <v>559.79999999999995</v>
      </c>
    </row>
    <row r="2544" spans="1:2">
      <c r="A2544">
        <v>299.10000000000002</v>
      </c>
      <c r="B2544">
        <v>563.9</v>
      </c>
    </row>
    <row r="2545" spans="1:2">
      <c r="A2545">
        <v>301.8</v>
      </c>
      <c r="B2545">
        <v>563.20000000000005</v>
      </c>
    </row>
    <row r="2546" spans="1:2">
      <c r="A2546">
        <v>307.39999999999998</v>
      </c>
      <c r="B2546">
        <v>565.4</v>
      </c>
    </row>
    <row r="2547" spans="1:2">
      <c r="A2547">
        <v>311.39999999999998</v>
      </c>
      <c r="B2547">
        <v>565.20000000000005</v>
      </c>
    </row>
    <row r="2549" spans="1:2">
      <c r="A2549">
        <v>317.39999999999998</v>
      </c>
      <c r="B2549">
        <v>571.9</v>
      </c>
    </row>
    <row r="2550" spans="1:2">
      <c r="A2550">
        <v>317.89999999999998</v>
      </c>
      <c r="B2550">
        <v>570.20000000000005</v>
      </c>
    </row>
    <row r="2551" spans="1:2">
      <c r="A2551">
        <v>321.10000000000002</v>
      </c>
      <c r="B2551">
        <v>570.6</v>
      </c>
    </row>
    <row r="2552" spans="1:2">
      <c r="A2552">
        <v>321.2</v>
      </c>
      <c r="B2552">
        <v>566.4</v>
      </c>
    </row>
    <row r="2553" spans="1:2">
      <c r="A2553">
        <v>324.8</v>
      </c>
      <c r="B2553">
        <v>565.70000000000005</v>
      </c>
    </row>
    <row r="2554" spans="1:2">
      <c r="A2554">
        <v>325.39999999999998</v>
      </c>
      <c r="B2554">
        <v>558.70000000000005</v>
      </c>
    </row>
    <row r="2555" spans="1:2">
      <c r="A2555">
        <v>328.9</v>
      </c>
      <c r="B2555">
        <v>558.70000000000005</v>
      </c>
    </row>
    <row r="2556" spans="1:2">
      <c r="A2556">
        <v>329.7</v>
      </c>
      <c r="B2556">
        <v>555.5</v>
      </c>
    </row>
    <row r="2557" spans="1:2">
      <c r="A2557">
        <v>334</v>
      </c>
      <c r="B2557">
        <v>557.5</v>
      </c>
    </row>
    <row r="2558" spans="1:2">
      <c r="A2558">
        <v>335.8</v>
      </c>
      <c r="B2558">
        <v>556</v>
      </c>
    </row>
    <row r="2559" spans="1:2">
      <c r="A2559">
        <v>336.2</v>
      </c>
      <c r="B2559">
        <v>552</v>
      </c>
    </row>
    <row r="2560" spans="1:2">
      <c r="A2560">
        <v>334.3</v>
      </c>
      <c r="B2560">
        <v>549.1</v>
      </c>
    </row>
    <row r="2561" spans="1:2">
      <c r="A2561">
        <v>338.3</v>
      </c>
      <c r="B2561">
        <v>544.79999999999995</v>
      </c>
    </row>
    <row r="2562" spans="1:2">
      <c r="A2562">
        <v>338.3</v>
      </c>
      <c r="B2562">
        <v>543.1</v>
      </c>
    </row>
    <row r="2563" spans="1:2">
      <c r="A2563">
        <v>333.5</v>
      </c>
      <c r="B2563">
        <v>542</v>
      </c>
    </row>
    <row r="2564" spans="1:2">
      <c r="A2564">
        <v>333.4</v>
      </c>
      <c r="B2564">
        <v>537.70000000000005</v>
      </c>
    </row>
    <row r="2565" spans="1:2">
      <c r="A2565">
        <v>334.7</v>
      </c>
      <c r="B2565">
        <v>535.20000000000005</v>
      </c>
    </row>
    <row r="2566" spans="1:2">
      <c r="A2566">
        <v>340</v>
      </c>
      <c r="B2566">
        <v>535.79999999999995</v>
      </c>
    </row>
    <row r="2567" spans="1:2">
      <c r="A2567">
        <v>342.4</v>
      </c>
      <c r="B2567">
        <v>531.4</v>
      </c>
    </row>
    <row r="2568" spans="1:2">
      <c r="A2568">
        <v>340.8</v>
      </c>
      <c r="B2568">
        <v>526.1</v>
      </c>
    </row>
    <row r="2569" spans="1:2">
      <c r="A2569">
        <v>338.3</v>
      </c>
      <c r="B2569">
        <v>524.29999999999995</v>
      </c>
    </row>
    <row r="2570" spans="1:2">
      <c r="A2570">
        <v>339.1</v>
      </c>
      <c r="B2570">
        <v>517.6</v>
      </c>
    </row>
    <row r="2571" spans="1:2">
      <c r="A2571">
        <v>336</v>
      </c>
      <c r="B2571">
        <v>515.29999999999995</v>
      </c>
    </row>
    <row r="2572" spans="1:2">
      <c r="A2572">
        <v>333.6</v>
      </c>
      <c r="B2572">
        <v>517.5</v>
      </c>
    </row>
    <row r="2573" spans="1:2">
      <c r="A2573">
        <v>332.6</v>
      </c>
      <c r="B2573">
        <v>515</v>
      </c>
    </row>
    <row r="2574" spans="1:2">
      <c r="A2574">
        <v>327.9</v>
      </c>
      <c r="B2574">
        <v>511.2</v>
      </c>
    </row>
    <row r="2575" spans="1:2">
      <c r="A2575">
        <v>325.5</v>
      </c>
      <c r="B2575">
        <v>511.7</v>
      </c>
    </row>
    <row r="2576" spans="1:2">
      <c r="A2576">
        <v>323</v>
      </c>
      <c r="B2576">
        <v>515.79999999999995</v>
      </c>
    </row>
    <row r="2577" spans="1:2">
      <c r="A2577">
        <v>316.10000000000002</v>
      </c>
      <c r="B2577">
        <v>509.6</v>
      </c>
    </row>
    <row r="2578" spans="1:2">
      <c r="A2578">
        <v>312.3</v>
      </c>
      <c r="B2578">
        <v>513.9</v>
      </c>
    </row>
    <row r="2579" spans="1:2">
      <c r="A2579">
        <v>312.7</v>
      </c>
      <c r="B2579">
        <v>517.5</v>
      </c>
    </row>
    <row r="2580" spans="1:2">
      <c r="A2580">
        <v>311.60000000000002</v>
      </c>
      <c r="B2580">
        <v>518.6</v>
      </c>
    </row>
    <row r="2581" spans="1:2">
      <c r="A2581">
        <v>305.5</v>
      </c>
      <c r="B2581">
        <v>518.9</v>
      </c>
    </row>
    <row r="2582" spans="1:2">
      <c r="A2582">
        <v>300.10000000000002</v>
      </c>
      <c r="B2582">
        <v>524</v>
      </c>
    </row>
    <row r="2583" spans="1:2">
      <c r="A2583">
        <v>297.60000000000002</v>
      </c>
      <c r="B2583">
        <v>523.20000000000005</v>
      </c>
    </row>
    <row r="2584" spans="1:2">
      <c r="A2584">
        <v>295.5</v>
      </c>
      <c r="B2584">
        <v>525.29999999999995</v>
      </c>
    </row>
    <row r="2585" spans="1:2">
      <c r="A2585">
        <v>296.10000000000002</v>
      </c>
      <c r="B2585">
        <v>528.70000000000005</v>
      </c>
    </row>
    <row r="2586" spans="1:2">
      <c r="A2586">
        <v>301.3</v>
      </c>
      <c r="B2586">
        <v>532.1</v>
      </c>
    </row>
    <row r="2587" spans="1:2">
      <c r="A2587">
        <v>302.8</v>
      </c>
      <c r="B2587">
        <v>531.6</v>
      </c>
    </row>
    <row r="2588" spans="1:2">
      <c r="A2588">
        <v>302.8</v>
      </c>
      <c r="B2588">
        <v>535.1</v>
      </c>
    </row>
    <row r="2589" spans="1:2">
      <c r="A2589">
        <v>305.89999999999998</v>
      </c>
      <c r="B2589">
        <v>533</v>
      </c>
    </row>
    <row r="2590" spans="1:2">
      <c r="A2590">
        <v>307.8</v>
      </c>
      <c r="B2590">
        <v>535.1</v>
      </c>
    </row>
    <row r="2591" spans="1:2">
      <c r="A2591">
        <v>305.3</v>
      </c>
      <c r="B2591">
        <v>540</v>
      </c>
    </row>
    <row r="2592" spans="1:2">
      <c r="A2592">
        <v>306.7</v>
      </c>
      <c r="B2592">
        <v>541.70000000000005</v>
      </c>
    </row>
    <row r="2593" spans="1:2">
      <c r="A2593">
        <v>305.10000000000002</v>
      </c>
      <c r="B2593">
        <v>546.4</v>
      </c>
    </row>
    <row r="2594" spans="1:2">
      <c r="A2594">
        <v>308.39999999999998</v>
      </c>
      <c r="B2594">
        <v>556</v>
      </c>
    </row>
    <row r="2595" spans="1:2">
      <c r="A2595">
        <v>312.60000000000002</v>
      </c>
      <c r="B2595">
        <v>560.4</v>
      </c>
    </row>
    <row r="2596" spans="1:2">
      <c r="A2596">
        <v>312.39999999999998</v>
      </c>
      <c r="B2596">
        <v>564.1</v>
      </c>
    </row>
    <row r="2597" spans="1:2">
      <c r="A2597">
        <v>311.10000000000002</v>
      </c>
      <c r="B2597">
        <v>565.6</v>
      </c>
    </row>
    <row r="2598" spans="1:2">
      <c r="A2598">
        <v>305.10000000000002</v>
      </c>
      <c r="B2598">
        <v>564.29999999999995</v>
      </c>
    </row>
    <row r="2599" spans="1:2">
      <c r="A2599">
        <v>311.3</v>
      </c>
      <c r="B2599">
        <v>567</v>
      </c>
    </row>
    <row r="2600" spans="1:2">
      <c r="A2600">
        <v>317.39999999999998</v>
      </c>
      <c r="B2600">
        <v>571.9</v>
      </c>
    </row>
    <row r="2602" spans="1:2">
      <c r="A2602">
        <v>329.4</v>
      </c>
      <c r="B2602">
        <v>595.20000000000005</v>
      </c>
    </row>
    <row r="2603" spans="1:2">
      <c r="A2603">
        <v>333.4</v>
      </c>
      <c r="B2603">
        <v>590.1</v>
      </c>
    </row>
    <row r="2604" spans="1:2">
      <c r="A2604">
        <v>334.3</v>
      </c>
      <c r="B2604">
        <v>584.70000000000005</v>
      </c>
    </row>
    <row r="2605" spans="1:2">
      <c r="A2605">
        <v>338.4</v>
      </c>
      <c r="B2605">
        <v>578.6</v>
      </c>
    </row>
    <row r="2606" spans="1:2">
      <c r="A2606">
        <v>337.5</v>
      </c>
      <c r="B2606">
        <v>576.6</v>
      </c>
    </row>
    <row r="2607" spans="1:2">
      <c r="A2607">
        <v>342.2</v>
      </c>
      <c r="B2607">
        <v>570.29999999999995</v>
      </c>
    </row>
    <row r="2608" spans="1:2">
      <c r="A2608">
        <v>342.4</v>
      </c>
      <c r="B2608">
        <v>567.5</v>
      </c>
    </row>
    <row r="2609" spans="1:2">
      <c r="A2609">
        <v>348.7</v>
      </c>
      <c r="B2609">
        <v>554.9</v>
      </c>
    </row>
    <row r="2610" spans="1:2">
      <c r="A2610">
        <v>339.9</v>
      </c>
      <c r="B2610">
        <v>550.29999999999995</v>
      </c>
    </row>
    <row r="2611" spans="1:2">
      <c r="A2611">
        <v>336.1</v>
      </c>
      <c r="B2611">
        <v>552.1</v>
      </c>
    </row>
    <row r="2612" spans="1:2">
      <c r="A2612">
        <v>334.7</v>
      </c>
      <c r="B2612">
        <v>557.29999999999995</v>
      </c>
    </row>
    <row r="2613" spans="1:2">
      <c r="A2613">
        <v>329.7</v>
      </c>
      <c r="B2613">
        <v>555.5</v>
      </c>
    </row>
    <row r="2614" spans="1:2">
      <c r="A2614">
        <v>328.9</v>
      </c>
      <c r="B2614">
        <v>558.70000000000005</v>
      </c>
    </row>
    <row r="2615" spans="1:2">
      <c r="A2615">
        <v>325.39999999999998</v>
      </c>
      <c r="B2615">
        <v>558.70000000000005</v>
      </c>
    </row>
    <row r="2616" spans="1:2">
      <c r="A2616">
        <v>324.8</v>
      </c>
      <c r="B2616">
        <v>565.70000000000005</v>
      </c>
    </row>
    <row r="2617" spans="1:2">
      <c r="A2617">
        <v>321.2</v>
      </c>
      <c r="B2617">
        <v>566.4</v>
      </c>
    </row>
    <row r="2618" spans="1:2">
      <c r="A2618">
        <v>321.10000000000002</v>
      </c>
      <c r="B2618">
        <v>570.6</v>
      </c>
    </row>
    <row r="2619" spans="1:2">
      <c r="A2619">
        <v>317.60000000000002</v>
      </c>
      <c r="B2619">
        <v>571</v>
      </c>
    </row>
    <row r="2620" spans="1:2">
      <c r="A2620">
        <v>317.60000000000002</v>
      </c>
      <c r="B2620">
        <v>572.9</v>
      </c>
    </row>
    <row r="2621" spans="1:2">
      <c r="A2621">
        <v>322.3</v>
      </c>
      <c r="B2621">
        <v>577.1</v>
      </c>
    </row>
    <row r="2622" spans="1:2">
      <c r="A2622">
        <v>324.3</v>
      </c>
      <c r="B2622">
        <v>581.70000000000005</v>
      </c>
    </row>
    <row r="2623" spans="1:2">
      <c r="A2623">
        <v>324.60000000000002</v>
      </c>
      <c r="B2623">
        <v>594.20000000000005</v>
      </c>
    </row>
    <row r="2624" spans="1:2">
      <c r="A2624">
        <v>328.7</v>
      </c>
      <c r="B2624">
        <v>596.29999999999995</v>
      </c>
    </row>
    <row r="2625" spans="1:2">
      <c r="A2625">
        <v>329.4</v>
      </c>
      <c r="B2625">
        <v>595.20000000000005</v>
      </c>
    </row>
    <row r="2627" spans="1:2">
      <c r="A2627">
        <v>361</v>
      </c>
      <c r="B2627">
        <v>532.5</v>
      </c>
    </row>
    <row r="2628" spans="1:2">
      <c r="A2628">
        <v>368.4</v>
      </c>
      <c r="B2628">
        <v>521</v>
      </c>
    </row>
    <row r="2629" spans="1:2">
      <c r="A2629">
        <v>356.1</v>
      </c>
      <c r="B2629">
        <v>517.6</v>
      </c>
    </row>
    <row r="2630" spans="1:2">
      <c r="A2630">
        <v>353.8</v>
      </c>
      <c r="B2630">
        <v>518.6</v>
      </c>
    </row>
    <row r="2631" spans="1:2">
      <c r="A2631">
        <v>351.8</v>
      </c>
      <c r="B2631">
        <v>516.20000000000005</v>
      </c>
    </row>
    <row r="2632" spans="1:2">
      <c r="A2632">
        <v>348.1</v>
      </c>
      <c r="B2632">
        <v>515.1</v>
      </c>
    </row>
    <row r="2633" spans="1:2">
      <c r="A2633">
        <v>344.8</v>
      </c>
      <c r="B2633">
        <v>518.20000000000005</v>
      </c>
    </row>
    <row r="2634" spans="1:2">
      <c r="A2634">
        <v>342.3</v>
      </c>
      <c r="B2634">
        <v>517</v>
      </c>
    </row>
    <row r="2635" spans="1:2">
      <c r="A2635">
        <v>338.9</v>
      </c>
      <c r="B2635">
        <v>519.1</v>
      </c>
    </row>
    <row r="2636" spans="1:2">
      <c r="A2636">
        <v>338.3</v>
      </c>
      <c r="B2636">
        <v>524.29999999999995</v>
      </c>
    </row>
    <row r="2637" spans="1:2">
      <c r="A2637">
        <v>340.8</v>
      </c>
      <c r="B2637">
        <v>526.1</v>
      </c>
    </row>
    <row r="2638" spans="1:2">
      <c r="A2638">
        <v>342.4</v>
      </c>
      <c r="B2638">
        <v>531.4</v>
      </c>
    </row>
    <row r="2639" spans="1:2">
      <c r="A2639">
        <v>340</v>
      </c>
      <c r="B2639">
        <v>535.79999999999995</v>
      </c>
    </row>
    <row r="2640" spans="1:2">
      <c r="A2640">
        <v>334.7</v>
      </c>
      <c r="B2640">
        <v>535.29999999999995</v>
      </c>
    </row>
    <row r="2641" spans="1:2">
      <c r="A2641">
        <v>332.9</v>
      </c>
      <c r="B2641">
        <v>540.4</v>
      </c>
    </row>
    <row r="2642" spans="1:2">
      <c r="A2642">
        <v>333.5</v>
      </c>
      <c r="B2642">
        <v>542</v>
      </c>
    </row>
    <row r="2643" spans="1:2">
      <c r="A2643">
        <v>343.9</v>
      </c>
      <c r="B2643">
        <v>544.70000000000005</v>
      </c>
    </row>
    <row r="2644" spans="1:2">
      <c r="A2644">
        <v>347.5</v>
      </c>
      <c r="B2644">
        <v>547.4</v>
      </c>
    </row>
    <row r="2645" spans="1:2">
      <c r="A2645">
        <v>350.8</v>
      </c>
      <c r="B2645">
        <v>547.4</v>
      </c>
    </row>
    <row r="2646" spans="1:2">
      <c r="A2646">
        <v>356.7</v>
      </c>
      <c r="B2646">
        <v>537.20000000000005</v>
      </c>
    </row>
    <row r="2647" spans="1:2">
      <c r="A2647">
        <v>361</v>
      </c>
      <c r="B2647">
        <v>532.5</v>
      </c>
    </row>
    <row r="2649" spans="1:2">
      <c r="A2649">
        <v>296</v>
      </c>
      <c r="B2649">
        <v>401.9</v>
      </c>
    </row>
    <row r="2650" spans="1:2">
      <c r="A2650">
        <v>294.8</v>
      </c>
      <c r="B2650">
        <v>406.6</v>
      </c>
    </row>
    <row r="2651" spans="1:2">
      <c r="A2651">
        <v>292.7</v>
      </c>
      <c r="B2651">
        <v>408.1</v>
      </c>
    </row>
    <row r="2652" spans="1:2">
      <c r="A2652">
        <v>293.2</v>
      </c>
      <c r="B2652">
        <v>409.5</v>
      </c>
    </row>
    <row r="2653" spans="1:2">
      <c r="A2653">
        <v>290.3</v>
      </c>
      <c r="B2653">
        <v>408.9</v>
      </c>
    </row>
    <row r="2654" spans="1:2">
      <c r="A2654">
        <v>288.8</v>
      </c>
      <c r="B2654">
        <v>410.7</v>
      </c>
    </row>
    <row r="2655" spans="1:2">
      <c r="A2655">
        <v>285.60000000000002</v>
      </c>
      <c r="B2655">
        <v>410.6</v>
      </c>
    </row>
    <row r="2656" spans="1:2">
      <c r="A2656">
        <v>283.3</v>
      </c>
      <c r="B2656">
        <v>412.5</v>
      </c>
    </row>
    <row r="2657" spans="1:2">
      <c r="A2657">
        <v>282.89999999999998</v>
      </c>
      <c r="B2657">
        <v>415.3</v>
      </c>
    </row>
    <row r="2658" spans="1:2">
      <c r="A2658">
        <v>280</v>
      </c>
      <c r="B2658">
        <v>416.1</v>
      </c>
    </row>
    <row r="2659" spans="1:2">
      <c r="A2659">
        <v>277.89999999999998</v>
      </c>
      <c r="B2659">
        <v>414.6</v>
      </c>
    </row>
    <row r="2660" spans="1:2">
      <c r="A2660">
        <v>275.89999999999998</v>
      </c>
      <c r="B2660">
        <v>417.3</v>
      </c>
    </row>
    <row r="2661" spans="1:2">
      <c r="A2661">
        <v>272.7</v>
      </c>
      <c r="B2661">
        <v>417.3</v>
      </c>
    </row>
    <row r="2662" spans="1:2">
      <c r="A2662">
        <v>270.10000000000002</v>
      </c>
      <c r="B2662">
        <v>420.3</v>
      </c>
    </row>
    <row r="2663" spans="1:2">
      <c r="A2663">
        <v>267</v>
      </c>
      <c r="B2663">
        <v>419.9</v>
      </c>
    </row>
    <row r="2664" spans="1:2">
      <c r="A2664">
        <v>268.10000000000002</v>
      </c>
      <c r="B2664">
        <v>425.1</v>
      </c>
    </row>
    <row r="2665" spans="1:2">
      <c r="A2665">
        <v>270.5</v>
      </c>
      <c r="B2665">
        <v>427.5</v>
      </c>
    </row>
    <row r="2666" spans="1:2">
      <c r="A2666">
        <v>269.8</v>
      </c>
      <c r="B2666">
        <v>430.3</v>
      </c>
    </row>
    <row r="2667" spans="1:2">
      <c r="A2667">
        <v>273.2</v>
      </c>
      <c r="B2667">
        <v>434.2</v>
      </c>
    </row>
    <row r="2668" spans="1:2">
      <c r="A2668">
        <v>270.8</v>
      </c>
      <c r="B2668">
        <v>438.2</v>
      </c>
    </row>
    <row r="2669" spans="1:2">
      <c r="A2669">
        <v>275.10000000000002</v>
      </c>
      <c r="B2669">
        <v>445</v>
      </c>
    </row>
    <row r="2670" spans="1:2">
      <c r="A2670">
        <v>276.10000000000002</v>
      </c>
      <c r="B2670">
        <v>440.3</v>
      </c>
    </row>
    <row r="2671" spans="1:2">
      <c r="A2671">
        <v>279.10000000000002</v>
      </c>
      <c r="B2671">
        <v>437.3</v>
      </c>
    </row>
    <row r="2672" spans="1:2">
      <c r="A2672">
        <v>286.3</v>
      </c>
      <c r="B2672">
        <v>439.6</v>
      </c>
    </row>
    <row r="2673" spans="1:2">
      <c r="A2673">
        <v>288.7</v>
      </c>
      <c r="B2673">
        <v>438</v>
      </c>
    </row>
    <row r="2674" spans="1:2">
      <c r="A2674">
        <v>290.10000000000002</v>
      </c>
      <c r="B2674">
        <v>440.1</v>
      </c>
    </row>
    <row r="2675" spans="1:2">
      <c r="A2675">
        <v>293.60000000000002</v>
      </c>
      <c r="B2675">
        <v>439.3</v>
      </c>
    </row>
    <row r="2676" spans="1:2">
      <c r="A2676">
        <v>297.8</v>
      </c>
      <c r="B2676">
        <v>432.5</v>
      </c>
    </row>
    <row r="2677" spans="1:2">
      <c r="A2677">
        <v>299.2</v>
      </c>
      <c r="B2677">
        <v>434.6</v>
      </c>
    </row>
    <row r="2678" spans="1:2">
      <c r="A2678">
        <v>301.5</v>
      </c>
      <c r="B2678">
        <v>434.3</v>
      </c>
    </row>
    <row r="2679" spans="1:2">
      <c r="A2679">
        <v>302.8</v>
      </c>
      <c r="B2679">
        <v>431.2</v>
      </c>
    </row>
    <row r="2680" spans="1:2">
      <c r="A2680">
        <v>305</v>
      </c>
      <c r="B2680">
        <v>430</v>
      </c>
    </row>
    <row r="2681" spans="1:2">
      <c r="A2681">
        <v>305.10000000000002</v>
      </c>
      <c r="B2681">
        <v>416.5</v>
      </c>
    </row>
    <row r="2682" spans="1:2">
      <c r="A2682">
        <v>301</v>
      </c>
      <c r="B2682">
        <v>416.9</v>
      </c>
    </row>
    <row r="2683" spans="1:2">
      <c r="A2683">
        <v>303.89999999999998</v>
      </c>
      <c r="B2683">
        <v>412.4</v>
      </c>
    </row>
    <row r="2684" spans="1:2">
      <c r="A2684">
        <v>300.60000000000002</v>
      </c>
      <c r="B2684">
        <v>406.1</v>
      </c>
    </row>
    <row r="2685" spans="1:2">
      <c r="A2685">
        <v>302.89999999999998</v>
      </c>
      <c r="B2685">
        <v>404.3</v>
      </c>
    </row>
    <row r="2686" spans="1:2">
      <c r="A2686">
        <v>305.10000000000002</v>
      </c>
      <c r="B2686">
        <v>405.8</v>
      </c>
    </row>
    <row r="2687" spans="1:2">
      <c r="A2687">
        <v>306</v>
      </c>
      <c r="B2687">
        <v>403.8</v>
      </c>
    </row>
    <row r="2688" spans="1:2">
      <c r="A2688">
        <v>309.2</v>
      </c>
      <c r="B2688">
        <v>403.3</v>
      </c>
    </row>
    <row r="2689" spans="1:2">
      <c r="A2689">
        <v>307.10000000000002</v>
      </c>
      <c r="B2689">
        <v>402.5</v>
      </c>
    </row>
    <row r="2690" spans="1:2">
      <c r="A2690">
        <v>305.7</v>
      </c>
      <c r="B2690">
        <v>399.8</v>
      </c>
    </row>
    <row r="2691" spans="1:2">
      <c r="A2691">
        <v>300.60000000000002</v>
      </c>
      <c r="B2691">
        <v>402.9</v>
      </c>
    </row>
    <row r="2692" spans="1:2">
      <c r="A2692">
        <v>298.5</v>
      </c>
      <c r="B2692">
        <v>400.9</v>
      </c>
    </row>
    <row r="2693" spans="1:2">
      <c r="A2693">
        <v>296</v>
      </c>
      <c r="B2693">
        <v>401.9</v>
      </c>
    </row>
    <row r="2695" spans="1:2">
      <c r="A2695">
        <v>295.89999999999998</v>
      </c>
      <c r="B2695">
        <v>449.6</v>
      </c>
    </row>
    <row r="2696" spans="1:2">
      <c r="A2696">
        <v>299.10000000000002</v>
      </c>
      <c r="B2696">
        <v>448.4</v>
      </c>
    </row>
    <row r="2697" spans="1:2">
      <c r="A2697">
        <v>300.8</v>
      </c>
      <c r="B2697">
        <v>442.3</v>
      </c>
    </row>
    <row r="2698" spans="1:2">
      <c r="A2698">
        <v>307</v>
      </c>
      <c r="B2698">
        <v>444.1</v>
      </c>
    </row>
    <row r="2699" spans="1:2">
      <c r="A2699">
        <v>308.5</v>
      </c>
      <c r="B2699">
        <v>447.2</v>
      </c>
    </row>
    <row r="2700" spans="1:2">
      <c r="A2700">
        <v>311.89999999999998</v>
      </c>
      <c r="B2700">
        <v>444.9</v>
      </c>
    </row>
    <row r="2701" spans="1:2">
      <c r="A2701">
        <v>315.10000000000002</v>
      </c>
      <c r="B2701">
        <v>448.7</v>
      </c>
    </row>
    <row r="2702" spans="1:2">
      <c r="A2702">
        <v>317.60000000000002</v>
      </c>
      <c r="B2702">
        <v>446.4</v>
      </c>
    </row>
    <row r="2703" spans="1:2">
      <c r="A2703">
        <v>319.5</v>
      </c>
      <c r="B2703">
        <v>446.6</v>
      </c>
    </row>
    <row r="2704" spans="1:2">
      <c r="A2704">
        <v>321</v>
      </c>
      <c r="B2704">
        <v>444.3</v>
      </c>
    </row>
    <row r="2705" spans="1:2">
      <c r="A2705">
        <v>325.2</v>
      </c>
      <c r="B2705">
        <v>446</v>
      </c>
    </row>
    <row r="2706" spans="1:2">
      <c r="A2706">
        <v>326.60000000000002</v>
      </c>
      <c r="B2706">
        <v>444.9</v>
      </c>
    </row>
    <row r="2707" spans="1:2">
      <c r="A2707">
        <v>323.60000000000002</v>
      </c>
      <c r="B2707">
        <v>440.4</v>
      </c>
    </row>
    <row r="2708" spans="1:2">
      <c r="A2708">
        <v>320.60000000000002</v>
      </c>
      <c r="B2708">
        <v>439.2</v>
      </c>
    </row>
    <row r="2709" spans="1:2">
      <c r="A2709">
        <v>324.10000000000002</v>
      </c>
      <c r="B2709">
        <v>435.8</v>
      </c>
    </row>
    <row r="2710" spans="1:2">
      <c r="A2710">
        <v>324.10000000000002</v>
      </c>
      <c r="B2710">
        <v>432.7</v>
      </c>
    </row>
    <row r="2711" spans="1:2">
      <c r="A2711">
        <v>321.2</v>
      </c>
      <c r="B2711">
        <v>434.3</v>
      </c>
    </row>
    <row r="2712" spans="1:2">
      <c r="A2712">
        <v>319.89999999999998</v>
      </c>
      <c r="B2712">
        <v>432.8</v>
      </c>
    </row>
    <row r="2713" spans="1:2">
      <c r="A2713">
        <v>321.10000000000002</v>
      </c>
      <c r="B2713">
        <v>431.3</v>
      </c>
    </row>
    <row r="2714" spans="1:2">
      <c r="A2714">
        <v>316.60000000000002</v>
      </c>
      <c r="B2714">
        <v>427.7</v>
      </c>
    </row>
    <row r="2715" spans="1:2">
      <c r="A2715">
        <v>317.2</v>
      </c>
      <c r="B2715">
        <v>424.8</v>
      </c>
    </row>
    <row r="2716" spans="1:2">
      <c r="A2716">
        <v>319.89999999999998</v>
      </c>
      <c r="B2716">
        <v>422.4</v>
      </c>
    </row>
    <row r="2717" spans="1:2">
      <c r="A2717">
        <v>320.7</v>
      </c>
      <c r="B2717">
        <v>417.6</v>
      </c>
    </row>
    <row r="2718" spans="1:2">
      <c r="A2718">
        <v>318.2</v>
      </c>
      <c r="B2718">
        <v>414.6</v>
      </c>
    </row>
    <row r="2719" spans="1:2">
      <c r="A2719">
        <v>319.5</v>
      </c>
      <c r="B2719">
        <v>409.3</v>
      </c>
    </row>
    <row r="2720" spans="1:2">
      <c r="A2720">
        <v>318.2</v>
      </c>
      <c r="B2720">
        <v>405.1</v>
      </c>
    </row>
    <row r="2721" spans="1:2">
      <c r="A2721">
        <v>316</v>
      </c>
      <c r="B2721">
        <v>405.2</v>
      </c>
    </row>
    <row r="2722" spans="1:2">
      <c r="A2722">
        <v>316.3</v>
      </c>
      <c r="B2722">
        <v>401.5</v>
      </c>
    </row>
    <row r="2723" spans="1:2">
      <c r="A2723">
        <v>306</v>
      </c>
      <c r="B2723">
        <v>403.8</v>
      </c>
    </row>
    <row r="2724" spans="1:2">
      <c r="A2724">
        <v>305.10000000000002</v>
      </c>
      <c r="B2724">
        <v>405.8</v>
      </c>
    </row>
    <row r="2725" spans="1:2">
      <c r="A2725">
        <v>302.89999999999998</v>
      </c>
      <c r="B2725">
        <v>404.3</v>
      </c>
    </row>
    <row r="2726" spans="1:2">
      <c r="A2726">
        <v>300.7</v>
      </c>
      <c r="B2726">
        <v>405.8</v>
      </c>
    </row>
    <row r="2727" spans="1:2">
      <c r="A2727">
        <v>303.89999999999998</v>
      </c>
      <c r="B2727">
        <v>412.4</v>
      </c>
    </row>
    <row r="2728" spans="1:2">
      <c r="A2728">
        <v>301</v>
      </c>
      <c r="B2728">
        <v>416.9</v>
      </c>
    </row>
    <row r="2729" spans="1:2">
      <c r="A2729">
        <v>305.10000000000002</v>
      </c>
      <c r="B2729">
        <v>416.5</v>
      </c>
    </row>
    <row r="2730" spans="1:2">
      <c r="A2730">
        <v>305</v>
      </c>
      <c r="B2730">
        <v>430</v>
      </c>
    </row>
    <row r="2731" spans="1:2">
      <c r="A2731">
        <v>302.8</v>
      </c>
      <c r="B2731">
        <v>431.2</v>
      </c>
    </row>
    <row r="2732" spans="1:2">
      <c r="A2732">
        <v>301.5</v>
      </c>
      <c r="B2732">
        <v>434.3</v>
      </c>
    </row>
    <row r="2733" spans="1:2">
      <c r="A2733">
        <v>299.2</v>
      </c>
      <c r="B2733">
        <v>434.6</v>
      </c>
    </row>
    <row r="2734" spans="1:2">
      <c r="A2734">
        <v>297.8</v>
      </c>
      <c r="B2734">
        <v>432.5</v>
      </c>
    </row>
    <row r="2735" spans="1:2">
      <c r="A2735">
        <v>294.7</v>
      </c>
      <c r="B2735">
        <v>438.7</v>
      </c>
    </row>
    <row r="2736" spans="1:2">
      <c r="A2736">
        <v>291.10000000000002</v>
      </c>
      <c r="B2736">
        <v>439.7</v>
      </c>
    </row>
    <row r="2737" spans="1:2">
      <c r="A2737">
        <v>291.89999999999998</v>
      </c>
      <c r="B2737">
        <v>442.2</v>
      </c>
    </row>
    <row r="2738" spans="1:2">
      <c r="A2738">
        <v>290.7</v>
      </c>
      <c r="B2738">
        <v>446.2</v>
      </c>
    </row>
    <row r="2739" spans="1:2">
      <c r="A2739">
        <v>295.89999999999998</v>
      </c>
      <c r="B2739">
        <v>449.6</v>
      </c>
    </row>
    <row r="2741" spans="1:2">
      <c r="A2741">
        <v>269.39999999999998</v>
      </c>
      <c r="B2741">
        <v>391.3</v>
      </c>
    </row>
    <row r="2742" spans="1:2">
      <c r="A2742">
        <v>273.60000000000002</v>
      </c>
      <c r="B2742">
        <v>387.5</v>
      </c>
    </row>
    <row r="2743" spans="1:2">
      <c r="A2743">
        <v>272.10000000000002</v>
      </c>
      <c r="B2743">
        <v>384.4</v>
      </c>
    </row>
    <row r="2744" spans="1:2">
      <c r="A2744">
        <v>274.60000000000002</v>
      </c>
      <c r="B2744">
        <v>383</v>
      </c>
    </row>
    <row r="2745" spans="1:2">
      <c r="A2745">
        <v>277.3</v>
      </c>
      <c r="B2745">
        <v>377.9</v>
      </c>
    </row>
    <row r="2746" spans="1:2">
      <c r="A2746">
        <v>275.3</v>
      </c>
      <c r="B2746">
        <v>377</v>
      </c>
    </row>
    <row r="2747" spans="1:2">
      <c r="A2747">
        <v>273.8</v>
      </c>
      <c r="B2747">
        <v>378.8</v>
      </c>
    </row>
    <row r="2748" spans="1:2">
      <c r="A2748">
        <v>270.8</v>
      </c>
      <c r="B2748">
        <v>377.3</v>
      </c>
    </row>
    <row r="2749" spans="1:2">
      <c r="A2749">
        <v>265.60000000000002</v>
      </c>
      <c r="B2749">
        <v>378.6</v>
      </c>
    </row>
    <row r="2750" spans="1:2">
      <c r="A2750">
        <v>263.60000000000002</v>
      </c>
      <c r="B2750">
        <v>373.3</v>
      </c>
    </row>
    <row r="2751" spans="1:2">
      <c r="A2751">
        <v>259.39999999999998</v>
      </c>
      <c r="B2751">
        <v>371</v>
      </c>
    </row>
    <row r="2752" spans="1:2">
      <c r="A2752">
        <v>260.5</v>
      </c>
      <c r="B2752">
        <v>366.7</v>
      </c>
    </row>
    <row r="2753" spans="1:2">
      <c r="A2753">
        <v>253.9</v>
      </c>
      <c r="B2753">
        <v>357.9</v>
      </c>
    </row>
    <row r="2754" spans="1:2">
      <c r="A2754">
        <v>252.9</v>
      </c>
      <c r="B2754">
        <v>360.6</v>
      </c>
    </row>
    <row r="2755" spans="1:2">
      <c r="A2755">
        <v>254.1</v>
      </c>
      <c r="B2755">
        <v>362.7</v>
      </c>
    </row>
    <row r="2756" spans="1:2">
      <c r="A2756">
        <v>251.9</v>
      </c>
      <c r="B2756">
        <v>363</v>
      </c>
    </row>
    <row r="2757" spans="1:2">
      <c r="A2757">
        <v>252.4</v>
      </c>
      <c r="B2757">
        <v>365.2</v>
      </c>
    </row>
    <row r="2758" spans="1:2">
      <c r="A2758">
        <v>249</v>
      </c>
      <c r="B2758">
        <v>369.2</v>
      </c>
    </row>
    <row r="2759" spans="1:2">
      <c r="A2759">
        <v>249.2</v>
      </c>
      <c r="B2759">
        <v>372.8</v>
      </c>
    </row>
    <row r="2760" spans="1:2">
      <c r="A2760">
        <v>252.4</v>
      </c>
      <c r="B2760">
        <v>372.6</v>
      </c>
    </row>
    <row r="2761" spans="1:2">
      <c r="A2761">
        <v>251</v>
      </c>
      <c r="B2761">
        <v>375.5</v>
      </c>
    </row>
    <row r="2762" spans="1:2">
      <c r="A2762">
        <v>253.7</v>
      </c>
      <c r="B2762">
        <v>377.3</v>
      </c>
    </row>
    <row r="2763" spans="1:2">
      <c r="A2763">
        <v>252.2</v>
      </c>
      <c r="B2763">
        <v>383.4</v>
      </c>
    </row>
    <row r="2764" spans="1:2">
      <c r="A2764">
        <v>264</v>
      </c>
      <c r="B2764">
        <v>390.1</v>
      </c>
    </row>
    <row r="2765" spans="1:2">
      <c r="A2765">
        <v>267</v>
      </c>
      <c r="B2765">
        <v>389.6</v>
      </c>
    </row>
    <row r="2766" spans="1:2">
      <c r="A2766">
        <v>268.10000000000002</v>
      </c>
      <c r="B2766">
        <v>392.6</v>
      </c>
    </row>
    <row r="2767" spans="1:2">
      <c r="A2767">
        <v>269.39999999999998</v>
      </c>
      <c r="B2767">
        <v>391.3</v>
      </c>
    </row>
    <row r="2769" spans="1:2">
      <c r="A2769">
        <v>252.4</v>
      </c>
      <c r="B2769">
        <v>382.9</v>
      </c>
    </row>
    <row r="2770" spans="1:2">
      <c r="A2770">
        <v>253.7</v>
      </c>
      <c r="B2770">
        <v>377.3</v>
      </c>
    </row>
    <row r="2771" spans="1:2">
      <c r="A2771">
        <v>251</v>
      </c>
      <c r="B2771">
        <v>375.5</v>
      </c>
    </row>
    <row r="2772" spans="1:2">
      <c r="A2772">
        <v>252.4</v>
      </c>
      <c r="B2772">
        <v>372.6</v>
      </c>
    </row>
    <row r="2773" spans="1:2">
      <c r="A2773">
        <v>249.2</v>
      </c>
      <c r="B2773">
        <v>372.8</v>
      </c>
    </row>
    <row r="2774" spans="1:2">
      <c r="A2774">
        <v>249</v>
      </c>
      <c r="B2774">
        <v>369.2</v>
      </c>
    </row>
    <row r="2775" spans="1:2">
      <c r="A2775">
        <v>252</v>
      </c>
      <c r="B2775">
        <v>365.3</v>
      </c>
    </row>
    <row r="2776" spans="1:2">
      <c r="A2776">
        <v>249.5</v>
      </c>
      <c r="B2776">
        <v>362.2</v>
      </c>
    </row>
    <row r="2777" spans="1:2">
      <c r="A2777">
        <v>245.2</v>
      </c>
      <c r="B2777">
        <v>363</v>
      </c>
    </row>
    <row r="2778" spans="1:2">
      <c r="A2778">
        <v>245.7</v>
      </c>
      <c r="B2778">
        <v>370.7</v>
      </c>
    </row>
    <row r="2779" spans="1:2">
      <c r="A2779">
        <v>242.6</v>
      </c>
      <c r="B2779">
        <v>374.2</v>
      </c>
    </row>
    <row r="2780" spans="1:2">
      <c r="A2780">
        <v>246.1</v>
      </c>
      <c r="B2780">
        <v>379.2</v>
      </c>
    </row>
    <row r="2781" spans="1:2">
      <c r="A2781">
        <v>248</v>
      </c>
      <c r="B2781">
        <v>378.4</v>
      </c>
    </row>
    <row r="2782" spans="1:2">
      <c r="A2782">
        <v>250</v>
      </c>
      <c r="B2782">
        <v>382.7</v>
      </c>
    </row>
    <row r="2783" spans="1:2">
      <c r="A2783">
        <v>252.4</v>
      </c>
      <c r="B2783">
        <v>382.9</v>
      </c>
    </row>
    <row r="2785" spans="1:2">
      <c r="A2785">
        <v>237.2</v>
      </c>
      <c r="B2785">
        <v>392</v>
      </c>
    </row>
    <row r="2786" spans="1:2">
      <c r="A2786">
        <v>245.9</v>
      </c>
      <c r="B2786">
        <v>390.4</v>
      </c>
    </row>
    <row r="2787" spans="1:2">
      <c r="A2787">
        <v>252.2</v>
      </c>
      <c r="B2787">
        <v>383.6</v>
      </c>
    </row>
    <row r="2788" spans="1:2">
      <c r="A2788">
        <v>250</v>
      </c>
      <c r="B2788">
        <v>382.7</v>
      </c>
    </row>
    <row r="2789" spans="1:2">
      <c r="A2789">
        <v>248</v>
      </c>
      <c r="B2789">
        <v>378.4</v>
      </c>
    </row>
    <row r="2790" spans="1:2">
      <c r="A2790">
        <v>246.1</v>
      </c>
      <c r="B2790">
        <v>379.2</v>
      </c>
    </row>
    <row r="2791" spans="1:2">
      <c r="A2791">
        <v>241.5</v>
      </c>
      <c r="B2791">
        <v>374.5</v>
      </c>
    </row>
    <row r="2792" spans="1:2">
      <c r="A2792">
        <v>236.2</v>
      </c>
      <c r="B2792">
        <v>377</v>
      </c>
    </row>
    <row r="2793" spans="1:2">
      <c r="A2793">
        <v>235.6</v>
      </c>
      <c r="B2793">
        <v>382.4</v>
      </c>
    </row>
    <row r="2794" spans="1:2">
      <c r="A2794">
        <v>234.1</v>
      </c>
      <c r="B2794">
        <v>382.9</v>
      </c>
    </row>
    <row r="2795" spans="1:2">
      <c r="A2795">
        <v>236.7</v>
      </c>
      <c r="B2795">
        <v>385.9</v>
      </c>
    </row>
    <row r="2796" spans="1:2">
      <c r="A2796">
        <v>236.9</v>
      </c>
      <c r="B2796">
        <v>387.4</v>
      </c>
    </row>
    <row r="2797" spans="1:2">
      <c r="A2797">
        <v>235</v>
      </c>
      <c r="B2797">
        <v>388.4</v>
      </c>
    </row>
    <row r="2798" spans="1:2">
      <c r="A2798">
        <v>237</v>
      </c>
      <c r="B2798">
        <v>389.9</v>
      </c>
    </row>
    <row r="2799" spans="1:2">
      <c r="A2799">
        <v>237.2</v>
      </c>
      <c r="B2799">
        <v>392</v>
      </c>
    </row>
    <row r="2801" spans="1:2">
      <c r="A2801">
        <v>260.5</v>
      </c>
      <c r="B2801">
        <v>396.6</v>
      </c>
    </row>
    <row r="2802" spans="1:2">
      <c r="A2802">
        <v>263</v>
      </c>
      <c r="B2802">
        <v>394.1</v>
      </c>
    </row>
    <row r="2803" spans="1:2">
      <c r="A2803">
        <v>263.7</v>
      </c>
      <c r="B2803">
        <v>389.4</v>
      </c>
    </row>
    <row r="2804" spans="1:2">
      <c r="A2804">
        <v>252.7</v>
      </c>
      <c r="B2804">
        <v>383.4</v>
      </c>
    </row>
    <row r="2805" spans="1:2">
      <c r="A2805">
        <v>245.9</v>
      </c>
      <c r="B2805">
        <v>390.4</v>
      </c>
    </row>
    <row r="2806" spans="1:2">
      <c r="A2806">
        <v>237.8</v>
      </c>
      <c r="B2806">
        <v>392.1</v>
      </c>
    </row>
    <row r="2807" spans="1:2">
      <c r="A2807">
        <v>239.7</v>
      </c>
      <c r="B2807">
        <v>392.6</v>
      </c>
    </row>
    <row r="2808" spans="1:2">
      <c r="A2808">
        <v>239.3</v>
      </c>
      <c r="B2808">
        <v>395</v>
      </c>
    </row>
    <row r="2809" spans="1:2">
      <c r="A2809">
        <v>241.4</v>
      </c>
      <c r="B2809">
        <v>395.9</v>
      </c>
    </row>
    <row r="2810" spans="1:2">
      <c r="A2810">
        <v>245.4</v>
      </c>
      <c r="B2810">
        <v>394.3</v>
      </c>
    </row>
    <row r="2811" spans="1:2">
      <c r="A2811">
        <v>247.1</v>
      </c>
      <c r="B2811">
        <v>395.7</v>
      </c>
    </row>
    <row r="2812" spans="1:2">
      <c r="A2812">
        <v>249.5</v>
      </c>
      <c r="B2812">
        <v>394.7</v>
      </c>
    </row>
    <row r="2813" spans="1:2">
      <c r="A2813">
        <v>250.3</v>
      </c>
      <c r="B2813">
        <v>396.9</v>
      </c>
    </row>
    <row r="2814" spans="1:2">
      <c r="A2814">
        <v>253.5</v>
      </c>
      <c r="B2814">
        <v>398</v>
      </c>
    </row>
    <row r="2815" spans="1:2">
      <c r="A2815">
        <v>254.5</v>
      </c>
      <c r="B2815">
        <v>396.6</v>
      </c>
    </row>
    <row r="2816" spans="1:2">
      <c r="A2816">
        <v>259.39999999999998</v>
      </c>
      <c r="B2816">
        <v>398</v>
      </c>
    </row>
    <row r="2817" spans="1:2">
      <c r="A2817">
        <v>260.5</v>
      </c>
      <c r="B2817">
        <v>396.6</v>
      </c>
    </row>
    <row r="2819" spans="1:2">
      <c r="A2819">
        <v>279.39999999999998</v>
      </c>
      <c r="B2819">
        <v>379.5</v>
      </c>
    </row>
    <row r="2820" spans="1:2">
      <c r="A2820">
        <v>280.39999999999998</v>
      </c>
      <c r="B2820">
        <v>376.5</v>
      </c>
    </row>
    <row r="2821" spans="1:2">
      <c r="A2821">
        <v>285.3</v>
      </c>
      <c r="B2821">
        <v>375.1</v>
      </c>
    </row>
    <row r="2822" spans="1:2">
      <c r="A2822">
        <v>286.7</v>
      </c>
      <c r="B2822">
        <v>371.7</v>
      </c>
    </row>
    <row r="2823" spans="1:2">
      <c r="A2823">
        <v>289</v>
      </c>
      <c r="B2823">
        <v>370.8</v>
      </c>
    </row>
    <row r="2824" spans="1:2">
      <c r="A2824">
        <v>289.3</v>
      </c>
      <c r="B2824">
        <v>368.4</v>
      </c>
    </row>
    <row r="2825" spans="1:2">
      <c r="A2825">
        <v>286.60000000000002</v>
      </c>
      <c r="B2825">
        <v>366.2</v>
      </c>
    </row>
    <row r="2826" spans="1:2">
      <c r="A2826">
        <v>287.2</v>
      </c>
      <c r="B2826">
        <v>359.3</v>
      </c>
    </row>
    <row r="2827" spans="1:2">
      <c r="A2827">
        <v>285.5</v>
      </c>
      <c r="B2827">
        <v>356.2</v>
      </c>
    </row>
    <row r="2828" spans="1:2">
      <c r="A2828">
        <v>287</v>
      </c>
      <c r="B2828">
        <v>353.8</v>
      </c>
    </row>
    <row r="2829" spans="1:2">
      <c r="A2829">
        <v>273.89999999999998</v>
      </c>
      <c r="B2829">
        <v>355.8</v>
      </c>
    </row>
    <row r="2830" spans="1:2">
      <c r="A2830">
        <v>272.10000000000002</v>
      </c>
      <c r="B2830">
        <v>358.4</v>
      </c>
    </row>
    <row r="2831" spans="1:2">
      <c r="A2831">
        <v>269.60000000000002</v>
      </c>
      <c r="B2831">
        <v>358.9</v>
      </c>
    </row>
    <row r="2832" spans="1:2">
      <c r="A2832">
        <v>268.3</v>
      </c>
      <c r="B2832">
        <v>361.8</v>
      </c>
    </row>
    <row r="2833" spans="1:2">
      <c r="A2833">
        <v>265.2</v>
      </c>
      <c r="B2833">
        <v>361.2</v>
      </c>
    </row>
    <row r="2834" spans="1:2">
      <c r="A2834">
        <v>263.60000000000002</v>
      </c>
      <c r="B2834">
        <v>357.3</v>
      </c>
    </row>
    <row r="2835" spans="1:2">
      <c r="A2835">
        <v>261.10000000000002</v>
      </c>
      <c r="B2835">
        <v>358.8</v>
      </c>
    </row>
    <row r="2836" spans="1:2">
      <c r="A2836">
        <v>258.5</v>
      </c>
      <c r="B2836">
        <v>356.1</v>
      </c>
    </row>
    <row r="2837" spans="1:2">
      <c r="A2837">
        <v>257.39999999999998</v>
      </c>
      <c r="B2837">
        <v>359</v>
      </c>
    </row>
    <row r="2838" spans="1:2">
      <c r="A2838">
        <v>255</v>
      </c>
      <c r="B2838">
        <v>359.3</v>
      </c>
    </row>
    <row r="2839" spans="1:2">
      <c r="A2839">
        <v>260.5</v>
      </c>
      <c r="B2839">
        <v>366.7</v>
      </c>
    </row>
    <row r="2840" spans="1:2">
      <c r="A2840">
        <v>259.39999999999998</v>
      </c>
      <c r="B2840">
        <v>371</v>
      </c>
    </row>
    <row r="2841" spans="1:2">
      <c r="A2841">
        <v>263.60000000000002</v>
      </c>
      <c r="B2841">
        <v>373.3</v>
      </c>
    </row>
    <row r="2842" spans="1:2">
      <c r="A2842">
        <v>265.60000000000002</v>
      </c>
      <c r="B2842">
        <v>378.6</v>
      </c>
    </row>
    <row r="2843" spans="1:2">
      <c r="A2843">
        <v>270.8</v>
      </c>
      <c r="B2843">
        <v>377.3</v>
      </c>
    </row>
    <row r="2844" spans="1:2">
      <c r="A2844">
        <v>273.8</v>
      </c>
      <c r="B2844">
        <v>378.8</v>
      </c>
    </row>
    <row r="2845" spans="1:2">
      <c r="A2845">
        <v>275.3</v>
      </c>
      <c r="B2845">
        <v>377</v>
      </c>
    </row>
    <row r="2846" spans="1:2">
      <c r="A2846">
        <v>279.39999999999998</v>
      </c>
      <c r="B2846">
        <v>379.5</v>
      </c>
    </row>
    <row r="2848" spans="1:2">
      <c r="A2848">
        <v>266.60000000000002</v>
      </c>
      <c r="B2848">
        <v>361.7</v>
      </c>
    </row>
    <row r="2849" spans="1:2">
      <c r="A2849">
        <v>269.5</v>
      </c>
      <c r="B2849">
        <v>360.8</v>
      </c>
    </row>
    <row r="2850" spans="1:2">
      <c r="A2850">
        <v>269.60000000000002</v>
      </c>
      <c r="B2850">
        <v>358.9</v>
      </c>
    </row>
    <row r="2851" spans="1:2">
      <c r="A2851">
        <v>272.10000000000002</v>
      </c>
      <c r="B2851">
        <v>358.4</v>
      </c>
    </row>
    <row r="2852" spans="1:2">
      <c r="A2852">
        <v>273.89999999999998</v>
      </c>
      <c r="B2852">
        <v>355.8</v>
      </c>
    </row>
    <row r="2853" spans="1:2">
      <c r="A2853">
        <v>279.10000000000002</v>
      </c>
      <c r="B2853">
        <v>355.7</v>
      </c>
    </row>
    <row r="2854" spans="1:2">
      <c r="A2854">
        <v>288</v>
      </c>
      <c r="B2854">
        <v>352.6</v>
      </c>
    </row>
    <row r="2855" spans="1:2">
      <c r="A2855">
        <v>284</v>
      </c>
      <c r="B2855">
        <v>347.9</v>
      </c>
    </row>
    <row r="2856" spans="1:2">
      <c r="A2856">
        <v>277.39999999999998</v>
      </c>
      <c r="B2856">
        <v>345</v>
      </c>
    </row>
    <row r="2857" spans="1:2">
      <c r="A2857">
        <v>276.10000000000002</v>
      </c>
      <c r="B2857">
        <v>342.6</v>
      </c>
    </row>
    <row r="2858" spans="1:2">
      <c r="A2858">
        <v>273.8</v>
      </c>
      <c r="B2858">
        <v>343.5</v>
      </c>
    </row>
    <row r="2859" spans="1:2">
      <c r="A2859">
        <v>269.5</v>
      </c>
      <c r="B2859">
        <v>338.1</v>
      </c>
    </row>
    <row r="2860" spans="1:2">
      <c r="A2860">
        <v>266.89999999999998</v>
      </c>
      <c r="B2860">
        <v>338</v>
      </c>
    </row>
    <row r="2861" spans="1:2">
      <c r="A2861">
        <v>266.8</v>
      </c>
      <c r="B2861">
        <v>332.1</v>
      </c>
    </row>
    <row r="2862" spans="1:2">
      <c r="A2862">
        <v>262.3</v>
      </c>
      <c r="B2862">
        <v>333.6</v>
      </c>
    </row>
    <row r="2863" spans="1:2">
      <c r="A2863">
        <v>261.10000000000002</v>
      </c>
      <c r="B2863">
        <v>338.7</v>
      </c>
    </row>
    <row r="2864" spans="1:2">
      <c r="A2864">
        <v>257.7</v>
      </c>
      <c r="B2864">
        <v>338</v>
      </c>
    </row>
    <row r="2865" spans="1:2">
      <c r="A2865">
        <v>256.89999999999998</v>
      </c>
      <c r="B2865">
        <v>340.8</v>
      </c>
    </row>
    <row r="2866" spans="1:2">
      <c r="A2866">
        <v>253.1</v>
      </c>
      <c r="B2866">
        <v>339.4</v>
      </c>
    </row>
    <row r="2867" spans="1:2">
      <c r="A2867">
        <v>252.5</v>
      </c>
      <c r="B2867">
        <v>341.9</v>
      </c>
    </row>
    <row r="2868" spans="1:2">
      <c r="A2868">
        <v>255.9</v>
      </c>
      <c r="B2868">
        <v>355.6</v>
      </c>
    </row>
    <row r="2869" spans="1:2">
      <c r="A2869">
        <v>259.5</v>
      </c>
      <c r="B2869">
        <v>356.7</v>
      </c>
    </row>
    <row r="2870" spans="1:2">
      <c r="A2870">
        <v>261.10000000000002</v>
      </c>
      <c r="B2870">
        <v>358.8</v>
      </c>
    </row>
    <row r="2871" spans="1:2">
      <c r="A2871">
        <v>263.60000000000002</v>
      </c>
      <c r="B2871">
        <v>357.3</v>
      </c>
    </row>
    <row r="2872" spans="1:2">
      <c r="A2872">
        <v>266.60000000000002</v>
      </c>
      <c r="B2872">
        <v>361.7</v>
      </c>
    </row>
    <row r="2874" spans="1:2">
      <c r="A2874">
        <v>283.89999999999998</v>
      </c>
      <c r="B2874">
        <v>347.8</v>
      </c>
    </row>
    <row r="2875" spans="1:2">
      <c r="A2875">
        <v>284.60000000000002</v>
      </c>
      <c r="B2875">
        <v>343.3</v>
      </c>
    </row>
    <row r="2876" spans="1:2">
      <c r="A2876">
        <v>287.2</v>
      </c>
      <c r="B2876">
        <v>343.3</v>
      </c>
    </row>
    <row r="2877" spans="1:2">
      <c r="A2877">
        <v>289.10000000000002</v>
      </c>
      <c r="B2877">
        <v>346.3</v>
      </c>
    </row>
    <row r="2878" spans="1:2">
      <c r="A2878">
        <v>289.5</v>
      </c>
      <c r="B2878">
        <v>344.5</v>
      </c>
    </row>
    <row r="2879" spans="1:2">
      <c r="A2879">
        <v>294</v>
      </c>
      <c r="B2879">
        <v>340.9</v>
      </c>
    </row>
    <row r="2880" spans="1:2">
      <c r="A2880">
        <v>299.8</v>
      </c>
      <c r="B2880">
        <v>342.6</v>
      </c>
    </row>
    <row r="2881" spans="1:2">
      <c r="A2881">
        <v>301.60000000000002</v>
      </c>
      <c r="B2881">
        <v>341.4</v>
      </c>
    </row>
    <row r="2882" spans="1:2">
      <c r="A2882">
        <v>300.10000000000002</v>
      </c>
      <c r="B2882">
        <v>339.6</v>
      </c>
    </row>
    <row r="2883" spans="1:2">
      <c r="A2883">
        <v>302.60000000000002</v>
      </c>
      <c r="B2883">
        <v>335.4</v>
      </c>
    </row>
    <row r="2884" spans="1:2">
      <c r="A2884">
        <v>300.89999999999998</v>
      </c>
      <c r="B2884">
        <v>334.7</v>
      </c>
    </row>
    <row r="2885" spans="1:2">
      <c r="A2885">
        <v>298.39999999999998</v>
      </c>
      <c r="B2885">
        <v>336.3</v>
      </c>
    </row>
    <row r="2886" spans="1:2">
      <c r="A2886">
        <v>295.60000000000002</v>
      </c>
      <c r="B2886">
        <v>335.1</v>
      </c>
    </row>
    <row r="2887" spans="1:2">
      <c r="A2887">
        <v>297.3</v>
      </c>
      <c r="B2887">
        <v>330.5</v>
      </c>
    </row>
    <row r="2888" spans="1:2">
      <c r="A2888">
        <v>294.60000000000002</v>
      </c>
      <c r="B2888">
        <v>326.39999999999998</v>
      </c>
    </row>
    <row r="2889" spans="1:2">
      <c r="A2889">
        <v>294.10000000000002</v>
      </c>
      <c r="B2889">
        <v>321.3</v>
      </c>
    </row>
    <row r="2890" spans="1:2">
      <c r="A2890">
        <v>286.7</v>
      </c>
      <c r="B2890">
        <v>316.10000000000002</v>
      </c>
    </row>
    <row r="2891" spans="1:2">
      <c r="A2891">
        <v>284.2</v>
      </c>
      <c r="B2891">
        <v>317.89999999999998</v>
      </c>
    </row>
    <row r="2892" spans="1:2">
      <c r="A2892">
        <v>276.89999999999998</v>
      </c>
      <c r="B2892">
        <v>315</v>
      </c>
    </row>
    <row r="2893" spans="1:2">
      <c r="A2893">
        <v>276.60000000000002</v>
      </c>
      <c r="B2893">
        <v>316.39999999999998</v>
      </c>
    </row>
    <row r="2894" spans="1:2">
      <c r="A2894">
        <v>271.39999999999998</v>
      </c>
      <c r="B2894">
        <v>317.5</v>
      </c>
    </row>
    <row r="2895" spans="1:2">
      <c r="A2895">
        <v>270.2</v>
      </c>
      <c r="B2895">
        <v>320.39999999999998</v>
      </c>
    </row>
    <row r="2896" spans="1:2">
      <c r="A2896">
        <v>267.8</v>
      </c>
      <c r="B2896">
        <v>317.8</v>
      </c>
    </row>
    <row r="2897" spans="1:2">
      <c r="A2897">
        <v>261.60000000000002</v>
      </c>
      <c r="B2897">
        <v>328.2</v>
      </c>
    </row>
    <row r="2898" spans="1:2">
      <c r="A2898">
        <v>262</v>
      </c>
      <c r="B2898">
        <v>333.2</v>
      </c>
    </row>
    <row r="2899" spans="1:2">
      <c r="A2899">
        <v>266.8</v>
      </c>
      <c r="B2899">
        <v>332.1</v>
      </c>
    </row>
    <row r="2900" spans="1:2">
      <c r="A2900">
        <v>267.39999999999998</v>
      </c>
      <c r="B2900">
        <v>338.5</v>
      </c>
    </row>
    <row r="2901" spans="1:2">
      <c r="A2901">
        <v>269.5</v>
      </c>
      <c r="B2901">
        <v>338.1</v>
      </c>
    </row>
    <row r="2902" spans="1:2">
      <c r="A2902">
        <v>272.5</v>
      </c>
      <c r="B2902">
        <v>342.7</v>
      </c>
    </row>
    <row r="2903" spans="1:2">
      <c r="A2903">
        <v>276.10000000000002</v>
      </c>
      <c r="B2903">
        <v>342.6</v>
      </c>
    </row>
    <row r="2904" spans="1:2">
      <c r="A2904">
        <v>277.39999999999998</v>
      </c>
      <c r="B2904">
        <v>345</v>
      </c>
    </row>
    <row r="2905" spans="1:2">
      <c r="A2905">
        <v>283.89999999999998</v>
      </c>
      <c r="B2905">
        <v>347.8</v>
      </c>
    </row>
    <row r="2907" spans="1:2">
      <c r="A2907">
        <v>248.6</v>
      </c>
      <c r="B2907">
        <v>423.1</v>
      </c>
    </row>
    <row r="2908" spans="1:2">
      <c r="A2908">
        <v>250</v>
      </c>
      <c r="B2908">
        <v>418.1</v>
      </c>
    </row>
    <row r="2909" spans="1:2">
      <c r="A2909">
        <v>249.1</v>
      </c>
      <c r="B2909">
        <v>416.4</v>
      </c>
    </row>
    <row r="2910" spans="1:2">
      <c r="A2910">
        <v>254.8</v>
      </c>
      <c r="B2910">
        <v>414.3</v>
      </c>
    </row>
    <row r="2911" spans="1:2">
      <c r="A2911">
        <v>261.2</v>
      </c>
      <c r="B2911">
        <v>407.9</v>
      </c>
    </row>
    <row r="2912" spans="1:2">
      <c r="A2912">
        <v>259.8</v>
      </c>
      <c r="B2912">
        <v>404.3</v>
      </c>
    </row>
    <row r="2913" spans="1:2">
      <c r="A2913">
        <v>260.7</v>
      </c>
      <c r="B2913">
        <v>403.2</v>
      </c>
    </row>
    <row r="2914" spans="1:2">
      <c r="A2914">
        <v>257</v>
      </c>
      <c r="B2914">
        <v>401.1</v>
      </c>
    </row>
    <row r="2915" spans="1:2">
      <c r="A2915">
        <v>259.39999999999998</v>
      </c>
      <c r="B2915">
        <v>398</v>
      </c>
    </row>
    <row r="2916" spans="1:2">
      <c r="A2916">
        <v>254.5</v>
      </c>
      <c r="B2916">
        <v>396.6</v>
      </c>
    </row>
    <row r="2917" spans="1:2">
      <c r="A2917">
        <v>254.2</v>
      </c>
      <c r="B2917">
        <v>398</v>
      </c>
    </row>
    <row r="2918" spans="1:2">
      <c r="A2918">
        <v>252.2</v>
      </c>
      <c r="B2918">
        <v>397.6</v>
      </c>
    </row>
    <row r="2919" spans="1:2">
      <c r="A2919">
        <v>249.2</v>
      </c>
      <c r="B2919">
        <v>394.7</v>
      </c>
    </row>
    <row r="2920" spans="1:2">
      <c r="A2920">
        <v>246.7</v>
      </c>
      <c r="B2920">
        <v>395.6</v>
      </c>
    </row>
    <row r="2921" spans="1:2">
      <c r="A2921">
        <v>243.4</v>
      </c>
      <c r="B2921">
        <v>401.7</v>
      </c>
    </row>
    <row r="2922" spans="1:2">
      <c r="A2922">
        <v>239.3</v>
      </c>
      <c r="B2922">
        <v>403.5</v>
      </c>
    </row>
    <row r="2923" spans="1:2">
      <c r="A2923">
        <v>239.4</v>
      </c>
      <c r="B2923">
        <v>406.1</v>
      </c>
    </row>
    <row r="2924" spans="1:2">
      <c r="A2924">
        <v>236.9</v>
      </c>
      <c r="B2924">
        <v>406.6</v>
      </c>
    </row>
    <row r="2925" spans="1:2">
      <c r="A2925">
        <v>236.9</v>
      </c>
      <c r="B2925">
        <v>409.4</v>
      </c>
    </row>
    <row r="2926" spans="1:2">
      <c r="A2926">
        <v>235.2</v>
      </c>
      <c r="B2926">
        <v>410.3</v>
      </c>
    </row>
    <row r="2927" spans="1:2">
      <c r="A2927">
        <v>236.5</v>
      </c>
      <c r="B2927">
        <v>412.8</v>
      </c>
    </row>
    <row r="2928" spans="1:2">
      <c r="A2928">
        <v>235.9</v>
      </c>
      <c r="B2928">
        <v>414.4</v>
      </c>
    </row>
    <row r="2929" spans="1:2">
      <c r="A2929">
        <v>240.6</v>
      </c>
      <c r="B2929">
        <v>416.7</v>
      </c>
    </row>
    <row r="2930" spans="1:2">
      <c r="A2930">
        <v>242.9</v>
      </c>
      <c r="B2930">
        <v>416.3</v>
      </c>
    </row>
    <row r="2931" spans="1:2">
      <c r="A2931">
        <v>245.1</v>
      </c>
      <c r="B2931">
        <v>418.3</v>
      </c>
    </row>
    <row r="2932" spans="1:2">
      <c r="A2932">
        <v>243.7</v>
      </c>
      <c r="B2932">
        <v>420</v>
      </c>
    </row>
    <row r="2933" spans="1:2">
      <c r="A2933">
        <v>244.4</v>
      </c>
      <c r="B2933">
        <v>421.5</v>
      </c>
    </row>
    <row r="2934" spans="1:2">
      <c r="A2934">
        <v>248.6</v>
      </c>
      <c r="B2934">
        <v>423.1</v>
      </c>
    </row>
    <row r="2936" spans="1:2">
      <c r="A2936">
        <v>280.7</v>
      </c>
      <c r="B2936">
        <v>415.4</v>
      </c>
    </row>
    <row r="2937" spans="1:2">
      <c r="A2937">
        <v>282.89999999999998</v>
      </c>
      <c r="B2937">
        <v>415.3</v>
      </c>
    </row>
    <row r="2938" spans="1:2">
      <c r="A2938">
        <v>283.3</v>
      </c>
      <c r="B2938">
        <v>412.5</v>
      </c>
    </row>
    <row r="2939" spans="1:2">
      <c r="A2939">
        <v>285.60000000000002</v>
      </c>
      <c r="B2939">
        <v>410.6</v>
      </c>
    </row>
    <row r="2940" spans="1:2">
      <c r="A2940">
        <v>288.8</v>
      </c>
      <c r="B2940">
        <v>410.7</v>
      </c>
    </row>
    <row r="2941" spans="1:2">
      <c r="A2941">
        <v>290.3</v>
      </c>
      <c r="B2941">
        <v>408.9</v>
      </c>
    </row>
    <row r="2942" spans="1:2">
      <c r="A2942">
        <v>293.2</v>
      </c>
      <c r="B2942">
        <v>409.5</v>
      </c>
    </row>
    <row r="2943" spans="1:2">
      <c r="A2943">
        <v>292.7</v>
      </c>
      <c r="B2943">
        <v>408.1</v>
      </c>
    </row>
    <row r="2944" spans="1:2">
      <c r="A2944">
        <v>294.8</v>
      </c>
      <c r="B2944">
        <v>406.6</v>
      </c>
    </row>
    <row r="2945" spans="1:2">
      <c r="A2945">
        <v>296</v>
      </c>
      <c r="B2945">
        <v>401.9</v>
      </c>
    </row>
    <row r="2946" spans="1:2">
      <c r="A2946">
        <v>299</v>
      </c>
      <c r="B2946">
        <v>401</v>
      </c>
    </row>
    <row r="2947" spans="1:2">
      <c r="A2947">
        <v>299.60000000000002</v>
      </c>
      <c r="B2947">
        <v>403</v>
      </c>
    </row>
    <row r="2948" spans="1:2">
      <c r="A2948">
        <v>302.7</v>
      </c>
      <c r="B2948">
        <v>402</v>
      </c>
    </row>
    <row r="2949" spans="1:2">
      <c r="A2949">
        <v>300.3</v>
      </c>
      <c r="B2949">
        <v>394.5</v>
      </c>
    </row>
    <row r="2950" spans="1:2">
      <c r="A2950">
        <v>303.7</v>
      </c>
      <c r="B2950">
        <v>390.2</v>
      </c>
    </row>
    <row r="2951" spans="1:2">
      <c r="A2951">
        <v>298.8</v>
      </c>
      <c r="B2951">
        <v>392.6</v>
      </c>
    </row>
    <row r="2952" spans="1:2">
      <c r="A2952">
        <v>296.3</v>
      </c>
      <c r="B2952">
        <v>391.3</v>
      </c>
    </row>
    <row r="2953" spans="1:2">
      <c r="A2953">
        <v>294</v>
      </c>
      <c r="B2953">
        <v>393.4</v>
      </c>
    </row>
    <row r="2954" spans="1:2">
      <c r="A2954">
        <v>291.3</v>
      </c>
      <c r="B2954">
        <v>388.4</v>
      </c>
    </row>
    <row r="2955" spans="1:2">
      <c r="A2955">
        <v>288.2</v>
      </c>
      <c r="B2955">
        <v>388.8</v>
      </c>
    </row>
    <row r="2956" spans="1:2">
      <c r="A2956">
        <v>286.5</v>
      </c>
      <c r="B2956">
        <v>387.5</v>
      </c>
    </row>
    <row r="2957" spans="1:2">
      <c r="A2957">
        <v>289.89999999999998</v>
      </c>
      <c r="B2957">
        <v>387</v>
      </c>
    </row>
    <row r="2958" spans="1:2">
      <c r="A2958">
        <v>292.2</v>
      </c>
      <c r="B2958">
        <v>384.3</v>
      </c>
    </row>
    <row r="2959" spans="1:2">
      <c r="A2959">
        <v>290.5</v>
      </c>
      <c r="B2959">
        <v>378.7</v>
      </c>
    </row>
    <row r="2960" spans="1:2">
      <c r="A2960">
        <v>287</v>
      </c>
      <c r="B2960">
        <v>384.7</v>
      </c>
    </row>
    <row r="2961" spans="1:2">
      <c r="A2961">
        <v>284.10000000000002</v>
      </c>
      <c r="B2961">
        <v>382.2</v>
      </c>
    </row>
    <row r="2962" spans="1:2">
      <c r="A2962">
        <v>284.89999999999998</v>
      </c>
      <c r="B2962">
        <v>379.9</v>
      </c>
    </row>
    <row r="2963" spans="1:2">
      <c r="A2963">
        <v>277.3</v>
      </c>
      <c r="B2963">
        <v>379</v>
      </c>
    </row>
    <row r="2964" spans="1:2">
      <c r="A2964">
        <v>272.10000000000002</v>
      </c>
      <c r="B2964">
        <v>384.4</v>
      </c>
    </row>
    <row r="2965" spans="1:2">
      <c r="A2965">
        <v>273.60000000000002</v>
      </c>
      <c r="B2965">
        <v>387.5</v>
      </c>
    </row>
    <row r="2966" spans="1:2">
      <c r="A2966">
        <v>271.39999999999998</v>
      </c>
      <c r="B2966">
        <v>390.4</v>
      </c>
    </row>
    <row r="2967" spans="1:2">
      <c r="A2967">
        <v>266</v>
      </c>
      <c r="B2967">
        <v>392.8</v>
      </c>
    </row>
    <row r="2968" spans="1:2">
      <c r="A2968">
        <v>264.60000000000002</v>
      </c>
      <c r="B2968">
        <v>395.9</v>
      </c>
    </row>
    <row r="2969" spans="1:2">
      <c r="A2969">
        <v>266.2</v>
      </c>
      <c r="B2969">
        <v>406.2</v>
      </c>
    </row>
    <row r="2970" spans="1:2">
      <c r="A2970">
        <v>269.3</v>
      </c>
      <c r="B2970">
        <v>405.7</v>
      </c>
    </row>
    <row r="2971" spans="1:2">
      <c r="A2971">
        <v>270.7</v>
      </c>
      <c r="B2971">
        <v>408.8</v>
      </c>
    </row>
    <row r="2972" spans="1:2">
      <c r="A2972">
        <v>278.89999999999998</v>
      </c>
      <c r="B2972">
        <v>408.9</v>
      </c>
    </row>
    <row r="2973" spans="1:2">
      <c r="A2973">
        <v>278.7</v>
      </c>
      <c r="B2973">
        <v>411.6</v>
      </c>
    </row>
    <row r="2974" spans="1:2">
      <c r="A2974">
        <v>279.89999999999998</v>
      </c>
      <c r="B2974">
        <v>411.9</v>
      </c>
    </row>
    <row r="2975" spans="1:2">
      <c r="A2975">
        <v>278.39999999999998</v>
      </c>
      <c r="B2975">
        <v>413.6</v>
      </c>
    </row>
    <row r="2976" spans="1:2">
      <c r="A2976">
        <v>279.60000000000002</v>
      </c>
      <c r="B2976">
        <v>416</v>
      </c>
    </row>
    <row r="2977" spans="1:2">
      <c r="A2977">
        <v>280.7</v>
      </c>
      <c r="B2977">
        <v>415.4</v>
      </c>
    </row>
    <row r="2979" spans="1:2">
      <c r="A2979">
        <v>267.89999999999998</v>
      </c>
      <c r="B2979">
        <v>436.9</v>
      </c>
    </row>
    <row r="2980" spans="1:2">
      <c r="A2980">
        <v>271.8</v>
      </c>
      <c r="B2980">
        <v>436.6</v>
      </c>
    </row>
    <row r="2981" spans="1:2">
      <c r="A2981">
        <v>273.3</v>
      </c>
      <c r="B2981">
        <v>434.3</v>
      </c>
    </row>
    <row r="2982" spans="1:2">
      <c r="A2982">
        <v>269.8</v>
      </c>
      <c r="B2982">
        <v>430.3</v>
      </c>
    </row>
    <row r="2983" spans="1:2">
      <c r="A2983">
        <v>270.5</v>
      </c>
      <c r="B2983">
        <v>427.5</v>
      </c>
    </row>
    <row r="2984" spans="1:2">
      <c r="A2984">
        <v>268.10000000000002</v>
      </c>
      <c r="B2984">
        <v>425.1</v>
      </c>
    </row>
    <row r="2985" spans="1:2">
      <c r="A2985">
        <v>267</v>
      </c>
      <c r="B2985">
        <v>419.9</v>
      </c>
    </row>
    <row r="2986" spans="1:2">
      <c r="A2986">
        <v>270.10000000000002</v>
      </c>
      <c r="B2986">
        <v>420.3</v>
      </c>
    </row>
    <row r="2987" spans="1:2">
      <c r="A2987">
        <v>272.7</v>
      </c>
      <c r="B2987">
        <v>417.3</v>
      </c>
    </row>
    <row r="2988" spans="1:2">
      <c r="A2988">
        <v>275.89999999999998</v>
      </c>
      <c r="B2988">
        <v>417.3</v>
      </c>
    </row>
    <row r="2989" spans="1:2">
      <c r="A2989">
        <v>277.7</v>
      </c>
      <c r="B2989">
        <v>414.6</v>
      </c>
    </row>
    <row r="2990" spans="1:2">
      <c r="A2990">
        <v>279</v>
      </c>
      <c r="B2990">
        <v>415</v>
      </c>
    </row>
    <row r="2991" spans="1:2">
      <c r="A2991">
        <v>278.39999999999998</v>
      </c>
      <c r="B2991">
        <v>413.6</v>
      </c>
    </row>
    <row r="2992" spans="1:2">
      <c r="A2992">
        <v>279.89999999999998</v>
      </c>
      <c r="B2992">
        <v>411.9</v>
      </c>
    </row>
    <row r="2993" spans="1:2">
      <c r="A2993">
        <v>278.7</v>
      </c>
      <c r="B2993">
        <v>411.6</v>
      </c>
    </row>
    <row r="2994" spans="1:2">
      <c r="A2994">
        <v>278.89999999999998</v>
      </c>
      <c r="B2994">
        <v>408.9</v>
      </c>
    </row>
    <row r="2995" spans="1:2">
      <c r="A2995">
        <v>270.7</v>
      </c>
      <c r="B2995">
        <v>408.8</v>
      </c>
    </row>
    <row r="2996" spans="1:2">
      <c r="A2996">
        <v>269.3</v>
      </c>
      <c r="B2996">
        <v>405.7</v>
      </c>
    </row>
    <row r="2997" spans="1:2">
      <c r="A2997">
        <v>267.10000000000002</v>
      </c>
      <c r="B2997">
        <v>406.8</v>
      </c>
    </row>
    <row r="2998" spans="1:2">
      <c r="A2998">
        <v>263.89999999999998</v>
      </c>
      <c r="B2998">
        <v>403.8</v>
      </c>
    </row>
    <row r="2999" spans="1:2">
      <c r="A2999">
        <v>264</v>
      </c>
      <c r="B2999">
        <v>406.5</v>
      </c>
    </row>
    <row r="3000" spans="1:2">
      <c r="A3000">
        <v>260.60000000000002</v>
      </c>
      <c r="B3000">
        <v>405.9</v>
      </c>
    </row>
    <row r="3001" spans="1:2">
      <c r="A3001">
        <v>261.2</v>
      </c>
      <c r="B3001">
        <v>408.2</v>
      </c>
    </row>
    <row r="3002" spans="1:2">
      <c r="A3002">
        <v>254.8</v>
      </c>
      <c r="B3002">
        <v>414.3</v>
      </c>
    </row>
    <row r="3003" spans="1:2">
      <c r="A3003">
        <v>249.1</v>
      </c>
      <c r="B3003">
        <v>416.4</v>
      </c>
    </row>
    <row r="3004" spans="1:2">
      <c r="A3004">
        <v>249.1</v>
      </c>
      <c r="B3004">
        <v>423.1</v>
      </c>
    </row>
    <row r="3005" spans="1:2">
      <c r="A3005">
        <v>251</v>
      </c>
      <c r="B3005">
        <v>427.6</v>
      </c>
    </row>
    <row r="3006" spans="1:2">
      <c r="A3006">
        <v>253.7</v>
      </c>
      <c r="B3006">
        <v>427</v>
      </c>
    </row>
    <row r="3007" spans="1:2">
      <c r="A3007">
        <v>255.3</v>
      </c>
      <c r="B3007">
        <v>428.1</v>
      </c>
    </row>
    <row r="3008" spans="1:2">
      <c r="A3008">
        <v>258.7</v>
      </c>
      <c r="B3008">
        <v>426.3</v>
      </c>
    </row>
    <row r="3009" spans="1:2">
      <c r="A3009">
        <v>260.60000000000002</v>
      </c>
      <c r="B3009">
        <v>430</v>
      </c>
    </row>
    <row r="3010" spans="1:2">
      <c r="A3010">
        <v>262.89999999999998</v>
      </c>
      <c r="B3010">
        <v>429.2</v>
      </c>
    </row>
    <row r="3011" spans="1:2">
      <c r="A3011">
        <v>262.10000000000002</v>
      </c>
      <c r="B3011">
        <v>431.3</v>
      </c>
    </row>
    <row r="3012" spans="1:2">
      <c r="A3012">
        <v>265.5</v>
      </c>
      <c r="B3012">
        <v>432.6</v>
      </c>
    </row>
    <row r="3013" spans="1:2">
      <c r="A3013">
        <v>265</v>
      </c>
      <c r="B3013">
        <v>438.6</v>
      </c>
    </row>
    <row r="3014" spans="1:2">
      <c r="A3014">
        <v>267.89999999999998</v>
      </c>
      <c r="B3014">
        <v>436.9</v>
      </c>
    </row>
    <row r="3016" spans="1:2">
      <c r="A3016">
        <v>331.8</v>
      </c>
      <c r="B3016">
        <v>438.4</v>
      </c>
    </row>
    <row r="3017" spans="1:2">
      <c r="A3017">
        <v>332.2</v>
      </c>
      <c r="B3017">
        <v>435.7</v>
      </c>
    </row>
    <row r="3018" spans="1:2">
      <c r="A3018">
        <v>334.7</v>
      </c>
      <c r="B3018">
        <v>432.9</v>
      </c>
    </row>
    <row r="3019" spans="1:2">
      <c r="A3019">
        <v>339.3</v>
      </c>
      <c r="B3019">
        <v>433.7</v>
      </c>
    </row>
    <row r="3020" spans="1:2">
      <c r="A3020">
        <v>341</v>
      </c>
      <c r="B3020">
        <v>435.4</v>
      </c>
    </row>
    <row r="3021" spans="1:2">
      <c r="A3021">
        <v>344.6</v>
      </c>
      <c r="B3021">
        <v>431.5</v>
      </c>
    </row>
    <row r="3022" spans="1:2">
      <c r="A3022">
        <v>350.6</v>
      </c>
      <c r="B3022">
        <v>430.1</v>
      </c>
    </row>
    <row r="3023" spans="1:2">
      <c r="A3023">
        <v>352</v>
      </c>
      <c r="B3023">
        <v>431.3</v>
      </c>
    </row>
    <row r="3024" spans="1:2">
      <c r="A3024">
        <v>354.6</v>
      </c>
      <c r="B3024">
        <v>428.9</v>
      </c>
    </row>
    <row r="3025" spans="1:2">
      <c r="A3025">
        <v>352.9</v>
      </c>
      <c r="B3025">
        <v>426.2</v>
      </c>
    </row>
    <row r="3026" spans="1:2">
      <c r="A3026">
        <v>350.7</v>
      </c>
      <c r="B3026">
        <v>427.5</v>
      </c>
    </row>
    <row r="3027" spans="1:2">
      <c r="A3027">
        <v>348.6</v>
      </c>
      <c r="B3027">
        <v>426.5</v>
      </c>
    </row>
    <row r="3028" spans="1:2">
      <c r="A3028">
        <v>346</v>
      </c>
      <c r="B3028">
        <v>421.6</v>
      </c>
    </row>
    <row r="3029" spans="1:2">
      <c r="A3029">
        <v>338.4</v>
      </c>
      <c r="B3029">
        <v>416.6</v>
      </c>
    </row>
    <row r="3030" spans="1:2">
      <c r="A3030">
        <v>336.2</v>
      </c>
      <c r="B3030">
        <v>414</v>
      </c>
    </row>
    <row r="3031" spans="1:2">
      <c r="A3031">
        <v>334.6</v>
      </c>
      <c r="B3031">
        <v>408.5</v>
      </c>
    </row>
    <row r="3032" spans="1:2">
      <c r="A3032">
        <v>336.8</v>
      </c>
      <c r="B3032">
        <v>407</v>
      </c>
    </row>
    <row r="3033" spans="1:2">
      <c r="A3033">
        <v>336.6</v>
      </c>
      <c r="B3033">
        <v>404.9</v>
      </c>
    </row>
    <row r="3034" spans="1:2">
      <c r="A3034">
        <v>334.4</v>
      </c>
      <c r="B3034">
        <v>401.5</v>
      </c>
    </row>
    <row r="3035" spans="1:2">
      <c r="A3035">
        <v>329.4</v>
      </c>
      <c r="B3035">
        <v>400.4</v>
      </c>
    </row>
    <row r="3036" spans="1:2">
      <c r="A3036">
        <v>325.2</v>
      </c>
      <c r="B3036">
        <v>402</v>
      </c>
    </row>
    <row r="3037" spans="1:2">
      <c r="A3037">
        <v>322.2</v>
      </c>
      <c r="B3037">
        <v>406.2</v>
      </c>
    </row>
    <row r="3038" spans="1:2">
      <c r="A3038">
        <v>318.7</v>
      </c>
      <c r="B3038">
        <v>408</v>
      </c>
    </row>
    <row r="3039" spans="1:2">
      <c r="A3039">
        <v>318.2</v>
      </c>
      <c r="B3039">
        <v>414.6</v>
      </c>
    </row>
    <row r="3040" spans="1:2">
      <c r="A3040">
        <v>320.7</v>
      </c>
      <c r="B3040">
        <v>417.6</v>
      </c>
    </row>
    <row r="3041" spans="1:2">
      <c r="A3041">
        <v>319.89999999999998</v>
      </c>
      <c r="B3041">
        <v>422.4</v>
      </c>
    </row>
    <row r="3042" spans="1:2">
      <c r="A3042">
        <v>317.2</v>
      </c>
      <c r="B3042">
        <v>424.8</v>
      </c>
    </row>
    <row r="3043" spans="1:2">
      <c r="A3043">
        <v>316.60000000000002</v>
      </c>
      <c r="B3043">
        <v>427.7</v>
      </c>
    </row>
    <row r="3044" spans="1:2">
      <c r="A3044">
        <v>321.10000000000002</v>
      </c>
      <c r="B3044">
        <v>431.3</v>
      </c>
    </row>
    <row r="3045" spans="1:2">
      <c r="A3045">
        <v>319.89999999999998</v>
      </c>
      <c r="B3045">
        <v>432.8</v>
      </c>
    </row>
    <row r="3046" spans="1:2">
      <c r="A3046">
        <v>321.2</v>
      </c>
      <c r="B3046">
        <v>434.3</v>
      </c>
    </row>
    <row r="3047" spans="1:2">
      <c r="A3047">
        <v>324.10000000000002</v>
      </c>
      <c r="B3047">
        <v>432.7</v>
      </c>
    </row>
    <row r="3048" spans="1:2">
      <c r="A3048">
        <v>324.60000000000002</v>
      </c>
      <c r="B3048">
        <v>437.5</v>
      </c>
    </row>
    <row r="3049" spans="1:2">
      <c r="A3049">
        <v>327.10000000000002</v>
      </c>
      <c r="B3049">
        <v>438.9</v>
      </c>
    </row>
    <row r="3050" spans="1:2">
      <c r="A3050">
        <v>331.8</v>
      </c>
      <c r="B3050">
        <v>438.4</v>
      </c>
    </row>
    <row r="3052" spans="1:2">
      <c r="A3052">
        <v>261.10000000000002</v>
      </c>
      <c r="B3052">
        <v>406.7</v>
      </c>
    </row>
    <row r="3053" spans="1:2">
      <c r="A3053">
        <v>264</v>
      </c>
      <c r="B3053">
        <v>406.5</v>
      </c>
    </row>
    <row r="3054" spans="1:2">
      <c r="A3054">
        <v>263.89999999999998</v>
      </c>
      <c r="B3054">
        <v>403.8</v>
      </c>
    </row>
    <row r="3055" spans="1:2">
      <c r="A3055">
        <v>265.89999999999998</v>
      </c>
      <c r="B3055">
        <v>404.9</v>
      </c>
    </row>
    <row r="3056" spans="1:2">
      <c r="A3056">
        <v>265.10000000000002</v>
      </c>
      <c r="B3056">
        <v>402.2</v>
      </c>
    </row>
    <row r="3057" spans="1:2">
      <c r="A3057">
        <v>266.2</v>
      </c>
      <c r="B3057">
        <v>400.3</v>
      </c>
    </row>
    <row r="3058" spans="1:2">
      <c r="A3058">
        <v>264.3</v>
      </c>
      <c r="B3058">
        <v>397.9</v>
      </c>
    </row>
    <row r="3059" spans="1:2">
      <c r="A3059">
        <v>265.89999999999998</v>
      </c>
      <c r="B3059">
        <v>392.9</v>
      </c>
    </row>
    <row r="3060" spans="1:2">
      <c r="A3060">
        <v>268.10000000000002</v>
      </c>
      <c r="B3060">
        <v>392.6</v>
      </c>
    </row>
    <row r="3061" spans="1:2">
      <c r="A3061">
        <v>267</v>
      </c>
      <c r="B3061">
        <v>389.6</v>
      </c>
    </row>
    <row r="3062" spans="1:2">
      <c r="A3062">
        <v>264.10000000000002</v>
      </c>
      <c r="B3062">
        <v>390.2</v>
      </c>
    </row>
    <row r="3063" spans="1:2">
      <c r="A3063">
        <v>263</v>
      </c>
      <c r="B3063">
        <v>394.1</v>
      </c>
    </row>
    <row r="3064" spans="1:2">
      <c r="A3064">
        <v>257</v>
      </c>
      <c r="B3064">
        <v>401.1</v>
      </c>
    </row>
    <row r="3065" spans="1:2">
      <c r="A3065">
        <v>260.2</v>
      </c>
      <c r="B3065">
        <v>402.5</v>
      </c>
    </row>
    <row r="3066" spans="1:2">
      <c r="A3066">
        <v>261.10000000000002</v>
      </c>
      <c r="B3066">
        <v>406.7</v>
      </c>
    </row>
    <row r="3068" spans="1:2">
      <c r="A3068">
        <v>235.9</v>
      </c>
      <c r="B3068">
        <v>409.9</v>
      </c>
    </row>
    <row r="3069" spans="1:2">
      <c r="A3069">
        <v>236.9</v>
      </c>
      <c r="B3069">
        <v>406.6</v>
      </c>
    </row>
    <row r="3070" spans="1:2">
      <c r="A3070">
        <v>239.4</v>
      </c>
      <c r="B3070">
        <v>406.1</v>
      </c>
    </row>
    <row r="3071" spans="1:2">
      <c r="A3071">
        <v>239.3</v>
      </c>
      <c r="B3071">
        <v>403.5</v>
      </c>
    </row>
    <row r="3072" spans="1:2">
      <c r="A3072">
        <v>245.1</v>
      </c>
      <c r="B3072">
        <v>400.1</v>
      </c>
    </row>
    <row r="3073" spans="1:2">
      <c r="A3073">
        <v>244.6</v>
      </c>
      <c r="B3073">
        <v>398.3</v>
      </c>
    </row>
    <row r="3074" spans="1:2">
      <c r="A3074">
        <v>246.7</v>
      </c>
      <c r="B3074">
        <v>395.6</v>
      </c>
    </row>
    <row r="3075" spans="1:2">
      <c r="A3075">
        <v>245.4</v>
      </c>
      <c r="B3075">
        <v>394.3</v>
      </c>
    </row>
    <row r="3076" spans="1:2">
      <c r="A3076">
        <v>242.2</v>
      </c>
      <c r="B3076">
        <v>396</v>
      </c>
    </row>
    <row r="3077" spans="1:2">
      <c r="A3077">
        <v>239.4</v>
      </c>
      <c r="B3077">
        <v>395.1</v>
      </c>
    </row>
    <row r="3078" spans="1:2">
      <c r="A3078">
        <v>240</v>
      </c>
      <c r="B3078">
        <v>393</v>
      </c>
    </row>
    <row r="3079" spans="1:2">
      <c r="A3079">
        <v>237.2</v>
      </c>
      <c r="B3079">
        <v>392</v>
      </c>
    </row>
    <row r="3080" spans="1:2">
      <c r="A3080">
        <v>237</v>
      </c>
      <c r="B3080">
        <v>389.9</v>
      </c>
    </row>
    <row r="3081" spans="1:2">
      <c r="A3081">
        <v>234.9</v>
      </c>
      <c r="B3081">
        <v>388.3</v>
      </c>
    </row>
    <row r="3082" spans="1:2">
      <c r="A3082">
        <v>224</v>
      </c>
      <c r="B3082">
        <v>392.9</v>
      </c>
    </row>
    <row r="3083" spans="1:2">
      <c r="A3083">
        <v>221.2</v>
      </c>
      <c r="B3083">
        <v>390.3</v>
      </c>
    </row>
    <row r="3084" spans="1:2">
      <c r="A3084">
        <v>222.4</v>
      </c>
      <c r="B3084">
        <v>388.3</v>
      </c>
    </row>
    <row r="3085" spans="1:2">
      <c r="A3085">
        <v>224.1</v>
      </c>
      <c r="B3085">
        <v>388.3</v>
      </c>
    </row>
    <row r="3086" spans="1:2">
      <c r="A3086">
        <v>223.2</v>
      </c>
      <c r="B3086">
        <v>380.7</v>
      </c>
    </row>
    <row r="3087" spans="1:2">
      <c r="A3087">
        <v>222.3</v>
      </c>
      <c r="B3087">
        <v>383.2</v>
      </c>
    </row>
    <row r="3088" spans="1:2">
      <c r="A3088">
        <v>219.7</v>
      </c>
      <c r="B3088">
        <v>384.9</v>
      </c>
    </row>
    <row r="3089" spans="1:2">
      <c r="A3089">
        <v>217.1</v>
      </c>
      <c r="B3089">
        <v>383</v>
      </c>
    </row>
    <row r="3090" spans="1:2">
      <c r="A3090">
        <v>210.8</v>
      </c>
      <c r="B3090">
        <v>384.6</v>
      </c>
    </row>
    <row r="3091" spans="1:2">
      <c r="A3091">
        <v>212.6</v>
      </c>
      <c r="B3091">
        <v>388.2</v>
      </c>
    </row>
    <row r="3092" spans="1:2">
      <c r="A3092">
        <v>216.9</v>
      </c>
      <c r="B3092">
        <v>390.5</v>
      </c>
    </row>
    <row r="3093" spans="1:2">
      <c r="A3093">
        <v>218.1</v>
      </c>
      <c r="B3093">
        <v>396</v>
      </c>
    </row>
    <row r="3094" spans="1:2">
      <c r="A3094">
        <v>220.3</v>
      </c>
      <c r="B3094">
        <v>396.2</v>
      </c>
    </row>
    <row r="3095" spans="1:2">
      <c r="A3095">
        <v>219.9</v>
      </c>
      <c r="B3095">
        <v>398.5</v>
      </c>
    </row>
    <row r="3096" spans="1:2">
      <c r="A3096">
        <v>221.9</v>
      </c>
      <c r="B3096">
        <v>399.7</v>
      </c>
    </row>
    <row r="3097" spans="1:2">
      <c r="A3097">
        <v>220.9</v>
      </c>
      <c r="B3097">
        <v>402</v>
      </c>
    </row>
    <row r="3098" spans="1:2">
      <c r="A3098">
        <v>222.8</v>
      </c>
      <c r="B3098">
        <v>400.6</v>
      </c>
    </row>
    <row r="3099" spans="1:2">
      <c r="A3099">
        <v>225</v>
      </c>
      <c r="B3099">
        <v>405.1</v>
      </c>
    </row>
    <row r="3100" spans="1:2">
      <c r="A3100">
        <v>229.5</v>
      </c>
      <c r="B3100">
        <v>405.5</v>
      </c>
    </row>
    <row r="3101" spans="1:2">
      <c r="A3101">
        <v>232.1</v>
      </c>
      <c r="B3101">
        <v>408.7</v>
      </c>
    </row>
    <row r="3102" spans="1:2">
      <c r="A3102">
        <v>235.9</v>
      </c>
      <c r="B3102">
        <v>409.9</v>
      </c>
    </row>
    <row r="3104" spans="1:2">
      <c r="A3104">
        <v>223.2</v>
      </c>
      <c r="B3104">
        <v>402.1</v>
      </c>
    </row>
    <row r="3105" spans="1:2">
      <c r="A3105">
        <v>222.5</v>
      </c>
      <c r="B3105">
        <v>400.5</v>
      </c>
    </row>
    <row r="3106" spans="1:2">
      <c r="A3106">
        <v>220.9</v>
      </c>
      <c r="B3106">
        <v>402</v>
      </c>
    </row>
    <row r="3107" spans="1:2">
      <c r="A3107">
        <v>221.9</v>
      </c>
      <c r="B3107">
        <v>399.7</v>
      </c>
    </row>
    <row r="3108" spans="1:2">
      <c r="A3108">
        <v>220.9</v>
      </c>
      <c r="B3108">
        <v>399</v>
      </c>
    </row>
    <row r="3109" spans="1:2">
      <c r="A3109">
        <v>218.4</v>
      </c>
      <c r="B3109">
        <v>399.7</v>
      </c>
    </row>
    <row r="3110" spans="1:2">
      <c r="A3110">
        <v>219.7</v>
      </c>
      <c r="B3110">
        <v>406.1</v>
      </c>
    </row>
    <row r="3111" spans="1:2">
      <c r="A3111">
        <v>217.6</v>
      </c>
      <c r="B3111">
        <v>406.9</v>
      </c>
    </row>
    <row r="3112" spans="1:2">
      <c r="A3112">
        <v>218.2</v>
      </c>
      <c r="B3112">
        <v>412.4</v>
      </c>
    </row>
    <row r="3113" spans="1:2">
      <c r="A3113">
        <v>216.5</v>
      </c>
      <c r="B3113">
        <v>415.2</v>
      </c>
    </row>
    <row r="3114" spans="1:2">
      <c r="A3114">
        <v>218.4</v>
      </c>
      <c r="B3114">
        <v>415.6</v>
      </c>
    </row>
    <row r="3115" spans="1:2">
      <c r="A3115">
        <v>219.8</v>
      </c>
      <c r="B3115">
        <v>418.7</v>
      </c>
    </row>
    <row r="3116" spans="1:2">
      <c r="A3116">
        <v>225.6</v>
      </c>
      <c r="B3116">
        <v>417.8</v>
      </c>
    </row>
    <row r="3117" spans="1:2">
      <c r="A3117">
        <v>227.8</v>
      </c>
      <c r="B3117">
        <v>416.5</v>
      </c>
    </row>
    <row r="3118" spans="1:2">
      <c r="A3118">
        <v>228.4</v>
      </c>
      <c r="B3118">
        <v>414.3</v>
      </c>
    </row>
    <row r="3119" spans="1:2">
      <c r="A3119">
        <v>232.1</v>
      </c>
      <c r="B3119">
        <v>413.4</v>
      </c>
    </row>
    <row r="3120" spans="1:2">
      <c r="A3120">
        <v>235.4</v>
      </c>
      <c r="B3120">
        <v>410.1</v>
      </c>
    </row>
    <row r="3121" spans="1:2">
      <c r="A3121">
        <v>230.4</v>
      </c>
      <c r="B3121">
        <v>407.4</v>
      </c>
    </row>
    <row r="3122" spans="1:2">
      <c r="A3122">
        <v>229.5</v>
      </c>
      <c r="B3122">
        <v>405.5</v>
      </c>
    </row>
    <row r="3123" spans="1:2">
      <c r="A3123">
        <v>225</v>
      </c>
      <c r="B3123">
        <v>405.1</v>
      </c>
    </row>
    <row r="3124" spans="1:2">
      <c r="A3124">
        <v>223.2</v>
      </c>
      <c r="B3124">
        <v>402.1</v>
      </c>
    </row>
    <row r="3126" spans="1:2">
      <c r="A3126">
        <v>209.1</v>
      </c>
      <c r="B3126">
        <v>383.8</v>
      </c>
    </row>
    <row r="3127" spans="1:2">
      <c r="A3127">
        <v>213.2</v>
      </c>
      <c r="B3127">
        <v>384.5</v>
      </c>
    </row>
    <row r="3128" spans="1:2">
      <c r="A3128">
        <v>217.4</v>
      </c>
      <c r="B3128">
        <v>383</v>
      </c>
    </row>
    <row r="3129" spans="1:2">
      <c r="A3129">
        <v>220.5</v>
      </c>
      <c r="B3129">
        <v>384.6</v>
      </c>
    </row>
    <row r="3130" spans="1:2">
      <c r="A3130">
        <v>223.6</v>
      </c>
      <c r="B3130">
        <v>379.2</v>
      </c>
    </row>
    <row r="3131" spans="1:2">
      <c r="A3131">
        <v>228.1</v>
      </c>
      <c r="B3131">
        <v>376.3</v>
      </c>
    </row>
    <row r="3132" spans="1:2">
      <c r="A3132">
        <v>226.8</v>
      </c>
      <c r="B3132">
        <v>372.7</v>
      </c>
    </row>
    <row r="3133" spans="1:2">
      <c r="A3133">
        <v>225.2</v>
      </c>
      <c r="B3133">
        <v>372.3</v>
      </c>
    </row>
    <row r="3134" spans="1:2">
      <c r="A3134">
        <v>226</v>
      </c>
      <c r="B3134">
        <v>370</v>
      </c>
    </row>
    <row r="3135" spans="1:2">
      <c r="A3135">
        <v>224.9</v>
      </c>
      <c r="B3135">
        <v>368.7</v>
      </c>
    </row>
    <row r="3136" spans="1:2">
      <c r="A3136">
        <v>227</v>
      </c>
      <c r="B3136">
        <v>366.6</v>
      </c>
    </row>
    <row r="3137" spans="1:2">
      <c r="A3137">
        <v>227.4</v>
      </c>
      <c r="B3137">
        <v>361.2</v>
      </c>
    </row>
    <row r="3138" spans="1:2">
      <c r="A3138">
        <v>231.9</v>
      </c>
      <c r="B3138">
        <v>357.6</v>
      </c>
    </row>
    <row r="3139" spans="1:2">
      <c r="A3139">
        <v>234.7</v>
      </c>
      <c r="B3139">
        <v>358.5</v>
      </c>
    </row>
    <row r="3140" spans="1:2">
      <c r="A3140">
        <v>233.3</v>
      </c>
      <c r="B3140">
        <v>349.2</v>
      </c>
    </row>
    <row r="3141" spans="1:2">
      <c r="A3141">
        <v>228.6</v>
      </c>
      <c r="B3141">
        <v>351.5</v>
      </c>
    </row>
    <row r="3142" spans="1:2">
      <c r="A3142">
        <v>222.5</v>
      </c>
      <c r="B3142">
        <v>346.8</v>
      </c>
    </row>
    <row r="3143" spans="1:2">
      <c r="A3143">
        <v>219.3</v>
      </c>
      <c r="B3143">
        <v>350.5</v>
      </c>
    </row>
    <row r="3144" spans="1:2">
      <c r="A3144">
        <v>215.8</v>
      </c>
      <c r="B3144">
        <v>343.6</v>
      </c>
    </row>
    <row r="3145" spans="1:2">
      <c r="A3145">
        <v>209.2</v>
      </c>
      <c r="B3145">
        <v>346.2</v>
      </c>
    </row>
    <row r="3146" spans="1:2">
      <c r="A3146">
        <v>209.6</v>
      </c>
      <c r="B3146">
        <v>349.1</v>
      </c>
    </row>
    <row r="3147" spans="1:2">
      <c r="A3147">
        <v>208</v>
      </c>
      <c r="B3147">
        <v>349.9</v>
      </c>
    </row>
    <row r="3148" spans="1:2">
      <c r="A3148">
        <v>209.3</v>
      </c>
      <c r="B3148">
        <v>354.2</v>
      </c>
    </row>
    <row r="3149" spans="1:2">
      <c r="A3149">
        <v>212.3</v>
      </c>
      <c r="B3149">
        <v>356.6</v>
      </c>
    </row>
    <row r="3150" spans="1:2">
      <c r="A3150">
        <v>211.8</v>
      </c>
      <c r="B3150">
        <v>361.1</v>
      </c>
    </row>
    <row r="3151" spans="1:2">
      <c r="A3151">
        <v>207.8</v>
      </c>
      <c r="B3151">
        <v>364.1</v>
      </c>
    </row>
    <row r="3152" spans="1:2">
      <c r="A3152">
        <v>202.6</v>
      </c>
      <c r="B3152">
        <v>362.9</v>
      </c>
    </row>
    <row r="3153" spans="1:2">
      <c r="A3153">
        <v>199.8</v>
      </c>
      <c r="B3153">
        <v>369.1</v>
      </c>
    </row>
    <row r="3154" spans="1:2">
      <c r="A3154">
        <v>206.3</v>
      </c>
      <c r="B3154">
        <v>386.3</v>
      </c>
    </row>
    <row r="3155" spans="1:2">
      <c r="A3155">
        <v>207.2</v>
      </c>
      <c r="B3155">
        <v>387.1</v>
      </c>
    </row>
    <row r="3156" spans="1:2">
      <c r="A3156">
        <v>209.1</v>
      </c>
      <c r="B3156">
        <v>383.8</v>
      </c>
    </row>
    <row r="3158" spans="1:2">
      <c r="A3158">
        <v>130.6</v>
      </c>
      <c r="B3158">
        <v>339</v>
      </c>
    </row>
    <row r="3159" spans="1:2">
      <c r="A3159">
        <v>130.9</v>
      </c>
      <c r="B3159">
        <v>338.1</v>
      </c>
    </row>
    <row r="3160" spans="1:2">
      <c r="A3160">
        <v>128.4</v>
      </c>
      <c r="B3160">
        <v>337.8</v>
      </c>
    </row>
    <row r="3161" spans="1:2">
      <c r="A3161">
        <v>130.6</v>
      </c>
      <c r="B3161">
        <v>339</v>
      </c>
    </row>
    <row r="3163" spans="1:2">
      <c r="A3163">
        <v>153.6</v>
      </c>
      <c r="B3163">
        <v>352.1</v>
      </c>
    </row>
    <row r="3164" spans="1:2">
      <c r="A3164">
        <v>154.9</v>
      </c>
      <c r="B3164">
        <v>349.9</v>
      </c>
    </row>
    <row r="3165" spans="1:2">
      <c r="A3165">
        <v>152.5</v>
      </c>
      <c r="B3165">
        <v>349</v>
      </c>
    </row>
    <row r="3166" spans="1:2">
      <c r="A3166">
        <v>153.6</v>
      </c>
      <c r="B3166">
        <v>352.1</v>
      </c>
    </row>
    <row r="3168" spans="1:2">
      <c r="A3168">
        <v>162.6</v>
      </c>
      <c r="B3168">
        <v>352</v>
      </c>
    </row>
    <row r="3169" spans="1:2">
      <c r="A3169">
        <v>156.4</v>
      </c>
      <c r="B3169">
        <v>353.3</v>
      </c>
    </row>
    <row r="3170" spans="1:2">
      <c r="A3170">
        <v>156.1</v>
      </c>
      <c r="B3170">
        <v>354.4</v>
      </c>
    </row>
    <row r="3171" spans="1:2">
      <c r="A3171">
        <v>158.80000000000001</v>
      </c>
      <c r="B3171">
        <v>353.8</v>
      </c>
    </row>
    <row r="3172" spans="1:2">
      <c r="A3172">
        <v>158.69999999999999</v>
      </c>
      <c r="B3172">
        <v>355</v>
      </c>
    </row>
    <row r="3173" spans="1:2">
      <c r="A3173">
        <v>160.6</v>
      </c>
      <c r="B3173">
        <v>355.2</v>
      </c>
    </row>
    <row r="3174" spans="1:2">
      <c r="A3174">
        <v>160.30000000000001</v>
      </c>
      <c r="B3174">
        <v>353.5</v>
      </c>
    </row>
    <row r="3175" spans="1:2">
      <c r="A3175">
        <v>162.6</v>
      </c>
      <c r="B3175">
        <v>352</v>
      </c>
    </row>
    <row r="3177" spans="1:2">
      <c r="A3177">
        <v>167.1</v>
      </c>
      <c r="B3177">
        <v>369.9</v>
      </c>
    </row>
    <row r="3178" spans="1:2">
      <c r="A3178">
        <v>169.8</v>
      </c>
      <c r="B3178">
        <v>368.2</v>
      </c>
    </row>
    <row r="3179" spans="1:2">
      <c r="A3179">
        <v>174.1</v>
      </c>
      <c r="B3179">
        <v>368.7</v>
      </c>
    </row>
    <row r="3180" spans="1:2">
      <c r="A3180">
        <v>175.2</v>
      </c>
      <c r="B3180">
        <v>366.5</v>
      </c>
    </row>
    <row r="3181" spans="1:2">
      <c r="A3181">
        <v>174.1</v>
      </c>
      <c r="B3181">
        <v>365.1</v>
      </c>
    </row>
    <row r="3182" spans="1:2">
      <c r="A3182">
        <v>171.6</v>
      </c>
      <c r="B3182">
        <v>366</v>
      </c>
    </row>
    <row r="3183" spans="1:2">
      <c r="A3183">
        <v>168.6</v>
      </c>
      <c r="B3183">
        <v>363</v>
      </c>
    </row>
    <row r="3184" spans="1:2">
      <c r="A3184">
        <v>169.2</v>
      </c>
      <c r="B3184">
        <v>361.3</v>
      </c>
    </row>
    <row r="3185" spans="1:2">
      <c r="A3185">
        <v>170.7</v>
      </c>
      <c r="B3185">
        <v>364</v>
      </c>
    </row>
    <row r="3186" spans="1:2">
      <c r="A3186">
        <v>172</v>
      </c>
      <c r="B3186">
        <v>362.5</v>
      </c>
    </row>
    <row r="3187" spans="1:2">
      <c r="A3187">
        <v>172.2</v>
      </c>
      <c r="B3187">
        <v>364.7</v>
      </c>
    </row>
    <row r="3188" spans="1:2">
      <c r="A3188">
        <v>174.3</v>
      </c>
      <c r="B3188">
        <v>364.4</v>
      </c>
    </row>
    <row r="3189" spans="1:2">
      <c r="A3189">
        <v>176.3</v>
      </c>
      <c r="B3189">
        <v>366.1</v>
      </c>
    </row>
    <row r="3190" spans="1:2">
      <c r="A3190">
        <v>182.7</v>
      </c>
      <c r="B3190">
        <v>362.1</v>
      </c>
    </row>
    <row r="3191" spans="1:2">
      <c r="A3191">
        <v>183</v>
      </c>
      <c r="B3191">
        <v>358</v>
      </c>
    </row>
    <row r="3192" spans="1:2">
      <c r="A3192">
        <v>185.9</v>
      </c>
      <c r="B3192">
        <v>354.2</v>
      </c>
    </row>
    <row r="3193" spans="1:2">
      <c r="A3193">
        <v>181.9</v>
      </c>
      <c r="B3193">
        <v>349.1</v>
      </c>
    </row>
    <row r="3194" spans="1:2">
      <c r="A3194">
        <v>183.2</v>
      </c>
      <c r="B3194">
        <v>342.7</v>
      </c>
    </row>
    <row r="3195" spans="1:2">
      <c r="A3195">
        <v>187.1</v>
      </c>
      <c r="B3195">
        <v>341.1</v>
      </c>
    </row>
    <row r="3196" spans="1:2">
      <c r="A3196">
        <v>187</v>
      </c>
      <c r="B3196">
        <v>339.8</v>
      </c>
    </row>
    <row r="3197" spans="1:2">
      <c r="A3197">
        <v>180.9</v>
      </c>
      <c r="B3197">
        <v>332.7</v>
      </c>
    </row>
    <row r="3198" spans="1:2">
      <c r="A3198">
        <v>168.4</v>
      </c>
      <c r="B3198">
        <v>333.9</v>
      </c>
    </row>
    <row r="3199" spans="1:2">
      <c r="A3199">
        <v>169.6</v>
      </c>
      <c r="B3199">
        <v>335.4</v>
      </c>
    </row>
    <row r="3200" spans="1:2">
      <c r="A3200">
        <v>168.8</v>
      </c>
      <c r="B3200">
        <v>339.4</v>
      </c>
    </row>
    <row r="3201" spans="1:2">
      <c r="A3201">
        <v>170.5</v>
      </c>
      <c r="B3201">
        <v>342.4</v>
      </c>
    </row>
    <row r="3202" spans="1:2">
      <c r="A3202">
        <v>166.6</v>
      </c>
      <c r="B3202">
        <v>349.3</v>
      </c>
    </row>
    <row r="3203" spans="1:2">
      <c r="A3203">
        <v>171.5</v>
      </c>
      <c r="B3203">
        <v>351.6</v>
      </c>
    </row>
    <row r="3204" spans="1:2">
      <c r="A3204">
        <v>166.3</v>
      </c>
      <c r="B3204">
        <v>354.7</v>
      </c>
    </row>
    <row r="3205" spans="1:2">
      <c r="A3205">
        <v>167</v>
      </c>
      <c r="B3205">
        <v>355.5</v>
      </c>
    </row>
    <row r="3206" spans="1:2">
      <c r="A3206">
        <v>164.5</v>
      </c>
      <c r="B3206">
        <v>355.3</v>
      </c>
    </row>
    <row r="3207" spans="1:2">
      <c r="A3207">
        <v>165.8</v>
      </c>
      <c r="B3207">
        <v>359.7</v>
      </c>
    </row>
    <row r="3208" spans="1:2">
      <c r="A3208">
        <v>169</v>
      </c>
      <c r="B3208">
        <v>361.3</v>
      </c>
    </row>
    <row r="3209" spans="1:2">
      <c r="A3209">
        <v>166.1</v>
      </c>
      <c r="B3209">
        <v>360.5</v>
      </c>
    </row>
    <row r="3210" spans="1:2">
      <c r="A3210">
        <v>165.1</v>
      </c>
      <c r="B3210">
        <v>362.8</v>
      </c>
    </row>
    <row r="3211" spans="1:2">
      <c r="A3211">
        <v>164.8</v>
      </c>
      <c r="B3211">
        <v>369.3</v>
      </c>
    </row>
    <row r="3212" spans="1:2">
      <c r="A3212">
        <v>167.1</v>
      </c>
      <c r="B3212">
        <v>369.9</v>
      </c>
    </row>
    <row r="3214" spans="1:2">
      <c r="A3214">
        <v>216.8</v>
      </c>
      <c r="B3214">
        <v>414.7</v>
      </c>
    </row>
    <row r="3215" spans="1:2">
      <c r="A3215">
        <v>218.2</v>
      </c>
      <c r="B3215">
        <v>412.3</v>
      </c>
    </row>
    <row r="3216" spans="1:2">
      <c r="A3216">
        <v>217.6</v>
      </c>
      <c r="B3216">
        <v>406.9</v>
      </c>
    </row>
    <row r="3217" spans="1:2">
      <c r="A3217">
        <v>219.7</v>
      </c>
      <c r="B3217">
        <v>406.1</v>
      </c>
    </row>
    <row r="3218" spans="1:2">
      <c r="A3218">
        <v>218.4</v>
      </c>
      <c r="B3218">
        <v>399.7</v>
      </c>
    </row>
    <row r="3219" spans="1:2">
      <c r="A3219">
        <v>219.7</v>
      </c>
      <c r="B3219">
        <v>399.9</v>
      </c>
    </row>
    <row r="3220" spans="1:2">
      <c r="A3220">
        <v>220.4</v>
      </c>
      <c r="B3220">
        <v>396.5</v>
      </c>
    </row>
    <row r="3221" spans="1:2">
      <c r="A3221">
        <v>218.1</v>
      </c>
      <c r="B3221">
        <v>396</v>
      </c>
    </row>
    <row r="3222" spans="1:2">
      <c r="A3222">
        <v>216.9</v>
      </c>
      <c r="B3222">
        <v>390.5</v>
      </c>
    </row>
    <row r="3223" spans="1:2">
      <c r="A3223">
        <v>214.3</v>
      </c>
      <c r="B3223">
        <v>389.7</v>
      </c>
    </row>
    <row r="3224" spans="1:2">
      <c r="A3224">
        <v>209.1</v>
      </c>
      <c r="B3224">
        <v>383.8</v>
      </c>
    </row>
    <row r="3225" spans="1:2">
      <c r="A3225">
        <v>207.3</v>
      </c>
      <c r="B3225">
        <v>388.7</v>
      </c>
    </row>
    <row r="3226" spans="1:2">
      <c r="A3226">
        <v>201.4</v>
      </c>
      <c r="B3226">
        <v>389.6</v>
      </c>
    </row>
    <row r="3227" spans="1:2">
      <c r="A3227">
        <v>201</v>
      </c>
      <c r="B3227">
        <v>391.9</v>
      </c>
    </row>
    <row r="3228" spans="1:2">
      <c r="A3228">
        <v>198.3</v>
      </c>
      <c r="B3228">
        <v>392.5</v>
      </c>
    </row>
    <row r="3229" spans="1:2">
      <c r="A3229">
        <v>195.2</v>
      </c>
      <c r="B3229">
        <v>396.1</v>
      </c>
    </row>
    <row r="3230" spans="1:2">
      <c r="A3230">
        <v>195.6</v>
      </c>
      <c r="B3230">
        <v>398.7</v>
      </c>
    </row>
    <row r="3231" spans="1:2">
      <c r="A3231">
        <v>197.7</v>
      </c>
      <c r="B3231">
        <v>399.5</v>
      </c>
    </row>
    <row r="3232" spans="1:2">
      <c r="A3232">
        <v>195.7</v>
      </c>
      <c r="B3232">
        <v>403.6</v>
      </c>
    </row>
    <row r="3233" spans="1:2">
      <c r="A3233">
        <v>196.4</v>
      </c>
      <c r="B3233">
        <v>409.3</v>
      </c>
    </row>
    <row r="3234" spans="1:2">
      <c r="A3234">
        <v>201.8</v>
      </c>
      <c r="B3234">
        <v>409.8</v>
      </c>
    </row>
    <row r="3235" spans="1:2">
      <c r="A3235">
        <v>202.7</v>
      </c>
      <c r="B3235">
        <v>411.7</v>
      </c>
    </row>
    <row r="3236" spans="1:2">
      <c r="A3236">
        <v>209.6</v>
      </c>
      <c r="B3236">
        <v>414.8</v>
      </c>
    </row>
    <row r="3237" spans="1:2">
      <c r="A3237">
        <v>216.8</v>
      </c>
      <c r="B3237">
        <v>414.7</v>
      </c>
    </row>
    <row r="3239" spans="1:2">
      <c r="A3239">
        <v>157.1</v>
      </c>
      <c r="B3239">
        <v>409.6</v>
      </c>
    </row>
    <row r="3240" spans="1:2">
      <c r="A3240">
        <v>158.1</v>
      </c>
      <c r="B3240">
        <v>411.2</v>
      </c>
    </row>
    <row r="3241" spans="1:2">
      <c r="A3241">
        <v>160.30000000000001</v>
      </c>
      <c r="B3241">
        <v>411.1</v>
      </c>
    </row>
    <row r="3242" spans="1:2">
      <c r="A3242">
        <v>157.9</v>
      </c>
      <c r="B3242">
        <v>413.1</v>
      </c>
    </row>
    <row r="3243" spans="1:2">
      <c r="A3243">
        <v>159.19999999999999</v>
      </c>
      <c r="B3243">
        <v>415</v>
      </c>
    </row>
    <row r="3244" spans="1:2">
      <c r="A3244">
        <v>156.5</v>
      </c>
      <c r="B3244">
        <v>413.9</v>
      </c>
    </row>
    <row r="3245" spans="1:2">
      <c r="A3245">
        <v>155.80000000000001</v>
      </c>
      <c r="B3245">
        <v>415.9</v>
      </c>
    </row>
    <row r="3246" spans="1:2">
      <c r="A3246">
        <v>154</v>
      </c>
      <c r="B3246">
        <v>415.2</v>
      </c>
    </row>
    <row r="3247" spans="1:2">
      <c r="A3247">
        <v>151.80000000000001</v>
      </c>
      <c r="B3247">
        <v>418.9</v>
      </c>
    </row>
    <row r="3248" spans="1:2">
      <c r="A3248">
        <v>154.9</v>
      </c>
      <c r="B3248">
        <v>417.5</v>
      </c>
    </row>
    <row r="3249" spans="1:2">
      <c r="A3249">
        <v>156.4</v>
      </c>
      <c r="B3249">
        <v>418.8</v>
      </c>
    </row>
    <row r="3250" spans="1:2">
      <c r="A3250">
        <v>151.4</v>
      </c>
      <c r="B3250">
        <v>420.2</v>
      </c>
    </row>
    <row r="3251" spans="1:2">
      <c r="A3251">
        <v>151.19999999999999</v>
      </c>
      <c r="B3251">
        <v>421.8</v>
      </c>
    </row>
    <row r="3252" spans="1:2">
      <c r="A3252">
        <v>159.30000000000001</v>
      </c>
      <c r="B3252">
        <v>424</v>
      </c>
    </row>
    <row r="3253" spans="1:2">
      <c r="A3253">
        <v>163</v>
      </c>
      <c r="B3253">
        <v>422.2</v>
      </c>
    </row>
    <row r="3254" spans="1:2">
      <c r="A3254">
        <v>165.4</v>
      </c>
      <c r="B3254">
        <v>415.6</v>
      </c>
    </row>
    <row r="3255" spans="1:2">
      <c r="A3255">
        <v>164</v>
      </c>
      <c r="B3255">
        <v>408.9</v>
      </c>
    </row>
    <row r="3256" spans="1:2">
      <c r="A3256">
        <v>167.1</v>
      </c>
      <c r="B3256">
        <v>407.8</v>
      </c>
    </row>
    <row r="3257" spans="1:2">
      <c r="A3257">
        <v>168.5</v>
      </c>
      <c r="B3257">
        <v>403.1</v>
      </c>
    </row>
    <row r="3258" spans="1:2">
      <c r="A3258">
        <v>172.8</v>
      </c>
      <c r="B3258">
        <v>402.9</v>
      </c>
    </row>
    <row r="3259" spans="1:2">
      <c r="A3259">
        <v>174.3</v>
      </c>
      <c r="B3259">
        <v>404.3</v>
      </c>
    </row>
    <row r="3260" spans="1:2">
      <c r="A3260">
        <v>175.1</v>
      </c>
      <c r="B3260">
        <v>402</v>
      </c>
    </row>
    <row r="3261" spans="1:2">
      <c r="A3261">
        <v>177.8</v>
      </c>
      <c r="B3261">
        <v>401.5</v>
      </c>
    </row>
    <row r="3262" spans="1:2">
      <c r="A3262">
        <v>179.7</v>
      </c>
      <c r="B3262">
        <v>397.5</v>
      </c>
    </row>
    <row r="3263" spans="1:2">
      <c r="A3263">
        <v>179.7</v>
      </c>
      <c r="B3263">
        <v>394.8</v>
      </c>
    </row>
    <row r="3264" spans="1:2">
      <c r="A3264">
        <v>177.9</v>
      </c>
      <c r="B3264">
        <v>395.6</v>
      </c>
    </row>
    <row r="3265" spans="1:2">
      <c r="A3265">
        <v>177.9</v>
      </c>
      <c r="B3265">
        <v>393.8</v>
      </c>
    </row>
    <row r="3266" spans="1:2">
      <c r="A3266">
        <v>175.8</v>
      </c>
      <c r="B3266">
        <v>392.9</v>
      </c>
    </row>
    <row r="3267" spans="1:2">
      <c r="A3267">
        <v>175.8</v>
      </c>
      <c r="B3267">
        <v>389.8</v>
      </c>
    </row>
    <row r="3268" spans="1:2">
      <c r="A3268">
        <v>173.2</v>
      </c>
      <c r="B3268">
        <v>384.5</v>
      </c>
    </row>
    <row r="3269" spans="1:2">
      <c r="A3269">
        <v>162.1</v>
      </c>
      <c r="B3269">
        <v>381.3</v>
      </c>
    </row>
    <row r="3270" spans="1:2">
      <c r="A3270">
        <v>161.1</v>
      </c>
      <c r="B3270">
        <v>378.6</v>
      </c>
    </row>
    <row r="3271" spans="1:2">
      <c r="A3271">
        <v>154</v>
      </c>
      <c r="B3271">
        <v>381.2</v>
      </c>
    </row>
    <row r="3272" spans="1:2">
      <c r="A3272">
        <v>152</v>
      </c>
      <c r="B3272">
        <v>394</v>
      </c>
    </row>
    <row r="3273" spans="1:2">
      <c r="A3273">
        <v>153.6</v>
      </c>
      <c r="B3273">
        <v>399.1</v>
      </c>
    </row>
    <row r="3274" spans="1:2">
      <c r="A3274">
        <v>150.30000000000001</v>
      </c>
      <c r="B3274">
        <v>404.8</v>
      </c>
    </row>
    <row r="3275" spans="1:2">
      <c r="A3275">
        <v>151.19999999999999</v>
      </c>
      <c r="B3275">
        <v>406.8</v>
      </c>
    </row>
    <row r="3276" spans="1:2">
      <c r="A3276">
        <v>152.80000000000001</v>
      </c>
      <c r="B3276">
        <v>406.8</v>
      </c>
    </row>
    <row r="3277" spans="1:2">
      <c r="A3277">
        <v>152.5</v>
      </c>
      <c r="B3277">
        <v>405.2</v>
      </c>
    </row>
    <row r="3278" spans="1:2">
      <c r="A3278">
        <v>154.4</v>
      </c>
      <c r="B3278">
        <v>403.4</v>
      </c>
    </row>
    <row r="3279" spans="1:2">
      <c r="A3279">
        <v>154.4</v>
      </c>
      <c r="B3279">
        <v>408.5</v>
      </c>
    </row>
    <row r="3280" spans="1:2">
      <c r="A3280">
        <v>157.1</v>
      </c>
      <c r="B3280">
        <v>409.6</v>
      </c>
    </row>
    <row r="3282" spans="1:2">
      <c r="A3282">
        <v>220.3</v>
      </c>
      <c r="B3282">
        <v>348.5</v>
      </c>
    </row>
    <row r="3283" spans="1:2">
      <c r="A3283">
        <v>222.5</v>
      </c>
      <c r="B3283">
        <v>346.8</v>
      </c>
    </row>
    <row r="3284" spans="1:2">
      <c r="A3284">
        <v>227.2</v>
      </c>
      <c r="B3284">
        <v>349.8</v>
      </c>
    </row>
    <row r="3285" spans="1:2">
      <c r="A3285">
        <v>227.6</v>
      </c>
      <c r="B3285">
        <v>340.8</v>
      </c>
    </row>
    <row r="3286" spans="1:2">
      <c r="A3286">
        <v>229.4</v>
      </c>
      <c r="B3286">
        <v>342</v>
      </c>
    </row>
    <row r="3287" spans="1:2">
      <c r="A3287">
        <v>231.6</v>
      </c>
      <c r="B3287">
        <v>338.7</v>
      </c>
    </row>
    <row r="3288" spans="1:2">
      <c r="A3288">
        <v>234.6</v>
      </c>
      <c r="B3288">
        <v>340.2</v>
      </c>
    </row>
    <row r="3289" spans="1:2">
      <c r="A3289">
        <v>239.2</v>
      </c>
      <c r="B3289">
        <v>335.4</v>
      </c>
    </row>
    <row r="3290" spans="1:2">
      <c r="A3290">
        <v>237.9</v>
      </c>
      <c r="B3290">
        <v>326.60000000000002</v>
      </c>
    </row>
    <row r="3291" spans="1:2">
      <c r="A3291">
        <v>232.1</v>
      </c>
      <c r="B3291">
        <v>325.89999999999998</v>
      </c>
    </row>
    <row r="3292" spans="1:2">
      <c r="A3292">
        <v>231.8</v>
      </c>
      <c r="B3292">
        <v>322.60000000000002</v>
      </c>
    </row>
    <row r="3293" spans="1:2">
      <c r="A3293">
        <v>228</v>
      </c>
      <c r="B3293">
        <v>324.5</v>
      </c>
    </row>
    <row r="3294" spans="1:2">
      <c r="A3294">
        <v>227.3</v>
      </c>
      <c r="B3294">
        <v>322.89999999999998</v>
      </c>
    </row>
    <row r="3295" spans="1:2">
      <c r="A3295">
        <v>226</v>
      </c>
      <c r="B3295">
        <v>323.89999999999998</v>
      </c>
    </row>
    <row r="3296" spans="1:2">
      <c r="A3296">
        <v>224.8</v>
      </c>
      <c r="B3296">
        <v>322.7</v>
      </c>
    </row>
    <row r="3297" spans="1:2">
      <c r="A3297">
        <v>222.2</v>
      </c>
      <c r="B3297">
        <v>323.2</v>
      </c>
    </row>
    <row r="3298" spans="1:2">
      <c r="A3298">
        <v>220.7</v>
      </c>
      <c r="B3298">
        <v>320.5</v>
      </c>
    </row>
    <row r="3299" spans="1:2">
      <c r="A3299">
        <v>217.9</v>
      </c>
      <c r="B3299">
        <v>321.39999999999998</v>
      </c>
    </row>
    <row r="3300" spans="1:2">
      <c r="A3300">
        <v>215.4</v>
      </c>
      <c r="B3300">
        <v>323.3</v>
      </c>
    </row>
    <row r="3301" spans="1:2">
      <c r="A3301">
        <v>215.5</v>
      </c>
      <c r="B3301">
        <v>327.2</v>
      </c>
    </row>
    <row r="3302" spans="1:2">
      <c r="A3302">
        <v>213.9</v>
      </c>
      <c r="B3302">
        <v>329.5</v>
      </c>
    </row>
    <row r="3303" spans="1:2">
      <c r="A3303">
        <v>212.1</v>
      </c>
      <c r="B3303">
        <v>328.4</v>
      </c>
    </row>
    <row r="3304" spans="1:2">
      <c r="A3304">
        <v>210</v>
      </c>
      <c r="B3304">
        <v>330</v>
      </c>
    </row>
    <row r="3305" spans="1:2">
      <c r="A3305">
        <v>208.6</v>
      </c>
      <c r="B3305">
        <v>336.1</v>
      </c>
    </row>
    <row r="3306" spans="1:2">
      <c r="A3306">
        <v>211.3</v>
      </c>
      <c r="B3306">
        <v>336.5</v>
      </c>
    </row>
    <row r="3307" spans="1:2">
      <c r="A3307">
        <v>215.6</v>
      </c>
      <c r="B3307">
        <v>341.3</v>
      </c>
    </row>
    <row r="3308" spans="1:2">
      <c r="A3308">
        <v>215.9</v>
      </c>
      <c r="B3308">
        <v>345.7</v>
      </c>
    </row>
    <row r="3309" spans="1:2">
      <c r="A3309">
        <v>219.3</v>
      </c>
      <c r="B3309">
        <v>350.5</v>
      </c>
    </row>
    <row r="3310" spans="1:2">
      <c r="A3310">
        <v>220.3</v>
      </c>
      <c r="B3310">
        <v>348.5</v>
      </c>
    </row>
    <row r="3312" spans="1:2">
      <c r="A3312">
        <v>229</v>
      </c>
      <c r="B3312">
        <v>351.5</v>
      </c>
    </row>
    <row r="3313" spans="1:2">
      <c r="A3313">
        <v>232.2</v>
      </c>
      <c r="B3313">
        <v>350.1</v>
      </c>
    </row>
    <row r="3314" spans="1:2">
      <c r="A3314">
        <v>232.7</v>
      </c>
      <c r="B3314">
        <v>345.6</v>
      </c>
    </row>
    <row r="3315" spans="1:2">
      <c r="A3315">
        <v>231.6</v>
      </c>
      <c r="B3315">
        <v>345.1</v>
      </c>
    </row>
    <row r="3316" spans="1:2">
      <c r="A3316">
        <v>235.5</v>
      </c>
      <c r="B3316">
        <v>342.2</v>
      </c>
    </row>
    <row r="3317" spans="1:2">
      <c r="A3317">
        <v>231.6</v>
      </c>
      <c r="B3317">
        <v>338.7</v>
      </c>
    </row>
    <row r="3318" spans="1:2">
      <c r="A3318">
        <v>230.7</v>
      </c>
      <c r="B3318">
        <v>341.3</v>
      </c>
    </row>
    <row r="3319" spans="1:2">
      <c r="A3319">
        <v>229.3</v>
      </c>
      <c r="B3319">
        <v>342</v>
      </c>
    </row>
    <row r="3320" spans="1:2">
      <c r="A3320">
        <v>227.6</v>
      </c>
      <c r="B3320">
        <v>340.8</v>
      </c>
    </row>
    <row r="3321" spans="1:2">
      <c r="A3321">
        <v>227.3</v>
      </c>
      <c r="B3321">
        <v>342</v>
      </c>
    </row>
    <row r="3322" spans="1:2">
      <c r="A3322">
        <v>227.2</v>
      </c>
      <c r="B3322">
        <v>349.8</v>
      </c>
    </row>
    <row r="3323" spans="1:2">
      <c r="A3323">
        <v>229</v>
      </c>
      <c r="B3323">
        <v>351.5</v>
      </c>
    </row>
    <row r="3325" spans="1:2">
      <c r="A3325">
        <v>183.3</v>
      </c>
      <c r="B3325">
        <v>421.9</v>
      </c>
    </row>
    <row r="3326" spans="1:2">
      <c r="A3326">
        <v>191</v>
      </c>
      <c r="B3326">
        <v>419.1</v>
      </c>
    </row>
    <row r="3327" spans="1:2">
      <c r="A3327">
        <v>194</v>
      </c>
      <c r="B3327">
        <v>410.6</v>
      </c>
    </row>
    <row r="3328" spans="1:2">
      <c r="A3328">
        <v>196.4</v>
      </c>
      <c r="B3328">
        <v>409.3</v>
      </c>
    </row>
    <row r="3329" spans="1:2">
      <c r="A3329">
        <v>195.7</v>
      </c>
      <c r="B3329">
        <v>403.6</v>
      </c>
    </row>
    <row r="3330" spans="1:2">
      <c r="A3330">
        <v>197.6</v>
      </c>
      <c r="B3330">
        <v>399.3</v>
      </c>
    </row>
    <row r="3331" spans="1:2">
      <c r="A3331">
        <v>194</v>
      </c>
      <c r="B3331">
        <v>398.8</v>
      </c>
    </row>
    <row r="3332" spans="1:2">
      <c r="A3332">
        <v>194.7</v>
      </c>
      <c r="B3332">
        <v>397.7</v>
      </c>
    </row>
    <row r="3333" spans="1:2">
      <c r="A3333">
        <v>192.6</v>
      </c>
      <c r="B3333">
        <v>397.5</v>
      </c>
    </row>
    <row r="3334" spans="1:2">
      <c r="A3334">
        <v>190.1</v>
      </c>
      <c r="B3334">
        <v>394.7</v>
      </c>
    </row>
    <row r="3335" spans="1:2">
      <c r="A3335">
        <v>184.9</v>
      </c>
      <c r="B3335">
        <v>400.6</v>
      </c>
    </row>
    <row r="3336" spans="1:2">
      <c r="A3336">
        <v>180.5</v>
      </c>
      <c r="B3336">
        <v>396.9</v>
      </c>
    </row>
    <row r="3337" spans="1:2">
      <c r="A3337">
        <v>174.3</v>
      </c>
      <c r="B3337">
        <v>404.3</v>
      </c>
    </row>
    <row r="3338" spans="1:2">
      <c r="A3338">
        <v>172.8</v>
      </c>
      <c r="B3338">
        <v>402.9</v>
      </c>
    </row>
    <row r="3339" spans="1:2">
      <c r="A3339">
        <v>168.5</v>
      </c>
      <c r="B3339">
        <v>403.1</v>
      </c>
    </row>
    <row r="3340" spans="1:2">
      <c r="A3340">
        <v>167.1</v>
      </c>
      <c r="B3340">
        <v>407.8</v>
      </c>
    </row>
    <row r="3341" spans="1:2">
      <c r="A3341">
        <v>164</v>
      </c>
      <c r="B3341">
        <v>408.9</v>
      </c>
    </row>
    <row r="3342" spans="1:2">
      <c r="A3342">
        <v>165.4</v>
      </c>
      <c r="B3342">
        <v>415.6</v>
      </c>
    </row>
    <row r="3343" spans="1:2">
      <c r="A3343">
        <v>162.80000000000001</v>
      </c>
      <c r="B3343">
        <v>424</v>
      </c>
    </row>
    <row r="3344" spans="1:2">
      <c r="A3344">
        <v>166.1</v>
      </c>
      <c r="B3344">
        <v>428.8</v>
      </c>
    </row>
    <row r="3345" spans="1:2">
      <c r="A3345">
        <v>177.8</v>
      </c>
      <c r="B3345">
        <v>422</v>
      </c>
    </row>
    <row r="3346" spans="1:2">
      <c r="A3346">
        <v>183.3</v>
      </c>
      <c r="B3346">
        <v>421.9</v>
      </c>
    </row>
    <row r="3348" spans="1:2">
      <c r="A3348">
        <v>160</v>
      </c>
      <c r="B3348">
        <v>428.7</v>
      </c>
    </row>
    <row r="3349" spans="1:2">
      <c r="A3349">
        <v>161.80000000000001</v>
      </c>
      <c r="B3349">
        <v>426.5</v>
      </c>
    </row>
    <row r="3350" spans="1:2">
      <c r="A3350">
        <v>159.30000000000001</v>
      </c>
      <c r="B3350">
        <v>426.3</v>
      </c>
    </row>
    <row r="3351" spans="1:2">
      <c r="A3351">
        <v>160</v>
      </c>
      <c r="B3351">
        <v>428.7</v>
      </c>
    </row>
    <row r="3353" spans="1:2">
      <c r="A3353">
        <v>243</v>
      </c>
      <c r="B3353">
        <v>343</v>
      </c>
    </row>
    <row r="3354" spans="1:2">
      <c r="A3354">
        <v>243.9</v>
      </c>
      <c r="B3354">
        <v>339</v>
      </c>
    </row>
    <row r="3355" spans="1:2">
      <c r="A3355">
        <v>248.6</v>
      </c>
      <c r="B3355">
        <v>334.7</v>
      </c>
    </row>
    <row r="3356" spans="1:2">
      <c r="A3356">
        <v>251.8</v>
      </c>
      <c r="B3356">
        <v>338.5</v>
      </c>
    </row>
    <row r="3357" spans="1:2">
      <c r="A3357">
        <v>256.60000000000002</v>
      </c>
      <c r="B3357">
        <v>340.8</v>
      </c>
    </row>
    <row r="3358" spans="1:2">
      <c r="A3358">
        <v>257.7</v>
      </c>
      <c r="B3358">
        <v>338</v>
      </c>
    </row>
    <row r="3359" spans="1:2">
      <c r="A3359">
        <v>260.7</v>
      </c>
      <c r="B3359">
        <v>338.8</v>
      </c>
    </row>
    <row r="3360" spans="1:2">
      <c r="A3360">
        <v>262.3</v>
      </c>
      <c r="B3360">
        <v>337.2</v>
      </c>
    </row>
    <row r="3361" spans="1:2">
      <c r="A3361">
        <v>261.60000000000002</v>
      </c>
      <c r="B3361">
        <v>328.2</v>
      </c>
    </row>
    <row r="3362" spans="1:2">
      <c r="A3362">
        <v>265.89999999999998</v>
      </c>
      <c r="B3362">
        <v>321</v>
      </c>
    </row>
    <row r="3363" spans="1:2">
      <c r="A3363">
        <v>264.3</v>
      </c>
      <c r="B3363">
        <v>320.60000000000002</v>
      </c>
    </row>
    <row r="3364" spans="1:2">
      <c r="A3364">
        <v>264.2</v>
      </c>
      <c r="B3364">
        <v>317.89999999999998</v>
      </c>
    </row>
    <row r="3365" spans="1:2">
      <c r="A3365">
        <v>266</v>
      </c>
      <c r="B3365">
        <v>317.10000000000002</v>
      </c>
    </row>
    <row r="3366" spans="1:2">
      <c r="A3366">
        <v>263.39999999999998</v>
      </c>
      <c r="B3366">
        <v>316.39999999999998</v>
      </c>
    </row>
    <row r="3367" spans="1:2">
      <c r="A3367">
        <v>263.7</v>
      </c>
      <c r="B3367">
        <v>313.7</v>
      </c>
    </row>
    <row r="3368" spans="1:2">
      <c r="A3368">
        <v>261.60000000000002</v>
      </c>
      <c r="B3368">
        <v>316.5</v>
      </c>
    </row>
    <row r="3369" spans="1:2">
      <c r="A3369">
        <v>256.5</v>
      </c>
      <c r="B3369">
        <v>318.10000000000002</v>
      </c>
    </row>
    <row r="3370" spans="1:2">
      <c r="A3370">
        <v>256.89999999999998</v>
      </c>
      <c r="B3370">
        <v>313.10000000000002</v>
      </c>
    </row>
    <row r="3371" spans="1:2">
      <c r="A3371">
        <v>252.7</v>
      </c>
      <c r="B3371">
        <v>311.3</v>
      </c>
    </row>
    <row r="3372" spans="1:2">
      <c r="A3372">
        <v>249.9</v>
      </c>
      <c r="B3372">
        <v>311.89999999999998</v>
      </c>
    </row>
    <row r="3373" spans="1:2">
      <c r="A3373">
        <v>248</v>
      </c>
      <c r="B3373">
        <v>316.8</v>
      </c>
    </row>
    <row r="3374" spans="1:2">
      <c r="A3374">
        <v>245.1</v>
      </c>
      <c r="B3374">
        <v>314.60000000000002</v>
      </c>
    </row>
    <row r="3375" spans="1:2">
      <c r="A3375">
        <v>242.9</v>
      </c>
      <c r="B3375">
        <v>316.10000000000002</v>
      </c>
    </row>
    <row r="3376" spans="1:2">
      <c r="A3376">
        <v>240.9</v>
      </c>
      <c r="B3376">
        <v>325.89999999999998</v>
      </c>
    </row>
    <row r="3377" spans="1:2">
      <c r="A3377">
        <v>238.2</v>
      </c>
      <c r="B3377">
        <v>327.8</v>
      </c>
    </row>
    <row r="3378" spans="1:2">
      <c r="A3378">
        <v>237.9</v>
      </c>
      <c r="B3378">
        <v>330.3</v>
      </c>
    </row>
    <row r="3379" spans="1:2">
      <c r="A3379">
        <v>241.9</v>
      </c>
      <c r="B3379">
        <v>337.3</v>
      </c>
    </row>
    <row r="3380" spans="1:2">
      <c r="A3380">
        <v>241.8</v>
      </c>
      <c r="B3380">
        <v>342.8</v>
      </c>
    </row>
    <row r="3381" spans="1:2">
      <c r="A3381">
        <v>243</v>
      </c>
      <c r="B3381">
        <v>343</v>
      </c>
    </row>
    <row r="3383" spans="1:2">
      <c r="A3383">
        <v>196.9</v>
      </c>
      <c r="B3383">
        <v>355.4</v>
      </c>
    </row>
    <row r="3384" spans="1:2">
      <c r="A3384">
        <v>195.3</v>
      </c>
      <c r="B3384">
        <v>354.3</v>
      </c>
    </row>
    <row r="3385" spans="1:2">
      <c r="A3385">
        <v>197.9</v>
      </c>
      <c r="B3385">
        <v>348.4</v>
      </c>
    </row>
    <row r="3386" spans="1:2">
      <c r="A3386">
        <v>201.3</v>
      </c>
      <c r="B3386">
        <v>349.5</v>
      </c>
    </row>
    <row r="3387" spans="1:2">
      <c r="A3387">
        <v>203.6</v>
      </c>
      <c r="B3387">
        <v>347.7</v>
      </c>
    </row>
    <row r="3388" spans="1:2">
      <c r="A3388">
        <v>208.8</v>
      </c>
      <c r="B3388">
        <v>350.2</v>
      </c>
    </row>
    <row r="3389" spans="1:2">
      <c r="A3389">
        <v>209.4</v>
      </c>
      <c r="B3389">
        <v>346</v>
      </c>
    </row>
    <row r="3390" spans="1:2">
      <c r="A3390">
        <v>216.2</v>
      </c>
      <c r="B3390">
        <v>342.9</v>
      </c>
    </row>
    <row r="3391" spans="1:2">
      <c r="A3391">
        <v>211.3</v>
      </c>
      <c r="B3391">
        <v>336.5</v>
      </c>
    </row>
    <row r="3392" spans="1:2">
      <c r="A3392">
        <v>208.6</v>
      </c>
      <c r="B3392">
        <v>336.1</v>
      </c>
    </row>
    <row r="3393" spans="1:2">
      <c r="A3393">
        <v>210.6</v>
      </c>
      <c r="B3393">
        <v>329.9</v>
      </c>
    </row>
    <row r="3394" spans="1:2">
      <c r="A3394">
        <v>206.2</v>
      </c>
      <c r="B3394">
        <v>330.6</v>
      </c>
    </row>
    <row r="3395" spans="1:2">
      <c r="A3395">
        <v>203</v>
      </c>
      <c r="B3395">
        <v>328.4</v>
      </c>
    </row>
    <row r="3396" spans="1:2">
      <c r="A3396">
        <v>200.3</v>
      </c>
      <c r="B3396">
        <v>328.8</v>
      </c>
    </row>
    <row r="3397" spans="1:2">
      <c r="A3397">
        <v>198.7</v>
      </c>
      <c r="B3397">
        <v>321.39999999999998</v>
      </c>
    </row>
    <row r="3398" spans="1:2">
      <c r="A3398">
        <v>196.2</v>
      </c>
      <c r="B3398">
        <v>322.3</v>
      </c>
    </row>
    <row r="3399" spans="1:2">
      <c r="A3399">
        <v>196</v>
      </c>
      <c r="B3399">
        <v>326.3</v>
      </c>
    </row>
    <row r="3400" spans="1:2">
      <c r="A3400">
        <v>194.2</v>
      </c>
      <c r="B3400">
        <v>328.3</v>
      </c>
    </row>
    <row r="3401" spans="1:2">
      <c r="A3401">
        <v>192</v>
      </c>
      <c r="B3401">
        <v>328.5</v>
      </c>
    </row>
    <row r="3402" spans="1:2">
      <c r="A3402">
        <v>192.1</v>
      </c>
      <c r="B3402">
        <v>333</v>
      </c>
    </row>
    <row r="3403" spans="1:2">
      <c r="A3403">
        <v>184.9</v>
      </c>
      <c r="B3403">
        <v>332.6</v>
      </c>
    </row>
    <row r="3404" spans="1:2">
      <c r="A3404">
        <v>183.1</v>
      </c>
      <c r="B3404">
        <v>334.2</v>
      </c>
    </row>
    <row r="3405" spans="1:2">
      <c r="A3405">
        <v>187.1</v>
      </c>
      <c r="B3405">
        <v>341.1</v>
      </c>
    </row>
    <row r="3406" spans="1:2">
      <c r="A3406">
        <v>183.2</v>
      </c>
      <c r="B3406">
        <v>342.7</v>
      </c>
    </row>
    <row r="3407" spans="1:2">
      <c r="A3407">
        <v>181.9</v>
      </c>
      <c r="B3407">
        <v>349.5</v>
      </c>
    </row>
    <row r="3408" spans="1:2">
      <c r="A3408">
        <v>183.4</v>
      </c>
      <c r="B3408">
        <v>349.8</v>
      </c>
    </row>
    <row r="3409" spans="1:2">
      <c r="A3409">
        <v>184.2</v>
      </c>
      <c r="B3409">
        <v>353.3</v>
      </c>
    </row>
    <row r="3410" spans="1:2">
      <c r="A3410">
        <v>186.1</v>
      </c>
      <c r="B3410">
        <v>354.4</v>
      </c>
    </row>
    <row r="3411" spans="1:2">
      <c r="A3411">
        <v>188.4</v>
      </c>
      <c r="B3411">
        <v>352.2</v>
      </c>
    </row>
    <row r="3412" spans="1:2">
      <c r="A3412">
        <v>191.7</v>
      </c>
      <c r="B3412">
        <v>351.7</v>
      </c>
    </row>
    <row r="3413" spans="1:2">
      <c r="A3413">
        <v>193.3</v>
      </c>
      <c r="B3413">
        <v>354.3</v>
      </c>
    </row>
    <row r="3414" spans="1:2">
      <c r="A3414">
        <v>196.9</v>
      </c>
      <c r="B3414">
        <v>355.4</v>
      </c>
    </row>
    <row r="3416" spans="1:2">
      <c r="A3416">
        <v>179</v>
      </c>
      <c r="B3416">
        <v>319.3</v>
      </c>
    </row>
    <row r="3417" spans="1:2">
      <c r="A3417">
        <v>176.7</v>
      </c>
      <c r="B3417">
        <v>322</v>
      </c>
    </row>
    <row r="3418" spans="1:2">
      <c r="A3418">
        <v>178.9</v>
      </c>
      <c r="B3418">
        <v>323.8</v>
      </c>
    </row>
    <row r="3419" spans="1:2">
      <c r="A3419">
        <v>176</v>
      </c>
      <c r="B3419">
        <v>324</v>
      </c>
    </row>
    <row r="3420" spans="1:2">
      <c r="A3420">
        <v>172.9</v>
      </c>
      <c r="B3420">
        <v>328.6</v>
      </c>
    </row>
    <row r="3421" spans="1:2">
      <c r="A3421">
        <v>171.1</v>
      </c>
      <c r="B3421">
        <v>327.5</v>
      </c>
    </row>
    <row r="3422" spans="1:2">
      <c r="A3422">
        <v>167.9</v>
      </c>
      <c r="B3422">
        <v>330.1</v>
      </c>
    </row>
    <row r="3423" spans="1:2">
      <c r="A3423">
        <v>166.3</v>
      </c>
      <c r="B3423">
        <v>328.9</v>
      </c>
    </row>
    <row r="3424" spans="1:2">
      <c r="A3424">
        <v>167</v>
      </c>
      <c r="B3424">
        <v>327.60000000000002</v>
      </c>
    </row>
    <row r="3425" spans="1:2">
      <c r="A3425">
        <v>165.7</v>
      </c>
      <c r="B3425">
        <v>328.1</v>
      </c>
    </row>
    <row r="3426" spans="1:2">
      <c r="A3426">
        <v>165.6</v>
      </c>
      <c r="B3426">
        <v>330.8</v>
      </c>
    </row>
    <row r="3427" spans="1:2">
      <c r="A3427">
        <v>167.9</v>
      </c>
      <c r="B3427">
        <v>331</v>
      </c>
    </row>
    <row r="3428" spans="1:2">
      <c r="A3428">
        <v>168.4</v>
      </c>
      <c r="B3428">
        <v>333.9</v>
      </c>
    </row>
    <row r="3429" spans="1:2">
      <c r="A3429">
        <v>172</v>
      </c>
      <c r="B3429">
        <v>334.4</v>
      </c>
    </row>
    <row r="3430" spans="1:2">
      <c r="A3430">
        <v>176.3</v>
      </c>
      <c r="B3430">
        <v>332.3</v>
      </c>
    </row>
    <row r="3431" spans="1:2">
      <c r="A3431">
        <v>183.1</v>
      </c>
      <c r="B3431">
        <v>334.2</v>
      </c>
    </row>
    <row r="3432" spans="1:2">
      <c r="A3432">
        <v>184.9</v>
      </c>
      <c r="B3432">
        <v>332.6</v>
      </c>
    </row>
    <row r="3433" spans="1:2">
      <c r="A3433">
        <v>191.9</v>
      </c>
      <c r="B3433">
        <v>333.2</v>
      </c>
    </row>
    <row r="3434" spans="1:2">
      <c r="A3434">
        <v>192</v>
      </c>
      <c r="B3434">
        <v>328.5</v>
      </c>
    </row>
    <row r="3435" spans="1:2">
      <c r="A3435">
        <v>194.2</v>
      </c>
      <c r="B3435">
        <v>328.3</v>
      </c>
    </row>
    <row r="3436" spans="1:2">
      <c r="A3436">
        <v>196</v>
      </c>
      <c r="B3436">
        <v>326.3</v>
      </c>
    </row>
    <row r="3437" spans="1:2">
      <c r="A3437">
        <v>196.2</v>
      </c>
      <c r="B3437">
        <v>322.3</v>
      </c>
    </row>
    <row r="3438" spans="1:2">
      <c r="A3438">
        <v>198.7</v>
      </c>
      <c r="B3438">
        <v>321.39999999999998</v>
      </c>
    </row>
    <row r="3439" spans="1:2">
      <c r="A3439">
        <v>193</v>
      </c>
      <c r="B3439">
        <v>317.39999999999998</v>
      </c>
    </row>
    <row r="3440" spans="1:2">
      <c r="A3440">
        <v>188</v>
      </c>
      <c r="B3440">
        <v>316.39999999999998</v>
      </c>
    </row>
    <row r="3441" spans="1:2">
      <c r="A3441">
        <v>186.9</v>
      </c>
      <c r="B3441">
        <v>313.7</v>
      </c>
    </row>
    <row r="3442" spans="1:2">
      <c r="A3442">
        <v>180.8</v>
      </c>
      <c r="B3442">
        <v>314.2</v>
      </c>
    </row>
    <row r="3443" spans="1:2">
      <c r="A3443">
        <v>181</v>
      </c>
      <c r="B3443">
        <v>317</v>
      </c>
    </row>
    <row r="3444" spans="1:2">
      <c r="A3444">
        <v>179</v>
      </c>
      <c r="B3444">
        <v>319.3</v>
      </c>
    </row>
    <row r="3446" spans="1:2">
      <c r="A3446">
        <v>196.9</v>
      </c>
      <c r="B3446">
        <v>375.4</v>
      </c>
    </row>
    <row r="3447" spans="1:2">
      <c r="A3447">
        <v>201.2</v>
      </c>
      <c r="B3447">
        <v>374.2</v>
      </c>
    </row>
    <row r="3448" spans="1:2">
      <c r="A3448">
        <v>199.8</v>
      </c>
      <c r="B3448">
        <v>369.1</v>
      </c>
    </row>
    <row r="3449" spans="1:2">
      <c r="A3449">
        <v>202.6</v>
      </c>
      <c r="B3449">
        <v>362.9</v>
      </c>
    </row>
    <row r="3450" spans="1:2">
      <c r="A3450">
        <v>207.8</v>
      </c>
      <c r="B3450">
        <v>364.1</v>
      </c>
    </row>
    <row r="3451" spans="1:2">
      <c r="A3451">
        <v>211.8</v>
      </c>
      <c r="B3451">
        <v>361.1</v>
      </c>
    </row>
    <row r="3452" spans="1:2">
      <c r="A3452">
        <v>212.5</v>
      </c>
      <c r="B3452">
        <v>357.3</v>
      </c>
    </row>
    <row r="3453" spans="1:2">
      <c r="A3453">
        <v>209.3</v>
      </c>
      <c r="B3453">
        <v>354.2</v>
      </c>
    </row>
    <row r="3454" spans="1:2">
      <c r="A3454">
        <v>209.1</v>
      </c>
      <c r="B3454">
        <v>350.9</v>
      </c>
    </row>
    <row r="3455" spans="1:2">
      <c r="A3455">
        <v>203.6</v>
      </c>
      <c r="B3455">
        <v>347.7</v>
      </c>
    </row>
    <row r="3456" spans="1:2">
      <c r="A3456">
        <v>201.3</v>
      </c>
      <c r="B3456">
        <v>349.5</v>
      </c>
    </row>
    <row r="3457" spans="1:2">
      <c r="A3457">
        <v>197.9</v>
      </c>
      <c r="B3457">
        <v>348.4</v>
      </c>
    </row>
    <row r="3458" spans="1:2">
      <c r="A3458">
        <v>195.3</v>
      </c>
      <c r="B3458">
        <v>354.3</v>
      </c>
    </row>
    <row r="3459" spans="1:2">
      <c r="A3459">
        <v>196.8</v>
      </c>
      <c r="B3459">
        <v>355.5</v>
      </c>
    </row>
    <row r="3460" spans="1:2">
      <c r="A3460">
        <v>193.3</v>
      </c>
      <c r="B3460">
        <v>354.3</v>
      </c>
    </row>
    <row r="3461" spans="1:2">
      <c r="A3461">
        <v>192</v>
      </c>
      <c r="B3461">
        <v>351.8</v>
      </c>
    </row>
    <row r="3462" spans="1:2">
      <c r="A3462">
        <v>188.4</v>
      </c>
      <c r="B3462">
        <v>352.2</v>
      </c>
    </row>
    <row r="3463" spans="1:2">
      <c r="A3463">
        <v>183</v>
      </c>
      <c r="B3463">
        <v>358</v>
      </c>
    </row>
    <row r="3464" spans="1:2">
      <c r="A3464">
        <v>182.8</v>
      </c>
      <c r="B3464">
        <v>361.9</v>
      </c>
    </row>
    <row r="3465" spans="1:2">
      <c r="A3465">
        <v>181.3</v>
      </c>
      <c r="B3465">
        <v>363.6</v>
      </c>
    </row>
    <row r="3466" spans="1:2">
      <c r="A3466">
        <v>185.3</v>
      </c>
      <c r="B3466">
        <v>365.8</v>
      </c>
    </row>
    <row r="3467" spans="1:2">
      <c r="A3467">
        <v>186.9</v>
      </c>
      <c r="B3467">
        <v>364.7</v>
      </c>
    </row>
    <row r="3468" spans="1:2">
      <c r="A3468">
        <v>190.1</v>
      </c>
      <c r="B3468">
        <v>371.4</v>
      </c>
    </row>
    <row r="3469" spans="1:2">
      <c r="A3469">
        <v>194.7</v>
      </c>
      <c r="B3469">
        <v>370.8</v>
      </c>
    </row>
    <row r="3470" spans="1:2">
      <c r="A3470">
        <v>196.9</v>
      </c>
      <c r="B3470">
        <v>375.4</v>
      </c>
    </row>
    <row r="3472" spans="1:2">
      <c r="A3472">
        <v>186</v>
      </c>
      <c r="B3472">
        <v>385.8</v>
      </c>
    </row>
    <row r="3473" spans="1:2">
      <c r="A3473">
        <v>187.7</v>
      </c>
      <c r="B3473">
        <v>386.2</v>
      </c>
    </row>
    <row r="3474" spans="1:2">
      <c r="A3474">
        <v>186.9</v>
      </c>
      <c r="B3474">
        <v>383.8</v>
      </c>
    </row>
    <row r="3475" spans="1:2">
      <c r="A3475">
        <v>188.3</v>
      </c>
      <c r="B3475">
        <v>383.5</v>
      </c>
    </row>
    <row r="3476" spans="1:2">
      <c r="A3476">
        <v>190</v>
      </c>
      <c r="B3476">
        <v>379.2</v>
      </c>
    </row>
    <row r="3477" spans="1:2">
      <c r="A3477">
        <v>187</v>
      </c>
      <c r="B3477">
        <v>373.2</v>
      </c>
    </row>
    <row r="3478" spans="1:2">
      <c r="A3478">
        <v>187.8</v>
      </c>
      <c r="B3478">
        <v>371.2</v>
      </c>
    </row>
    <row r="3479" spans="1:2">
      <c r="A3479">
        <v>190.2</v>
      </c>
      <c r="B3479">
        <v>371.4</v>
      </c>
    </row>
    <row r="3480" spans="1:2">
      <c r="A3480">
        <v>186.9</v>
      </c>
      <c r="B3480">
        <v>364.7</v>
      </c>
    </row>
    <row r="3481" spans="1:2">
      <c r="A3481">
        <v>185.3</v>
      </c>
      <c r="B3481">
        <v>365.8</v>
      </c>
    </row>
    <row r="3482" spans="1:2">
      <c r="A3482">
        <v>180.1</v>
      </c>
      <c r="B3482">
        <v>363.4</v>
      </c>
    </row>
    <row r="3483" spans="1:2">
      <c r="A3483">
        <v>178</v>
      </c>
      <c r="B3483">
        <v>364.1</v>
      </c>
    </row>
    <row r="3484" spans="1:2">
      <c r="A3484">
        <v>176.6</v>
      </c>
      <c r="B3484">
        <v>367.2</v>
      </c>
    </row>
    <row r="3485" spans="1:2">
      <c r="A3485">
        <v>174.9</v>
      </c>
      <c r="B3485">
        <v>365.4</v>
      </c>
    </row>
    <row r="3486" spans="1:2">
      <c r="A3486">
        <v>174.4</v>
      </c>
      <c r="B3486">
        <v>368.5</v>
      </c>
    </row>
    <row r="3487" spans="1:2">
      <c r="A3487">
        <v>172</v>
      </c>
      <c r="B3487">
        <v>368.1</v>
      </c>
    </row>
    <row r="3488" spans="1:2">
      <c r="A3488">
        <v>171.4</v>
      </c>
      <c r="B3488">
        <v>370.4</v>
      </c>
    </row>
    <row r="3489" spans="1:2">
      <c r="A3489">
        <v>171.2</v>
      </c>
      <c r="B3489">
        <v>368.4</v>
      </c>
    </row>
    <row r="3490" spans="1:2">
      <c r="A3490">
        <v>166.6</v>
      </c>
      <c r="B3490">
        <v>371.1</v>
      </c>
    </row>
    <row r="3491" spans="1:2">
      <c r="A3491">
        <v>164.7</v>
      </c>
      <c r="B3491">
        <v>369.3</v>
      </c>
    </row>
    <row r="3492" spans="1:2">
      <c r="A3492">
        <v>165</v>
      </c>
      <c r="B3492">
        <v>370.9</v>
      </c>
    </row>
    <row r="3493" spans="1:2">
      <c r="A3493">
        <v>163.30000000000001</v>
      </c>
      <c r="B3493">
        <v>371.5</v>
      </c>
    </row>
    <row r="3494" spans="1:2">
      <c r="A3494">
        <v>163.1</v>
      </c>
      <c r="B3494">
        <v>376.7</v>
      </c>
    </row>
    <row r="3495" spans="1:2">
      <c r="A3495">
        <v>161.1</v>
      </c>
      <c r="B3495">
        <v>378.6</v>
      </c>
    </row>
    <row r="3496" spans="1:2">
      <c r="A3496">
        <v>162.1</v>
      </c>
      <c r="B3496">
        <v>381.3</v>
      </c>
    </row>
    <row r="3497" spans="1:2">
      <c r="A3497">
        <v>171.5</v>
      </c>
      <c r="B3497">
        <v>383.3</v>
      </c>
    </row>
    <row r="3498" spans="1:2">
      <c r="A3498">
        <v>173.7</v>
      </c>
      <c r="B3498">
        <v>385.6</v>
      </c>
    </row>
    <row r="3499" spans="1:2">
      <c r="A3499">
        <v>173.7</v>
      </c>
      <c r="B3499">
        <v>380.5</v>
      </c>
    </row>
    <row r="3500" spans="1:2">
      <c r="A3500">
        <v>176.4</v>
      </c>
      <c r="B3500">
        <v>381.1</v>
      </c>
    </row>
    <row r="3501" spans="1:2">
      <c r="A3501">
        <v>177.1</v>
      </c>
      <c r="B3501">
        <v>379.5</v>
      </c>
    </row>
    <row r="3502" spans="1:2">
      <c r="A3502">
        <v>177.5</v>
      </c>
      <c r="B3502">
        <v>383.9</v>
      </c>
    </row>
    <row r="3503" spans="1:2">
      <c r="A3503">
        <v>186</v>
      </c>
      <c r="B3503">
        <v>385.8</v>
      </c>
    </row>
    <row r="3505" spans="1:2">
      <c r="A3505">
        <v>185.1</v>
      </c>
      <c r="B3505">
        <v>400.3</v>
      </c>
    </row>
    <row r="3506" spans="1:2">
      <c r="A3506">
        <v>190.1</v>
      </c>
      <c r="B3506">
        <v>394.7</v>
      </c>
    </row>
    <row r="3507" spans="1:2">
      <c r="A3507">
        <v>192.6</v>
      </c>
      <c r="B3507">
        <v>397.5</v>
      </c>
    </row>
    <row r="3508" spans="1:2">
      <c r="A3508">
        <v>194.7</v>
      </c>
      <c r="B3508">
        <v>397.7</v>
      </c>
    </row>
    <row r="3509" spans="1:2">
      <c r="A3509">
        <v>193.8</v>
      </c>
      <c r="B3509">
        <v>398.6</v>
      </c>
    </row>
    <row r="3510" spans="1:2">
      <c r="A3510">
        <v>195.6</v>
      </c>
      <c r="B3510">
        <v>398.7</v>
      </c>
    </row>
    <row r="3511" spans="1:2">
      <c r="A3511">
        <v>195.2</v>
      </c>
      <c r="B3511">
        <v>396.1</v>
      </c>
    </row>
    <row r="3512" spans="1:2">
      <c r="A3512">
        <v>198.3</v>
      </c>
      <c r="B3512">
        <v>392.5</v>
      </c>
    </row>
    <row r="3513" spans="1:2">
      <c r="A3513">
        <v>201</v>
      </c>
      <c r="B3513">
        <v>391.9</v>
      </c>
    </row>
    <row r="3514" spans="1:2">
      <c r="A3514">
        <v>201.4</v>
      </c>
      <c r="B3514">
        <v>389.6</v>
      </c>
    </row>
    <row r="3515" spans="1:2">
      <c r="A3515">
        <v>205.6</v>
      </c>
      <c r="B3515">
        <v>389.8</v>
      </c>
    </row>
    <row r="3516" spans="1:2">
      <c r="A3516">
        <v>207.6</v>
      </c>
      <c r="B3516">
        <v>388.4</v>
      </c>
    </row>
    <row r="3517" spans="1:2">
      <c r="A3517">
        <v>203</v>
      </c>
      <c r="B3517">
        <v>376.1</v>
      </c>
    </row>
    <row r="3518" spans="1:2">
      <c r="A3518">
        <v>201.1</v>
      </c>
      <c r="B3518">
        <v>374.1</v>
      </c>
    </row>
    <row r="3519" spans="1:2">
      <c r="A3519">
        <v>196.9</v>
      </c>
      <c r="B3519">
        <v>375.5</v>
      </c>
    </row>
    <row r="3520" spans="1:2">
      <c r="A3520">
        <v>194.7</v>
      </c>
      <c r="B3520">
        <v>370.8</v>
      </c>
    </row>
    <row r="3521" spans="1:2">
      <c r="A3521">
        <v>187.3</v>
      </c>
      <c r="B3521">
        <v>371.7</v>
      </c>
    </row>
    <row r="3522" spans="1:2">
      <c r="A3522">
        <v>188</v>
      </c>
      <c r="B3522">
        <v>376.4</v>
      </c>
    </row>
    <row r="3523" spans="1:2">
      <c r="A3523">
        <v>190.1</v>
      </c>
      <c r="B3523">
        <v>377.9</v>
      </c>
    </row>
    <row r="3524" spans="1:2">
      <c r="A3524">
        <v>188.3</v>
      </c>
      <c r="B3524">
        <v>383.5</v>
      </c>
    </row>
    <row r="3525" spans="1:2">
      <c r="A3525">
        <v>186.9</v>
      </c>
      <c r="B3525">
        <v>383.8</v>
      </c>
    </row>
    <row r="3526" spans="1:2">
      <c r="A3526">
        <v>187.7</v>
      </c>
      <c r="B3526">
        <v>386.2</v>
      </c>
    </row>
    <row r="3527" spans="1:2">
      <c r="A3527">
        <v>177.5</v>
      </c>
      <c r="B3527">
        <v>383.9</v>
      </c>
    </row>
    <row r="3528" spans="1:2">
      <c r="A3528">
        <v>177.1</v>
      </c>
      <c r="B3528">
        <v>379.5</v>
      </c>
    </row>
    <row r="3529" spans="1:2">
      <c r="A3529">
        <v>176.4</v>
      </c>
      <c r="B3529">
        <v>381.1</v>
      </c>
    </row>
    <row r="3530" spans="1:2">
      <c r="A3530">
        <v>173.7</v>
      </c>
      <c r="B3530">
        <v>380.5</v>
      </c>
    </row>
    <row r="3531" spans="1:2">
      <c r="A3531">
        <v>175.8</v>
      </c>
      <c r="B3531">
        <v>392.9</v>
      </c>
    </row>
    <row r="3532" spans="1:2">
      <c r="A3532">
        <v>177.9</v>
      </c>
      <c r="B3532">
        <v>393.8</v>
      </c>
    </row>
    <row r="3533" spans="1:2">
      <c r="A3533">
        <v>177.9</v>
      </c>
      <c r="B3533">
        <v>395.6</v>
      </c>
    </row>
    <row r="3534" spans="1:2">
      <c r="A3534">
        <v>179.7</v>
      </c>
      <c r="B3534">
        <v>394.8</v>
      </c>
    </row>
    <row r="3535" spans="1:2">
      <c r="A3535">
        <v>179.7</v>
      </c>
      <c r="B3535">
        <v>397.5</v>
      </c>
    </row>
    <row r="3536" spans="1:2">
      <c r="A3536">
        <v>185.1</v>
      </c>
      <c r="B3536">
        <v>400.3</v>
      </c>
    </row>
    <row r="3538" spans="1:2">
      <c r="A3538">
        <v>155.30000000000001</v>
      </c>
      <c r="B3538">
        <v>378.2</v>
      </c>
    </row>
    <row r="3539" spans="1:2">
      <c r="A3539">
        <v>155.30000000000001</v>
      </c>
      <c r="B3539">
        <v>376.3</v>
      </c>
    </row>
    <row r="3540" spans="1:2">
      <c r="A3540">
        <v>153.9</v>
      </c>
      <c r="B3540">
        <v>375.5</v>
      </c>
    </row>
    <row r="3541" spans="1:2">
      <c r="A3541">
        <v>155.30000000000001</v>
      </c>
      <c r="B3541">
        <v>374.7</v>
      </c>
    </row>
    <row r="3542" spans="1:2">
      <c r="A3542">
        <v>155.6</v>
      </c>
      <c r="B3542">
        <v>369.8</v>
      </c>
    </row>
    <row r="3543" spans="1:2">
      <c r="A3543">
        <v>157.69999999999999</v>
      </c>
      <c r="B3543">
        <v>368.3</v>
      </c>
    </row>
    <row r="3544" spans="1:2">
      <c r="A3544">
        <v>157.4</v>
      </c>
      <c r="B3544">
        <v>366.5</v>
      </c>
    </row>
    <row r="3545" spans="1:2">
      <c r="A3545">
        <v>158.4</v>
      </c>
      <c r="B3545">
        <v>366.8</v>
      </c>
    </row>
    <row r="3546" spans="1:2">
      <c r="A3546">
        <v>158.1</v>
      </c>
      <c r="B3546">
        <v>362.7</v>
      </c>
    </row>
    <row r="3547" spans="1:2">
      <c r="A3547">
        <v>160.30000000000001</v>
      </c>
      <c r="B3547">
        <v>361</v>
      </c>
    </row>
    <row r="3548" spans="1:2">
      <c r="A3548">
        <v>159.9</v>
      </c>
      <c r="B3548">
        <v>356.8</v>
      </c>
    </row>
    <row r="3549" spans="1:2">
      <c r="A3549">
        <v>156.6</v>
      </c>
      <c r="B3549">
        <v>359.3</v>
      </c>
    </row>
    <row r="3550" spans="1:2">
      <c r="A3550">
        <v>154.19999999999999</v>
      </c>
      <c r="B3550">
        <v>358.6</v>
      </c>
    </row>
    <row r="3551" spans="1:2">
      <c r="A3551">
        <v>153.19999999999999</v>
      </c>
      <c r="B3551">
        <v>359.7</v>
      </c>
    </row>
    <row r="3552" spans="1:2">
      <c r="A3552">
        <v>154.4</v>
      </c>
      <c r="B3552">
        <v>361.3</v>
      </c>
    </row>
    <row r="3553" spans="1:2">
      <c r="A3553">
        <v>151.4</v>
      </c>
      <c r="B3553">
        <v>361.4</v>
      </c>
    </row>
    <row r="3554" spans="1:2">
      <c r="A3554">
        <v>152.1</v>
      </c>
      <c r="B3554">
        <v>368.3</v>
      </c>
    </row>
    <row r="3555" spans="1:2">
      <c r="A3555">
        <v>149.80000000000001</v>
      </c>
      <c r="B3555">
        <v>377</v>
      </c>
    </row>
    <row r="3556" spans="1:2">
      <c r="A3556">
        <v>153.9</v>
      </c>
      <c r="B3556">
        <v>379.9</v>
      </c>
    </row>
    <row r="3557" spans="1:2">
      <c r="A3557">
        <v>155.30000000000001</v>
      </c>
      <c r="B3557">
        <v>378.2</v>
      </c>
    </row>
    <row r="3559" spans="1:2">
      <c r="A3559">
        <v>134.30000000000001</v>
      </c>
      <c r="B3559">
        <v>388</v>
      </c>
    </row>
    <row r="3560" spans="1:2">
      <c r="A3560">
        <v>135.80000000000001</v>
      </c>
      <c r="B3560">
        <v>386.9</v>
      </c>
    </row>
    <row r="3561" spans="1:2">
      <c r="A3561">
        <v>134</v>
      </c>
      <c r="B3561">
        <v>386</v>
      </c>
    </row>
    <row r="3562" spans="1:2">
      <c r="A3562">
        <v>134.30000000000001</v>
      </c>
      <c r="B3562">
        <v>388</v>
      </c>
    </row>
    <row r="3564" spans="1:2">
      <c r="A3564">
        <v>129.69999999999999</v>
      </c>
      <c r="B3564">
        <v>388.5</v>
      </c>
    </row>
    <row r="3565" spans="1:2">
      <c r="A3565">
        <v>129.6</v>
      </c>
      <c r="B3565">
        <v>386.4</v>
      </c>
    </row>
    <row r="3566" spans="1:2">
      <c r="A3566">
        <v>126.9</v>
      </c>
      <c r="B3566">
        <v>385.9</v>
      </c>
    </row>
    <row r="3567" spans="1:2">
      <c r="A3567">
        <v>129.69999999999999</v>
      </c>
      <c r="B3567">
        <v>388.5</v>
      </c>
    </row>
    <row r="3569" spans="1:2">
      <c r="A3569">
        <v>134.9</v>
      </c>
      <c r="B3569">
        <v>392</v>
      </c>
    </row>
    <row r="3570" spans="1:2">
      <c r="A3570">
        <v>133</v>
      </c>
      <c r="B3570">
        <v>390.3</v>
      </c>
    </row>
    <row r="3571" spans="1:2">
      <c r="A3571">
        <v>134.19999999999999</v>
      </c>
      <c r="B3571">
        <v>394.6</v>
      </c>
    </row>
    <row r="3572" spans="1:2">
      <c r="A3572">
        <v>132.30000000000001</v>
      </c>
      <c r="B3572">
        <v>397.2</v>
      </c>
    </row>
    <row r="3573" spans="1:2">
      <c r="A3573">
        <v>135.30000000000001</v>
      </c>
      <c r="B3573">
        <v>399.2</v>
      </c>
    </row>
    <row r="3574" spans="1:2">
      <c r="A3574">
        <v>136.6</v>
      </c>
      <c r="B3574">
        <v>403</v>
      </c>
    </row>
    <row r="3575" spans="1:2">
      <c r="A3575">
        <v>135.5</v>
      </c>
      <c r="B3575">
        <v>405.1</v>
      </c>
    </row>
    <row r="3576" spans="1:2">
      <c r="A3576">
        <v>137.5</v>
      </c>
      <c r="B3576">
        <v>404.6</v>
      </c>
    </row>
    <row r="3577" spans="1:2">
      <c r="A3577">
        <v>137.5</v>
      </c>
      <c r="B3577">
        <v>401.5</v>
      </c>
    </row>
    <row r="3578" spans="1:2">
      <c r="A3578">
        <v>138.6</v>
      </c>
      <c r="B3578">
        <v>401.6</v>
      </c>
    </row>
    <row r="3579" spans="1:2">
      <c r="A3579">
        <v>137.9</v>
      </c>
      <c r="B3579">
        <v>403.7</v>
      </c>
    </row>
    <row r="3580" spans="1:2">
      <c r="A3580">
        <v>139.9</v>
      </c>
      <c r="B3580">
        <v>406.2</v>
      </c>
    </row>
    <row r="3581" spans="1:2">
      <c r="A3581">
        <v>138.1</v>
      </c>
      <c r="B3581">
        <v>409.5</v>
      </c>
    </row>
    <row r="3582" spans="1:2">
      <c r="A3582">
        <v>144.19999999999999</v>
      </c>
      <c r="B3582">
        <v>412.5</v>
      </c>
    </row>
    <row r="3583" spans="1:2">
      <c r="A3583">
        <v>148.1</v>
      </c>
      <c r="B3583">
        <v>411.1</v>
      </c>
    </row>
    <row r="3584" spans="1:2">
      <c r="A3584">
        <v>147.4</v>
      </c>
      <c r="B3584">
        <v>417.8</v>
      </c>
    </row>
    <row r="3585" spans="1:2">
      <c r="A3585">
        <v>149.19999999999999</v>
      </c>
      <c r="B3585">
        <v>419.5</v>
      </c>
    </row>
    <row r="3586" spans="1:2">
      <c r="A3586">
        <v>148.1</v>
      </c>
      <c r="B3586">
        <v>417.8</v>
      </c>
    </row>
    <row r="3587" spans="1:2">
      <c r="A3587">
        <v>149.6</v>
      </c>
      <c r="B3587">
        <v>417.1</v>
      </c>
    </row>
    <row r="3588" spans="1:2">
      <c r="A3588">
        <v>148.80000000000001</v>
      </c>
      <c r="B3588">
        <v>413.1</v>
      </c>
    </row>
    <row r="3589" spans="1:2">
      <c r="A3589">
        <v>151.4</v>
      </c>
      <c r="B3589">
        <v>410</v>
      </c>
    </row>
    <row r="3590" spans="1:2">
      <c r="A3590">
        <v>148.4</v>
      </c>
      <c r="B3590">
        <v>405.9</v>
      </c>
    </row>
    <row r="3591" spans="1:2">
      <c r="A3591">
        <v>150.1</v>
      </c>
      <c r="B3591">
        <v>403.7</v>
      </c>
    </row>
    <row r="3592" spans="1:2">
      <c r="A3592">
        <v>147.1</v>
      </c>
      <c r="B3592">
        <v>402.1</v>
      </c>
    </row>
    <row r="3593" spans="1:2">
      <c r="A3593">
        <v>148</v>
      </c>
      <c r="B3593">
        <v>400</v>
      </c>
    </row>
    <row r="3594" spans="1:2">
      <c r="A3594">
        <v>150.69999999999999</v>
      </c>
      <c r="B3594">
        <v>402.3</v>
      </c>
    </row>
    <row r="3595" spans="1:2">
      <c r="A3595">
        <v>153.6</v>
      </c>
      <c r="B3595">
        <v>399.1</v>
      </c>
    </row>
    <row r="3596" spans="1:2">
      <c r="A3596">
        <v>152</v>
      </c>
      <c r="B3596">
        <v>394</v>
      </c>
    </row>
    <row r="3597" spans="1:2">
      <c r="A3597">
        <v>154</v>
      </c>
      <c r="B3597">
        <v>381.2</v>
      </c>
    </row>
    <row r="3598" spans="1:2">
      <c r="A3598">
        <v>148.1</v>
      </c>
      <c r="B3598">
        <v>376.9</v>
      </c>
    </row>
    <row r="3599" spans="1:2">
      <c r="A3599">
        <v>147.30000000000001</v>
      </c>
      <c r="B3599">
        <v>380.9</v>
      </c>
    </row>
    <row r="3600" spans="1:2">
      <c r="A3600">
        <v>148.6</v>
      </c>
      <c r="B3600">
        <v>380.7</v>
      </c>
    </row>
    <row r="3601" spans="1:2">
      <c r="A3601">
        <v>148.80000000000001</v>
      </c>
      <c r="B3601">
        <v>382.7</v>
      </c>
    </row>
    <row r="3602" spans="1:2">
      <c r="A3602">
        <v>145.4</v>
      </c>
      <c r="B3602">
        <v>388.7</v>
      </c>
    </row>
    <row r="3603" spans="1:2">
      <c r="A3603">
        <v>146.9</v>
      </c>
      <c r="B3603">
        <v>392.6</v>
      </c>
    </row>
    <row r="3604" spans="1:2">
      <c r="A3604">
        <v>143.1</v>
      </c>
      <c r="B3604">
        <v>391.3</v>
      </c>
    </row>
    <row r="3605" spans="1:2">
      <c r="A3605">
        <v>143.4</v>
      </c>
      <c r="B3605">
        <v>389.7</v>
      </c>
    </row>
    <row r="3606" spans="1:2">
      <c r="A3606">
        <v>139.69999999999999</v>
      </c>
      <c r="B3606">
        <v>386.6</v>
      </c>
    </row>
    <row r="3607" spans="1:2">
      <c r="A3607">
        <v>135.80000000000001</v>
      </c>
      <c r="B3607">
        <v>387.1</v>
      </c>
    </row>
    <row r="3608" spans="1:2">
      <c r="A3608">
        <v>135.30000000000001</v>
      </c>
      <c r="B3608">
        <v>389.7</v>
      </c>
    </row>
    <row r="3609" spans="1:2">
      <c r="A3609">
        <v>137.1</v>
      </c>
      <c r="B3609">
        <v>391.2</v>
      </c>
    </row>
    <row r="3610" spans="1:2">
      <c r="A3610">
        <v>141.5</v>
      </c>
      <c r="B3610">
        <v>390.5</v>
      </c>
    </row>
    <row r="3611" spans="1:2">
      <c r="A3611">
        <v>141.30000000000001</v>
      </c>
      <c r="B3611">
        <v>392.3</v>
      </c>
    </row>
    <row r="3612" spans="1:2">
      <c r="A3612">
        <v>139.9</v>
      </c>
      <c r="B3612">
        <v>391.7</v>
      </c>
    </row>
    <row r="3613" spans="1:2">
      <c r="A3613">
        <v>141</v>
      </c>
      <c r="B3613">
        <v>393.8</v>
      </c>
    </row>
    <row r="3614" spans="1:2">
      <c r="A3614">
        <v>137.6</v>
      </c>
      <c r="B3614">
        <v>395.6</v>
      </c>
    </row>
    <row r="3615" spans="1:2">
      <c r="A3615">
        <v>134.80000000000001</v>
      </c>
      <c r="B3615">
        <v>395.2</v>
      </c>
    </row>
    <row r="3616" spans="1:2">
      <c r="A3616">
        <v>135.80000000000001</v>
      </c>
      <c r="B3616">
        <v>393.3</v>
      </c>
    </row>
    <row r="3617" spans="1:2">
      <c r="A3617">
        <v>134.9</v>
      </c>
      <c r="B3617">
        <v>392</v>
      </c>
    </row>
    <row r="3619" spans="1:2">
      <c r="A3619">
        <v>219.7</v>
      </c>
      <c r="B3619">
        <v>296.2</v>
      </c>
    </row>
    <row r="3620" spans="1:2">
      <c r="A3620">
        <v>221.6</v>
      </c>
      <c r="B3620">
        <v>293.89999999999998</v>
      </c>
    </row>
    <row r="3621" spans="1:2">
      <c r="A3621">
        <v>223.7</v>
      </c>
      <c r="B3621">
        <v>295.2</v>
      </c>
    </row>
    <row r="3622" spans="1:2">
      <c r="A3622">
        <v>225.8</v>
      </c>
      <c r="B3622">
        <v>292.60000000000002</v>
      </c>
    </row>
    <row r="3623" spans="1:2">
      <c r="A3623">
        <v>229</v>
      </c>
      <c r="B3623">
        <v>292.10000000000002</v>
      </c>
    </row>
    <row r="3624" spans="1:2">
      <c r="A3624">
        <v>227.4</v>
      </c>
      <c r="B3624">
        <v>289.3</v>
      </c>
    </row>
    <row r="3625" spans="1:2">
      <c r="A3625">
        <v>224.2</v>
      </c>
      <c r="B3625">
        <v>290.2</v>
      </c>
    </row>
    <row r="3626" spans="1:2">
      <c r="A3626">
        <v>222.8</v>
      </c>
      <c r="B3626">
        <v>287.60000000000002</v>
      </c>
    </row>
    <row r="3627" spans="1:2">
      <c r="A3627">
        <v>219</v>
      </c>
      <c r="B3627">
        <v>286.89999999999998</v>
      </c>
    </row>
    <row r="3628" spans="1:2">
      <c r="A3628">
        <v>217.4</v>
      </c>
      <c r="B3628">
        <v>284.3</v>
      </c>
    </row>
    <row r="3629" spans="1:2">
      <c r="A3629">
        <v>214.4</v>
      </c>
      <c r="B3629">
        <v>287.2</v>
      </c>
    </row>
    <row r="3630" spans="1:2">
      <c r="A3630">
        <v>216.5</v>
      </c>
      <c r="B3630">
        <v>289.39999999999998</v>
      </c>
    </row>
    <row r="3631" spans="1:2">
      <c r="A3631">
        <v>215.7</v>
      </c>
      <c r="B3631">
        <v>294.7</v>
      </c>
    </row>
    <row r="3632" spans="1:2">
      <c r="A3632">
        <v>214.4</v>
      </c>
      <c r="B3632">
        <v>295.2</v>
      </c>
    </row>
    <row r="3633" spans="1:2">
      <c r="A3633">
        <v>219.7</v>
      </c>
      <c r="B3633">
        <v>296.2</v>
      </c>
    </row>
    <row r="3635" spans="1:2">
      <c r="A3635">
        <v>220.6</v>
      </c>
      <c r="B3635">
        <v>303.2</v>
      </c>
    </row>
    <row r="3636" spans="1:2">
      <c r="A3636">
        <v>222.7</v>
      </c>
      <c r="B3636">
        <v>302.39999999999998</v>
      </c>
    </row>
    <row r="3637" spans="1:2">
      <c r="A3637">
        <v>224.7</v>
      </c>
      <c r="B3637">
        <v>297.8</v>
      </c>
    </row>
    <row r="3638" spans="1:2">
      <c r="A3638">
        <v>227.2</v>
      </c>
      <c r="B3638">
        <v>298.5</v>
      </c>
    </row>
    <row r="3639" spans="1:2">
      <c r="A3639">
        <v>228.4</v>
      </c>
      <c r="B3639">
        <v>294.8</v>
      </c>
    </row>
    <row r="3640" spans="1:2">
      <c r="A3640">
        <v>230.5</v>
      </c>
      <c r="B3640">
        <v>294.39999999999998</v>
      </c>
    </row>
    <row r="3641" spans="1:2">
      <c r="A3641">
        <v>230</v>
      </c>
      <c r="B3641">
        <v>292.89999999999998</v>
      </c>
    </row>
    <row r="3642" spans="1:2">
      <c r="A3642">
        <v>225.8</v>
      </c>
      <c r="B3642">
        <v>292.60000000000002</v>
      </c>
    </row>
    <row r="3643" spans="1:2">
      <c r="A3643">
        <v>222.8</v>
      </c>
      <c r="B3643">
        <v>295.3</v>
      </c>
    </row>
    <row r="3644" spans="1:2">
      <c r="A3644">
        <v>221.6</v>
      </c>
      <c r="B3644">
        <v>293.89999999999998</v>
      </c>
    </row>
    <row r="3645" spans="1:2">
      <c r="A3645">
        <v>219.1</v>
      </c>
      <c r="B3645">
        <v>296.7</v>
      </c>
    </row>
    <row r="3646" spans="1:2">
      <c r="A3646">
        <v>216.2</v>
      </c>
      <c r="B3646">
        <v>294.8</v>
      </c>
    </row>
    <row r="3647" spans="1:2">
      <c r="A3647">
        <v>212.4</v>
      </c>
      <c r="B3647">
        <v>299.3</v>
      </c>
    </row>
    <row r="3648" spans="1:2">
      <c r="A3648">
        <v>210.6</v>
      </c>
      <c r="B3648">
        <v>299.2</v>
      </c>
    </row>
    <row r="3649" spans="1:2">
      <c r="A3649">
        <v>210.1</v>
      </c>
      <c r="B3649">
        <v>302.10000000000002</v>
      </c>
    </row>
    <row r="3650" spans="1:2">
      <c r="A3650">
        <v>217.6</v>
      </c>
      <c r="B3650">
        <v>301.89999999999998</v>
      </c>
    </row>
    <row r="3651" spans="1:2">
      <c r="A3651">
        <v>220.6</v>
      </c>
      <c r="B3651">
        <v>303.2</v>
      </c>
    </row>
    <row r="3653" spans="1:2">
      <c r="A3653">
        <v>157.9</v>
      </c>
      <c r="B3653">
        <v>295.5</v>
      </c>
    </row>
    <row r="3654" spans="1:2">
      <c r="A3654">
        <v>159.80000000000001</v>
      </c>
      <c r="B3654">
        <v>294</v>
      </c>
    </row>
    <row r="3655" spans="1:2">
      <c r="A3655">
        <v>158.6</v>
      </c>
      <c r="B3655">
        <v>294.3</v>
      </c>
    </row>
    <row r="3656" spans="1:2">
      <c r="A3656">
        <v>157.69999999999999</v>
      </c>
      <c r="B3656">
        <v>292.5</v>
      </c>
    </row>
    <row r="3657" spans="1:2">
      <c r="A3657">
        <v>157.9</v>
      </c>
      <c r="B3657">
        <v>295.5</v>
      </c>
    </row>
    <row r="3659" spans="1:2">
      <c r="A3659">
        <v>199.8</v>
      </c>
      <c r="B3659">
        <v>316.60000000000002</v>
      </c>
    </row>
    <row r="3660" spans="1:2">
      <c r="A3660">
        <v>202.6</v>
      </c>
      <c r="B3660">
        <v>314.10000000000002</v>
      </c>
    </row>
    <row r="3661" spans="1:2">
      <c r="A3661">
        <v>199.9</v>
      </c>
      <c r="B3661">
        <v>309.39999999999998</v>
      </c>
    </row>
    <row r="3662" spans="1:2">
      <c r="A3662">
        <v>200.7</v>
      </c>
      <c r="B3662">
        <v>308.8</v>
      </c>
    </row>
    <row r="3663" spans="1:2">
      <c r="A3663">
        <v>197.7</v>
      </c>
      <c r="B3663">
        <v>304.7</v>
      </c>
    </row>
    <row r="3664" spans="1:2">
      <c r="A3664">
        <v>191.7</v>
      </c>
      <c r="B3664">
        <v>302.39999999999998</v>
      </c>
    </row>
    <row r="3665" spans="1:2">
      <c r="A3665">
        <v>191.7</v>
      </c>
      <c r="B3665">
        <v>300.39999999999998</v>
      </c>
    </row>
    <row r="3666" spans="1:2">
      <c r="A3666">
        <v>181.7</v>
      </c>
      <c r="B3666">
        <v>299.60000000000002</v>
      </c>
    </row>
    <row r="3667" spans="1:2">
      <c r="A3667">
        <v>181.5</v>
      </c>
      <c r="B3667">
        <v>301.7</v>
      </c>
    </row>
    <row r="3668" spans="1:2">
      <c r="A3668">
        <v>176.1</v>
      </c>
      <c r="B3668">
        <v>301.3</v>
      </c>
    </row>
    <row r="3669" spans="1:2">
      <c r="A3669">
        <v>176.5</v>
      </c>
      <c r="B3669">
        <v>307.2</v>
      </c>
    </row>
    <row r="3670" spans="1:2">
      <c r="A3670">
        <v>174</v>
      </c>
      <c r="B3670">
        <v>308</v>
      </c>
    </row>
    <row r="3671" spans="1:2">
      <c r="A3671">
        <v>174</v>
      </c>
      <c r="B3671">
        <v>303.10000000000002</v>
      </c>
    </row>
    <row r="3672" spans="1:2">
      <c r="A3672">
        <v>172.9</v>
      </c>
      <c r="B3672">
        <v>303.2</v>
      </c>
    </row>
    <row r="3673" spans="1:2">
      <c r="A3673">
        <v>174</v>
      </c>
      <c r="B3673">
        <v>303.2</v>
      </c>
    </row>
    <row r="3674" spans="1:2">
      <c r="A3674">
        <v>173.9</v>
      </c>
      <c r="B3674">
        <v>305.10000000000002</v>
      </c>
    </row>
    <row r="3675" spans="1:2">
      <c r="A3675">
        <v>171.9</v>
      </c>
      <c r="B3675">
        <v>303.39999999999998</v>
      </c>
    </row>
    <row r="3676" spans="1:2">
      <c r="A3676">
        <v>171.9</v>
      </c>
      <c r="B3676">
        <v>306.7</v>
      </c>
    </row>
    <row r="3677" spans="1:2">
      <c r="A3677">
        <v>169.3</v>
      </c>
      <c r="B3677">
        <v>306.5</v>
      </c>
    </row>
    <row r="3678" spans="1:2">
      <c r="A3678">
        <v>166.1</v>
      </c>
      <c r="B3678">
        <v>295.89999999999998</v>
      </c>
    </row>
    <row r="3679" spans="1:2">
      <c r="A3679">
        <v>163.9</v>
      </c>
      <c r="B3679">
        <v>293.2</v>
      </c>
    </row>
    <row r="3680" spans="1:2">
      <c r="A3680">
        <v>161.30000000000001</v>
      </c>
      <c r="B3680">
        <v>293.39999999999998</v>
      </c>
    </row>
    <row r="3681" spans="1:2">
      <c r="A3681">
        <v>161.30000000000001</v>
      </c>
      <c r="B3681">
        <v>295.39999999999998</v>
      </c>
    </row>
    <row r="3682" spans="1:2">
      <c r="A3682">
        <v>164.1</v>
      </c>
      <c r="B3682">
        <v>294.39999999999998</v>
      </c>
    </row>
    <row r="3683" spans="1:2">
      <c r="A3683">
        <v>165.9</v>
      </c>
      <c r="B3683">
        <v>297.10000000000002</v>
      </c>
    </row>
    <row r="3684" spans="1:2">
      <c r="A3684">
        <v>169.1</v>
      </c>
      <c r="B3684">
        <v>306.89999999999998</v>
      </c>
    </row>
    <row r="3685" spans="1:2">
      <c r="A3685">
        <v>167.4</v>
      </c>
      <c r="B3685">
        <v>310.89999999999998</v>
      </c>
    </row>
    <row r="3686" spans="1:2">
      <c r="A3686">
        <v>177.1</v>
      </c>
      <c r="B3686">
        <v>310.5</v>
      </c>
    </row>
    <row r="3687" spans="1:2">
      <c r="A3687">
        <v>184.3</v>
      </c>
      <c r="B3687">
        <v>313.10000000000002</v>
      </c>
    </row>
    <row r="3688" spans="1:2">
      <c r="A3688">
        <v>186.9</v>
      </c>
      <c r="B3688">
        <v>312.10000000000002</v>
      </c>
    </row>
    <row r="3689" spans="1:2">
      <c r="A3689">
        <v>188.6</v>
      </c>
      <c r="B3689">
        <v>314.8</v>
      </c>
    </row>
    <row r="3690" spans="1:2">
      <c r="A3690">
        <v>187.4</v>
      </c>
      <c r="B3690">
        <v>315</v>
      </c>
    </row>
    <row r="3691" spans="1:2">
      <c r="A3691">
        <v>188</v>
      </c>
      <c r="B3691">
        <v>316.39999999999998</v>
      </c>
    </row>
    <row r="3692" spans="1:2">
      <c r="A3692">
        <v>198.2</v>
      </c>
      <c r="B3692">
        <v>320.2</v>
      </c>
    </row>
    <row r="3693" spans="1:2">
      <c r="A3693">
        <v>199.8</v>
      </c>
      <c r="B3693">
        <v>316.60000000000002</v>
      </c>
    </row>
    <row r="3695" spans="1:2">
      <c r="A3695">
        <v>121.3</v>
      </c>
      <c r="B3695">
        <v>326.89999999999998</v>
      </c>
    </row>
    <row r="3696" spans="1:2">
      <c r="A3696">
        <v>121.8</v>
      </c>
      <c r="B3696">
        <v>325.60000000000002</v>
      </c>
    </row>
    <row r="3697" spans="1:2">
      <c r="A3697">
        <v>121.2</v>
      </c>
      <c r="B3697">
        <v>326.8</v>
      </c>
    </row>
    <row r="3698" spans="1:2">
      <c r="A3698">
        <v>120.6</v>
      </c>
      <c r="B3698">
        <v>325.60000000000002</v>
      </c>
    </row>
    <row r="3699" spans="1:2">
      <c r="A3699">
        <v>119.6</v>
      </c>
      <c r="B3699">
        <v>327.3</v>
      </c>
    </row>
    <row r="3700" spans="1:2">
      <c r="A3700">
        <v>121.3</v>
      </c>
      <c r="B3700">
        <v>326.89999999999998</v>
      </c>
    </row>
    <row r="3702" spans="1:2">
      <c r="A3702">
        <v>209.6</v>
      </c>
      <c r="B3702">
        <v>329.5</v>
      </c>
    </row>
    <row r="3703" spans="1:2">
      <c r="A3703">
        <v>211.4</v>
      </c>
      <c r="B3703">
        <v>329.7</v>
      </c>
    </row>
    <row r="3704" spans="1:2">
      <c r="A3704">
        <v>212.1</v>
      </c>
      <c r="B3704">
        <v>328.4</v>
      </c>
    </row>
    <row r="3705" spans="1:2">
      <c r="A3705">
        <v>213.9</v>
      </c>
      <c r="B3705">
        <v>329.5</v>
      </c>
    </row>
    <row r="3706" spans="1:2">
      <c r="A3706">
        <v>215.5</v>
      </c>
      <c r="B3706">
        <v>327.2</v>
      </c>
    </row>
    <row r="3707" spans="1:2">
      <c r="A3707">
        <v>215.4</v>
      </c>
      <c r="B3707">
        <v>323.3</v>
      </c>
    </row>
    <row r="3708" spans="1:2">
      <c r="A3708">
        <v>222.2</v>
      </c>
      <c r="B3708">
        <v>319.8</v>
      </c>
    </row>
    <row r="3709" spans="1:2">
      <c r="A3709">
        <v>220.2</v>
      </c>
      <c r="B3709">
        <v>317</v>
      </c>
    </row>
    <row r="3710" spans="1:2">
      <c r="A3710">
        <v>221</v>
      </c>
      <c r="B3710">
        <v>314.2</v>
      </c>
    </row>
    <row r="3711" spans="1:2">
      <c r="A3711">
        <v>219.4</v>
      </c>
      <c r="B3711">
        <v>313.2</v>
      </c>
    </row>
    <row r="3712" spans="1:2">
      <c r="A3712">
        <v>218.1</v>
      </c>
      <c r="B3712">
        <v>306.2</v>
      </c>
    </row>
    <row r="3713" spans="1:2">
      <c r="A3713">
        <v>215.8</v>
      </c>
      <c r="B3713">
        <v>304.5</v>
      </c>
    </row>
    <row r="3714" spans="1:2">
      <c r="A3714">
        <v>213.6</v>
      </c>
      <c r="B3714">
        <v>305.60000000000002</v>
      </c>
    </row>
    <row r="3715" spans="1:2">
      <c r="A3715">
        <v>212.5</v>
      </c>
      <c r="B3715">
        <v>304.7</v>
      </c>
    </row>
    <row r="3716" spans="1:2">
      <c r="A3716">
        <v>213.4</v>
      </c>
      <c r="B3716">
        <v>302.60000000000002</v>
      </c>
    </row>
    <row r="3717" spans="1:2">
      <c r="A3717">
        <v>209.7</v>
      </c>
      <c r="B3717">
        <v>301.10000000000002</v>
      </c>
    </row>
    <row r="3718" spans="1:2">
      <c r="A3718">
        <v>206.2</v>
      </c>
      <c r="B3718">
        <v>304.60000000000002</v>
      </c>
    </row>
    <row r="3719" spans="1:2">
      <c r="A3719">
        <v>202.2</v>
      </c>
      <c r="B3719">
        <v>303.2</v>
      </c>
    </row>
    <row r="3720" spans="1:2">
      <c r="A3720">
        <v>200.6</v>
      </c>
      <c r="B3720">
        <v>304.39999999999998</v>
      </c>
    </row>
    <row r="3721" spans="1:2">
      <c r="A3721">
        <v>197.6</v>
      </c>
      <c r="B3721">
        <v>303.5</v>
      </c>
    </row>
    <row r="3722" spans="1:2">
      <c r="A3722">
        <v>197</v>
      </c>
      <c r="B3722">
        <v>304.7</v>
      </c>
    </row>
    <row r="3723" spans="1:2">
      <c r="A3723">
        <v>199.4</v>
      </c>
      <c r="B3723">
        <v>306.60000000000002</v>
      </c>
    </row>
    <row r="3724" spans="1:2">
      <c r="A3724">
        <v>202.6</v>
      </c>
      <c r="B3724">
        <v>313.3</v>
      </c>
    </row>
    <row r="3725" spans="1:2">
      <c r="A3725">
        <v>198.7</v>
      </c>
      <c r="B3725">
        <v>317.2</v>
      </c>
    </row>
    <row r="3726" spans="1:2">
      <c r="A3726">
        <v>198.2</v>
      </c>
      <c r="B3726">
        <v>319.7</v>
      </c>
    </row>
    <row r="3727" spans="1:2">
      <c r="A3727">
        <v>199.7</v>
      </c>
      <c r="B3727">
        <v>327.9</v>
      </c>
    </row>
    <row r="3728" spans="1:2">
      <c r="A3728">
        <v>206.2</v>
      </c>
      <c r="B3728">
        <v>330.6</v>
      </c>
    </row>
    <row r="3729" spans="1:2">
      <c r="A3729">
        <v>209.6</v>
      </c>
      <c r="B3729">
        <v>329.5</v>
      </c>
    </row>
    <row r="3731" spans="1:2">
      <c r="A3731">
        <v>199.8</v>
      </c>
      <c r="B3731">
        <v>286.89999999999998</v>
      </c>
    </row>
    <row r="3732" spans="1:2">
      <c r="A3732">
        <v>202.6</v>
      </c>
      <c r="B3732">
        <v>286.10000000000002</v>
      </c>
    </row>
    <row r="3733" spans="1:2">
      <c r="A3733">
        <v>204.4</v>
      </c>
      <c r="B3733">
        <v>283.39999999999998</v>
      </c>
    </row>
    <row r="3734" spans="1:2">
      <c r="A3734">
        <v>208.4</v>
      </c>
      <c r="B3734">
        <v>282.8</v>
      </c>
    </row>
    <row r="3735" spans="1:2">
      <c r="A3735">
        <v>212.1</v>
      </c>
      <c r="B3735">
        <v>277.8</v>
      </c>
    </row>
    <row r="3736" spans="1:2">
      <c r="A3736">
        <v>215.6</v>
      </c>
      <c r="B3736">
        <v>278.8</v>
      </c>
    </row>
    <row r="3737" spans="1:2">
      <c r="A3737">
        <v>217.2</v>
      </c>
      <c r="B3737">
        <v>277.8</v>
      </c>
    </row>
    <row r="3738" spans="1:2">
      <c r="A3738">
        <v>219.2</v>
      </c>
      <c r="B3738">
        <v>270</v>
      </c>
    </row>
    <row r="3739" spans="1:2">
      <c r="A3739">
        <v>217.3</v>
      </c>
      <c r="B3739">
        <v>268.7</v>
      </c>
    </row>
    <row r="3740" spans="1:2">
      <c r="A3740">
        <v>217.3</v>
      </c>
      <c r="B3740">
        <v>265</v>
      </c>
    </row>
    <row r="3741" spans="1:2">
      <c r="A3741">
        <v>220.2</v>
      </c>
      <c r="B3741">
        <v>263.60000000000002</v>
      </c>
    </row>
    <row r="3742" spans="1:2">
      <c r="A3742">
        <v>218.2</v>
      </c>
      <c r="B3742">
        <v>261.60000000000002</v>
      </c>
    </row>
    <row r="3743" spans="1:2">
      <c r="A3743">
        <v>219.6</v>
      </c>
      <c r="B3743">
        <v>260.60000000000002</v>
      </c>
    </row>
    <row r="3744" spans="1:2">
      <c r="A3744">
        <v>214.8</v>
      </c>
      <c r="B3744">
        <v>260.60000000000002</v>
      </c>
    </row>
    <row r="3745" spans="1:2">
      <c r="A3745">
        <v>211.7</v>
      </c>
      <c r="B3745">
        <v>264.60000000000002</v>
      </c>
    </row>
    <row r="3746" spans="1:2">
      <c r="A3746">
        <v>209.4</v>
      </c>
      <c r="B3746">
        <v>263.60000000000002</v>
      </c>
    </row>
    <row r="3747" spans="1:2">
      <c r="A3747">
        <v>207.8</v>
      </c>
      <c r="B3747">
        <v>265.60000000000002</v>
      </c>
    </row>
    <row r="3748" spans="1:2">
      <c r="A3748">
        <v>204</v>
      </c>
      <c r="B3748">
        <v>262.3</v>
      </c>
    </row>
    <row r="3749" spans="1:2">
      <c r="A3749">
        <v>204.2</v>
      </c>
      <c r="B3749">
        <v>257.5</v>
      </c>
    </row>
    <row r="3750" spans="1:2">
      <c r="A3750">
        <v>199.6</v>
      </c>
      <c r="B3750">
        <v>257.89999999999998</v>
      </c>
    </row>
    <row r="3751" spans="1:2">
      <c r="A3751">
        <v>197.7</v>
      </c>
      <c r="B3751">
        <v>257.39999999999998</v>
      </c>
    </row>
    <row r="3752" spans="1:2">
      <c r="A3752">
        <v>198.5</v>
      </c>
      <c r="B3752">
        <v>255.4</v>
      </c>
    </row>
    <row r="3753" spans="1:2">
      <c r="A3753">
        <v>196</v>
      </c>
      <c r="B3753">
        <v>255.5</v>
      </c>
    </row>
    <row r="3754" spans="1:2">
      <c r="A3754">
        <v>196.3</v>
      </c>
      <c r="B3754">
        <v>257.2</v>
      </c>
    </row>
    <row r="3755" spans="1:2">
      <c r="A3755">
        <v>194.5</v>
      </c>
      <c r="B3755">
        <v>258.2</v>
      </c>
    </row>
    <row r="3756" spans="1:2">
      <c r="A3756">
        <v>193.7</v>
      </c>
      <c r="B3756">
        <v>256.2</v>
      </c>
    </row>
    <row r="3757" spans="1:2">
      <c r="A3757">
        <v>190.1</v>
      </c>
      <c r="B3757">
        <v>256.10000000000002</v>
      </c>
    </row>
    <row r="3758" spans="1:2">
      <c r="A3758">
        <v>189</v>
      </c>
      <c r="B3758">
        <v>261.10000000000002</v>
      </c>
    </row>
    <row r="3759" spans="1:2">
      <c r="A3759">
        <v>190.2</v>
      </c>
      <c r="B3759">
        <v>262.10000000000002</v>
      </c>
    </row>
    <row r="3760" spans="1:2">
      <c r="A3760">
        <v>189.1</v>
      </c>
      <c r="B3760">
        <v>263.10000000000002</v>
      </c>
    </row>
    <row r="3761" spans="1:2">
      <c r="A3761">
        <v>189.8</v>
      </c>
      <c r="B3761">
        <v>266.10000000000002</v>
      </c>
    </row>
    <row r="3762" spans="1:2">
      <c r="A3762">
        <v>188.5</v>
      </c>
      <c r="B3762">
        <v>267.60000000000002</v>
      </c>
    </row>
    <row r="3763" spans="1:2">
      <c r="A3763">
        <v>185.1</v>
      </c>
      <c r="B3763">
        <v>267.7</v>
      </c>
    </row>
    <row r="3764" spans="1:2">
      <c r="A3764">
        <v>186.1</v>
      </c>
      <c r="B3764">
        <v>275.60000000000002</v>
      </c>
    </row>
    <row r="3765" spans="1:2">
      <c r="A3765">
        <v>187.6</v>
      </c>
      <c r="B3765">
        <v>277.60000000000002</v>
      </c>
    </row>
    <row r="3766" spans="1:2">
      <c r="A3766">
        <v>189.3</v>
      </c>
      <c r="B3766">
        <v>277.10000000000002</v>
      </c>
    </row>
    <row r="3767" spans="1:2">
      <c r="A3767">
        <v>190.1</v>
      </c>
      <c r="B3767">
        <v>279.39999999999998</v>
      </c>
    </row>
    <row r="3768" spans="1:2">
      <c r="A3768">
        <v>194.9</v>
      </c>
      <c r="B3768">
        <v>279</v>
      </c>
    </row>
    <row r="3769" spans="1:2">
      <c r="A3769">
        <v>196.1</v>
      </c>
      <c r="B3769">
        <v>281</v>
      </c>
    </row>
    <row r="3770" spans="1:2">
      <c r="A3770">
        <v>194.9</v>
      </c>
      <c r="B3770">
        <v>283.3</v>
      </c>
    </row>
    <row r="3771" spans="1:2">
      <c r="A3771">
        <v>198.4</v>
      </c>
      <c r="B3771">
        <v>284.2</v>
      </c>
    </row>
    <row r="3772" spans="1:2">
      <c r="A3772">
        <v>199.7</v>
      </c>
      <c r="B3772">
        <v>285.7</v>
      </c>
    </row>
    <row r="3773" spans="1:2">
      <c r="A3773">
        <v>198.9</v>
      </c>
      <c r="B3773">
        <v>287.5</v>
      </c>
    </row>
    <row r="3774" spans="1:2">
      <c r="A3774">
        <v>199.8</v>
      </c>
      <c r="B3774">
        <v>286.89999999999998</v>
      </c>
    </row>
    <row r="3776" spans="1:2">
      <c r="A3776">
        <v>247.2</v>
      </c>
      <c r="B3776">
        <v>265</v>
      </c>
    </row>
    <row r="3777" spans="1:2">
      <c r="A3777">
        <v>253.1</v>
      </c>
      <c r="B3777">
        <v>263.3</v>
      </c>
    </row>
    <row r="3778" spans="1:2">
      <c r="A3778">
        <v>256.10000000000002</v>
      </c>
      <c r="B3778">
        <v>259.10000000000002</v>
      </c>
    </row>
    <row r="3779" spans="1:2">
      <c r="A3779">
        <v>255</v>
      </c>
      <c r="B3779">
        <v>257.39999999999998</v>
      </c>
    </row>
    <row r="3780" spans="1:2">
      <c r="A3780">
        <v>257.7</v>
      </c>
      <c r="B3780">
        <v>256.10000000000002</v>
      </c>
    </row>
    <row r="3781" spans="1:2">
      <c r="A3781">
        <v>260.8</v>
      </c>
      <c r="B3781">
        <v>259.8</v>
      </c>
    </row>
    <row r="3782" spans="1:2">
      <c r="A3782">
        <v>260.10000000000002</v>
      </c>
      <c r="B3782">
        <v>264.60000000000002</v>
      </c>
    </row>
    <row r="3783" spans="1:2">
      <c r="A3783">
        <v>261.60000000000002</v>
      </c>
      <c r="B3783">
        <v>265.39999999999998</v>
      </c>
    </row>
    <row r="3784" spans="1:2">
      <c r="A3784">
        <v>265</v>
      </c>
      <c r="B3784">
        <v>263.5</v>
      </c>
    </row>
    <row r="3785" spans="1:2">
      <c r="A3785">
        <v>267.10000000000002</v>
      </c>
      <c r="B3785">
        <v>258.2</v>
      </c>
    </row>
    <row r="3786" spans="1:2">
      <c r="A3786">
        <v>265.7</v>
      </c>
      <c r="B3786">
        <v>255.2</v>
      </c>
    </row>
    <row r="3787" spans="1:2">
      <c r="A3787">
        <v>269</v>
      </c>
      <c r="B3787">
        <v>253.7</v>
      </c>
    </row>
    <row r="3788" spans="1:2">
      <c r="A3788">
        <v>263.39999999999998</v>
      </c>
      <c r="B3788">
        <v>245.1</v>
      </c>
    </row>
    <row r="3789" spans="1:2">
      <c r="A3789">
        <v>264.3</v>
      </c>
      <c r="B3789">
        <v>241.5</v>
      </c>
    </row>
    <row r="3790" spans="1:2">
      <c r="A3790">
        <v>260.5</v>
      </c>
      <c r="B3790">
        <v>238.9</v>
      </c>
    </row>
    <row r="3791" spans="1:2">
      <c r="A3791">
        <v>251.2</v>
      </c>
      <c r="B3791">
        <v>245</v>
      </c>
    </row>
    <row r="3792" spans="1:2">
      <c r="A3792">
        <v>247.7</v>
      </c>
      <c r="B3792">
        <v>244.2</v>
      </c>
    </row>
    <row r="3793" spans="1:2">
      <c r="A3793">
        <v>243.6</v>
      </c>
      <c r="B3793">
        <v>238.2</v>
      </c>
    </row>
    <row r="3794" spans="1:2">
      <c r="A3794">
        <v>241</v>
      </c>
      <c r="B3794">
        <v>240.4</v>
      </c>
    </row>
    <row r="3795" spans="1:2">
      <c r="A3795">
        <v>237</v>
      </c>
      <c r="B3795">
        <v>238.4</v>
      </c>
    </row>
    <row r="3796" spans="1:2">
      <c r="A3796">
        <v>232.5</v>
      </c>
      <c r="B3796">
        <v>239.3</v>
      </c>
    </row>
    <row r="3797" spans="1:2">
      <c r="A3797">
        <v>230.3</v>
      </c>
      <c r="B3797">
        <v>241.6</v>
      </c>
    </row>
    <row r="3798" spans="1:2">
      <c r="A3798">
        <v>228.4</v>
      </c>
      <c r="B3798">
        <v>239.6</v>
      </c>
    </row>
    <row r="3799" spans="1:2">
      <c r="A3799">
        <v>226.4</v>
      </c>
      <c r="B3799">
        <v>240.4</v>
      </c>
    </row>
    <row r="3800" spans="1:2">
      <c r="A3800">
        <v>226.5</v>
      </c>
      <c r="B3800">
        <v>243.2</v>
      </c>
    </row>
    <row r="3801" spans="1:2">
      <c r="A3801">
        <v>229.8</v>
      </c>
      <c r="B3801">
        <v>248.6</v>
      </c>
    </row>
    <row r="3802" spans="1:2">
      <c r="A3802">
        <v>231.6</v>
      </c>
      <c r="B3802">
        <v>248.7</v>
      </c>
    </row>
    <row r="3803" spans="1:2">
      <c r="A3803">
        <v>232.8</v>
      </c>
      <c r="B3803">
        <v>251.7</v>
      </c>
    </row>
    <row r="3804" spans="1:2">
      <c r="A3804">
        <v>235.5</v>
      </c>
      <c r="B3804">
        <v>251.6</v>
      </c>
    </row>
    <row r="3805" spans="1:2">
      <c r="A3805">
        <v>237.5</v>
      </c>
      <c r="B3805">
        <v>255.6</v>
      </c>
    </row>
    <row r="3806" spans="1:2">
      <c r="A3806">
        <v>237.3</v>
      </c>
      <c r="B3806">
        <v>259.10000000000002</v>
      </c>
    </row>
    <row r="3807" spans="1:2">
      <c r="A3807">
        <v>241.2</v>
      </c>
      <c r="B3807">
        <v>259.7</v>
      </c>
    </row>
    <row r="3808" spans="1:2">
      <c r="A3808">
        <v>239.3</v>
      </c>
      <c r="B3808">
        <v>265.39999999999998</v>
      </c>
    </row>
    <row r="3809" spans="1:2">
      <c r="A3809">
        <v>244.9</v>
      </c>
      <c r="B3809">
        <v>264.7</v>
      </c>
    </row>
    <row r="3810" spans="1:2">
      <c r="A3810">
        <v>245.9</v>
      </c>
      <c r="B3810">
        <v>266.2</v>
      </c>
    </row>
    <row r="3811" spans="1:2">
      <c r="A3811">
        <v>247.2</v>
      </c>
      <c r="B3811">
        <v>265</v>
      </c>
    </row>
    <row r="3813" spans="1:2">
      <c r="A3813">
        <v>196.4</v>
      </c>
      <c r="B3813">
        <v>304.8</v>
      </c>
    </row>
    <row r="3814" spans="1:2">
      <c r="A3814">
        <v>202.1</v>
      </c>
      <c r="B3814">
        <v>303.2</v>
      </c>
    </row>
    <row r="3815" spans="1:2">
      <c r="A3815">
        <v>206.2</v>
      </c>
      <c r="B3815">
        <v>304.60000000000002</v>
      </c>
    </row>
    <row r="3816" spans="1:2">
      <c r="A3816">
        <v>206.7</v>
      </c>
      <c r="B3816">
        <v>303.10000000000002</v>
      </c>
    </row>
    <row r="3817" spans="1:2">
      <c r="A3817">
        <v>209.7</v>
      </c>
      <c r="B3817">
        <v>301.8</v>
      </c>
    </row>
    <row r="3818" spans="1:2">
      <c r="A3818">
        <v>210.8</v>
      </c>
      <c r="B3818">
        <v>297.10000000000002</v>
      </c>
    </row>
    <row r="3819" spans="1:2">
      <c r="A3819">
        <v>209.8</v>
      </c>
      <c r="B3819">
        <v>293.7</v>
      </c>
    </row>
    <row r="3820" spans="1:2">
      <c r="A3820">
        <v>215.6</v>
      </c>
      <c r="B3820">
        <v>291.10000000000002</v>
      </c>
    </row>
    <row r="3821" spans="1:2">
      <c r="A3821">
        <v>216.5</v>
      </c>
      <c r="B3821">
        <v>289.39999999999998</v>
      </c>
    </row>
    <row r="3822" spans="1:2">
      <c r="A3822">
        <v>214.4</v>
      </c>
      <c r="B3822">
        <v>287.3</v>
      </c>
    </row>
    <row r="3823" spans="1:2">
      <c r="A3823">
        <v>217.6</v>
      </c>
      <c r="B3823">
        <v>284</v>
      </c>
    </row>
    <row r="3824" spans="1:2">
      <c r="A3824">
        <v>215.4</v>
      </c>
      <c r="B3824">
        <v>281.7</v>
      </c>
    </row>
    <row r="3825" spans="1:2">
      <c r="A3825">
        <v>215.3</v>
      </c>
      <c r="B3825">
        <v>278</v>
      </c>
    </row>
    <row r="3826" spans="1:2">
      <c r="A3826">
        <v>212.1</v>
      </c>
      <c r="B3826">
        <v>277.8</v>
      </c>
    </row>
    <row r="3827" spans="1:2">
      <c r="A3827">
        <v>208.4</v>
      </c>
      <c r="B3827">
        <v>282.8</v>
      </c>
    </row>
    <row r="3828" spans="1:2">
      <c r="A3828">
        <v>204.4</v>
      </c>
      <c r="B3828">
        <v>283.39999999999998</v>
      </c>
    </row>
    <row r="3829" spans="1:2">
      <c r="A3829">
        <v>202.6</v>
      </c>
      <c r="B3829">
        <v>286.10000000000002</v>
      </c>
    </row>
    <row r="3830" spans="1:2">
      <c r="A3830">
        <v>199.5</v>
      </c>
      <c r="B3830">
        <v>287.5</v>
      </c>
    </row>
    <row r="3831" spans="1:2">
      <c r="A3831">
        <v>198.4</v>
      </c>
      <c r="B3831">
        <v>284.2</v>
      </c>
    </row>
    <row r="3832" spans="1:2">
      <c r="A3832">
        <v>193.6</v>
      </c>
      <c r="B3832">
        <v>282.89999999999998</v>
      </c>
    </row>
    <row r="3833" spans="1:2">
      <c r="A3833">
        <v>193.1</v>
      </c>
      <c r="B3833">
        <v>286.10000000000002</v>
      </c>
    </row>
    <row r="3834" spans="1:2">
      <c r="A3834">
        <v>191</v>
      </c>
      <c r="B3834">
        <v>286.8</v>
      </c>
    </row>
    <row r="3835" spans="1:2">
      <c r="A3835">
        <v>189.3</v>
      </c>
      <c r="B3835">
        <v>291.7</v>
      </c>
    </row>
    <row r="3836" spans="1:2">
      <c r="A3836">
        <v>183.6</v>
      </c>
      <c r="B3836">
        <v>293.39999999999998</v>
      </c>
    </row>
    <row r="3837" spans="1:2">
      <c r="A3837">
        <v>181.7</v>
      </c>
      <c r="B3837">
        <v>299.60000000000002</v>
      </c>
    </row>
    <row r="3838" spans="1:2">
      <c r="A3838">
        <v>191.7</v>
      </c>
      <c r="B3838">
        <v>300.39999999999998</v>
      </c>
    </row>
    <row r="3839" spans="1:2">
      <c r="A3839">
        <v>191.7</v>
      </c>
      <c r="B3839">
        <v>302.39999999999998</v>
      </c>
    </row>
    <row r="3840" spans="1:2">
      <c r="A3840">
        <v>196.4</v>
      </c>
      <c r="B3840">
        <v>304.8</v>
      </c>
    </row>
    <row r="3842" spans="1:2">
      <c r="A3842">
        <v>212.5</v>
      </c>
      <c r="B3842">
        <v>298.7</v>
      </c>
    </row>
    <row r="3843" spans="1:2">
      <c r="A3843">
        <v>215.1</v>
      </c>
      <c r="B3843">
        <v>296.2</v>
      </c>
    </row>
    <row r="3844" spans="1:2">
      <c r="A3844">
        <v>215.7</v>
      </c>
      <c r="B3844">
        <v>291</v>
      </c>
    </row>
    <row r="3845" spans="1:2">
      <c r="A3845">
        <v>209.8</v>
      </c>
      <c r="B3845">
        <v>293.7</v>
      </c>
    </row>
    <row r="3846" spans="1:2">
      <c r="A3846">
        <v>210.6</v>
      </c>
      <c r="B3846">
        <v>299.2</v>
      </c>
    </row>
    <row r="3847" spans="1:2">
      <c r="A3847">
        <v>212.5</v>
      </c>
      <c r="B3847">
        <v>298.7</v>
      </c>
    </row>
    <row r="3849" spans="1:2">
      <c r="A3849">
        <v>218.1</v>
      </c>
      <c r="B3849">
        <v>272.7</v>
      </c>
    </row>
    <row r="3850" spans="1:2">
      <c r="A3850">
        <v>215.4</v>
      </c>
      <c r="B3850">
        <v>281.7</v>
      </c>
    </row>
    <row r="3851" spans="1:2">
      <c r="A3851">
        <v>219</v>
      </c>
      <c r="B3851">
        <v>286.89999999999998</v>
      </c>
    </row>
    <row r="3852" spans="1:2">
      <c r="A3852">
        <v>222.8</v>
      </c>
      <c r="B3852">
        <v>287.60000000000002</v>
      </c>
    </row>
    <row r="3853" spans="1:2">
      <c r="A3853">
        <v>224.2</v>
      </c>
      <c r="B3853">
        <v>290.2</v>
      </c>
    </row>
    <row r="3854" spans="1:2">
      <c r="A3854">
        <v>227.4</v>
      </c>
      <c r="B3854">
        <v>289.3</v>
      </c>
    </row>
    <row r="3855" spans="1:2">
      <c r="A3855">
        <v>230.5</v>
      </c>
      <c r="B3855">
        <v>294.39999999999998</v>
      </c>
    </row>
    <row r="3856" spans="1:2">
      <c r="A3856">
        <v>228.4</v>
      </c>
      <c r="B3856">
        <v>294.8</v>
      </c>
    </row>
    <row r="3857" spans="1:2">
      <c r="A3857">
        <v>227.2</v>
      </c>
      <c r="B3857">
        <v>298.5</v>
      </c>
    </row>
    <row r="3858" spans="1:2">
      <c r="A3858">
        <v>224.7</v>
      </c>
      <c r="B3858">
        <v>297.8</v>
      </c>
    </row>
    <row r="3859" spans="1:2">
      <c r="A3859">
        <v>222</v>
      </c>
      <c r="B3859">
        <v>303</v>
      </c>
    </row>
    <row r="3860" spans="1:2">
      <c r="A3860">
        <v>214.3</v>
      </c>
      <c r="B3860">
        <v>302</v>
      </c>
    </row>
    <row r="3861" spans="1:2">
      <c r="A3861">
        <v>212.5</v>
      </c>
      <c r="B3861">
        <v>304.7</v>
      </c>
    </row>
    <row r="3862" spans="1:2">
      <c r="A3862">
        <v>213.7</v>
      </c>
      <c r="B3862">
        <v>305.60000000000002</v>
      </c>
    </row>
    <row r="3863" spans="1:2">
      <c r="A3863">
        <v>215.8</v>
      </c>
      <c r="B3863">
        <v>304.5</v>
      </c>
    </row>
    <row r="3864" spans="1:2">
      <c r="A3864">
        <v>218.1</v>
      </c>
      <c r="B3864">
        <v>306.2</v>
      </c>
    </row>
    <row r="3865" spans="1:2">
      <c r="A3865">
        <v>219.4</v>
      </c>
      <c r="B3865">
        <v>313.2</v>
      </c>
    </row>
    <row r="3866" spans="1:2">
      <c r="A3866">
        <v>221</v>
      </c>
      <c r="B3866">
        <v>314.2</v>
      </c>
    </row>
    <row r="3867" spans="1:2">
      <c r="A3867">
        <v>220.2</v>
      </c>
      <c r="B3867">
        <v>317</v>
      </c>
    </row>
    <row r="3868" spans="1:2">
      <c r="A3868">
        <v>222.2</v>
      </c>
      <c r="B3868">
        <v>319.8</v>
      </c>
    </row>
    <row r="3869" spans="1:2">
      <c r="A3869">
        <v>222</v>
      </c>
      <c r="B3869">
        <v>323</v>
      </c>
    </row>
    <row r="3870" spans="1:2">
      <c r="A3870">
        <v>226</v>
      </c>
      <c r="B3870">
        <v>323.89999999999998</v>
      </c>
    </row>
    <row r="3871" spans="1:2">
      <c r="A3871">
        <v>227.3</v>
      </c>
      <c r="B3871">
        <v>322.89999999999998</v>
      </c>
    </row>
    <row r="3872" spans="1:2">
      <c r="A3872">
        <v>228.5</v>
      </c>
      <c r="B3872">
        <v>324.5</v>
      </c>
    </row>
    <row r="3873" spans="1:2">
      <c r="A3873">
        <v>231.8</v>
      </c>
      <c r="B3873">
        <v>322.60000000000002</v>
      </c>
    </row>
    <row r="3874" spans="1:2">
      <c r="A3874">
        <v>232.1</v>
      </c>
      <c r="B3874">
        <v>325.89999999999998</v>
      </c>
    </row>
    <row r="3875" spans="1:2">
      <c r="A3875">
        <v>234</v>
      </c>
      <c r="B3875">
        <v>325.3</v>
      </c>
    </row>
    <row r="3876" spans="1:2">
      <c r="A3876">
        <v>239.6</v>
      </c>
      <c r="B3876">
        <v>327.8</v>
      </c>
    </row>
    <row r="3877" spans="1:2">
      <c r="A3877">
        <v>243.1</v>
      </c>
      <c r="B3877">
        <v>317</v>
      </c>
    </row>
    <row r="3878" spans="1:2">
      <c r="A3878">
        <v>241.5</v>
      </c>
      <c r="B3878">
        <v>314.89999999999998</v>
      </c>
    </row>
    <row r="3879" spans="1:2">
      <c r="A3879">
        <v>241.9</v>
      </c>
      <c r="B3879">
        <v>312.7</v>
      </c>
    </row>
    <row r="3880" spans="1:2">
      <c r="A3880">
        <v>240</v>
      </c>
      <c r="B3880">
        <v>311.39999999999998</v>
      </c>
    </row>
    <row r="3881" spans="1:2">
      <c r="A3881">
        <v>241</v>
      </c>
      <c r="B3881">
        <v>304.3</v>
      </c>
    </row>
    <row r="3882" spans="1:2">
      <c r="A3882">
        <v>239.1</v>
      </c>
      <c r="B3882">
        <v>303.7</v>
      </c>
    </row>
    <row r="3883" spans="1:2">
      <c r="A3883">
        <v>239.2</v>
      </c>
      <c r="B3883">
        <v>300</v>
      </c>
    </row>
    <row r="3884" spans="1:2">
      <c r="A3884">
        <v>236</v>
      </c>
      <c r="B3884">
        <v>293.89999999999998</v>
      </c>
    </row>
    <row r="3885" spans="1:2">
      <c r="A3885">
        <v>236.5</v>
      </c>
      <c r="B3885">
        <v>292.10000000000002</v>
      </c>
    </row>
    <row r="3886" spans="1:2">
      <c r="A3886">
        <v>234</v>
      </c>
      <c r="B3886">
        <v>291</v>
      </c>
    </row>
    <row r="3887" spans="1:2">
      <c r="A3887">
        <v>231.4</v>
      </c>
      <c r="B3887">
        <v>287.3</v>
      </c>
    </row>
    <row r="3888" spans="1:2">
      <c r="A3888">
        <v>232.7</v>
      </c>
      <c r="B3888">
        <v>280.5</v>
      </c>
    </row>
    <row r="3889" spans="1:2">
      <c r="A3889">
        <v>231</v>
      </c>
      <c r="B3889">
        <v>280.10000000000002</v>
      </c>
    </row>
    <row r="3890" spans="1:2">
      <c r="A3890">
        <v>225.5</v>
      </c>
      <c r="B3890">
        <v>285.3</v>
      </c>
    </row>
    <row r="3891" spans="1:2">
      <c r="A3891">
        <v>222.2</v>
      </c>
      <c r="B3891">
        <v>283.3</v>
      </c>
    </row>
    <row r="3892" spans="1:2">
      <c r="A3892">
        <v>221</v>
      </c>
      <c r="B3892">
        <v>280.3</v>
      </c>
    </row>
    <row r="3893" spans="1:2">
      <c r="A3893">
        <v>221.6</v>
      </c>
      <c r="B3893">
        <v>274.8</v>
      </c>
    </row>
    <row r="3894" spans="1:2">
      <c r="A3894">
        <v>218.1</v>
      </c>
      <c r="B3894">
        <v>272.7</v>
      </c>
    </row>
    <row r="3896" spans="1:2">
      <c r="A3896">
        <v>248.1</v>
      </c>
      <c r="B3896">
        <v>315.2</v>
      </c>
    </row>
    <row r="3897" spans="1:2">
      <c r="A3897">
        <v>250</v>
      </c>
      <c r="B3897">
        <v>311.8</v>
      </c>
    </row>
    <row r="3898" spans="1:2">
      <c r="A3898">
        <v>257</v>
      </c>
      <c r="B3898">
        <v>311.3</v>
      </c>
    </row>
    <row r="3899" spans="1:2">
      <c r="A3899">
        <v>258.5</v>
      </c>
      <c r="B3899">
        <v>305.39999999999998</v>
      </c>
    </row>
    <row r="3900" spans="1:2">
      <c r="A3900">
        <v>261.2</v>
      </c>
      <c r="B3900">
        <v>302.60000000000002</v>
      </c>
    </row>
    <row r="3901" spans="1:2">
      <c r="A3901">
        <v>260.3</v>
      </c>
      <c r="B3901">
        <v>300.60000000000002</v>
      </c>
    </row>
    <row r="3902" spans="1:2">
      <c r="A3902">
        <v>262.8</v>
      </c>
      <c r="B3902">
        <v>300.7</v>
      </c>
    </row>
    <row r="3903" spans="1:2">
      <c r="A3903">
        <v>264.7</v>
      </c>
      <c r="B3903">
        <v>297.10000000000002</v>
      </c>
    </row>
    <row r="3904" spans="1:2">
      <c r="A3904">
        <v>260.7</v>
      </c>
      <c r="B3904">
        <v>291.39999999999998</v>
      </c>
    </row>
    <row r="3905" spans="1:2">
      <c r="A3905">
        <v>255.5</v>
      </c>
      <c r="B3905">
        <v>293.2</v>
      </c>
    </row>
    <row r="3906" spans="1:2">
      <c r="A3906">
        <v>254.7</v>
      </c>
      <c r="B3906">
        <v>289.60000000000002</v>
      </c>
    </row>
    <row r="3907" spans="1:2">
      <c r="A3907">
        <v>255.7</v>
      </c>
      <c r="B3907">
        <v>287.10000000000002</v>
      </c>
    </row>
    <row r="3908" spans="1:2">
      <c r="A3908">
        <v>251.7</v>
      </c>
      <c r="B3908">
        <v>283.2</v>
      </c>
    </row>
    <row r="3909" spans="1:2">
      <c r="A3909">
        <v>250.2</v>
      </c>
      <c r="B3909">
        <v>278.3</v>
      </c>
    </row>
    <row r="3910" spans="1:2">
      <c r="A3910">
        <v>251.8</v>
      </c>
      <c r="B3910">
        <v>276.7</v>
      </c>
    </row>
    <row r="3911" spans="1:2">
      <c r="A3911">
        <v>251</v>
      </c>
      <c r="B3911">
        <v>272.7</v>
      </c>
    </row>
    <row r="3912" spans="1:2">
      <c r="A3912">
        <v>249.7</v>
      </c>
      <c r="B3912">
        <v>272.39999999999998</v>
      </c>
    </row>
    <row r="3913" spans="1:2">
      <c r="A3913">
        <v>243</v>
      </c>
      <c r="B3913">
        <v>277.39999999999998</v>
      </c>
    </row>
    <row r="3914" spans="1:2">
      <c r="A3914">
        <v>238.7</v>
      </c>
      <c r="B3914">
        <v>277</v>
      </c>
    </row>
    <row r="3915" spans="1:2">
      <c r="A3915">
        <v>235.2</v>
      </c>
      <c r="B3915">
        <v>279.8</v>
      </c>
    </row>
    <row r="3916" spans="1:2">
      <c r="A3916">
        <v>235.7</v>
      </c>
      <c r="B3916">
        <v>283.10000000000002</v>
      </c>
    </row>
    <row r="3917" spans="1:2">
      <c r="A3917">
        <v>233.2</v>
      </c>
      <c r="B3917">
        <v>288.2</v>
      </c>
    </row>
    <row r="3918" spans="1:2">
      <c r="A3918">
        <v>234</v>
      </c>
      <c r="B3918">
        <v>291</v>
      </c>
    </row>
    <row r="3919" spans="1:2">
      <c r="A3919">
        <v>236.5</v>
      </c>
      <c r="B3919">
        <v>292.10000000000002</v>
      </c>
    </row>
    <row r="3920" spans="1:2">
      <c r="A3920">
        <v>236</v>
      </c>
      <c r="B3920">
        <v>293.89999999999998</v>
      </c>
    </row>
    <row r="3921" spans="1:2">
      <c r="A3921">
        <v>239.2</v>
      </c>
      <c r="B3921">
        <v>300</v>
      </c>
    </row>
    <row r="3922" spans="1:2">
      <c r="A3922">
        <v>239.1</v>
      </c>
      <c r="B3922">
        <v>303.7</v>
      </c>
    </row>
    <row r="3923" spans="1:2">
      <c r="A3923">
        <v>241</v>
      </c>
      <c r="B3923">
        <v>304.3</v>
      </c>
    </row>
    <row r="3924" spans="1:2">
      <c r="A3924">
        <v>239.9</v>
      </c>
      <c r="B3924">
        <v>311.2</v>
      </c>
    </row>
    <row r="3925" spans="1:2">
      <c r="A3925">
        <v>241.9</v>
      </c>
      <c r="B3925">
        <v>312.7</v>
      </c>
    </row>
    <row r="3926" spans="1:2">
      <c r="A3926">
        <v>241.9</v>
      </c>
      <c r="B3926">
        <v>315.60000000000002</v>
      </c>
    </row>
    <row r="3927" spans="1:2">
      <c r="A3927">
        <v>245.1</v>
      </c>
      <c r="B3927">
        <v>314.60000000000002</v>
      </c>
    </row>
    <row r="3928" spans="1:2">
      <c r="A3928">
        <v>248</v>
      </c>
      <c r="B3928">
        <v>316.8</v>
      </c>
    </row>
    <row r="3929" spans="1:2">
      <c r="A3929">
        <v>248.1</v>
      </c>
      <c r="B3929">
        <v>315.2</v>
      </c>
    </row>
    <row r="3931" spans="1:2">
      <c r="A3931">
        <v>266.39999999999998</v>
      </c>
      <c r="B3931">
        <v>320.89999999999998</v>
      </c>
    </row>
    <row r="3932" spans="1:2">
      <c r="A3932">
        <v>267.8</v>
      </c>
      <c r="B3932">
        <v>317.8</v>
      </c>
    </row>
    <row r="3933" spans="1:2">
      <c r="A3933">
        <v>270.3</v>
      </c>
      <c r="B3933">
        <v>320.39999999999998</v>
      </c>
    </row>
    <row r="3934" spans="1:2">
      <c r="A3934">
        <v>271.39999999999998</v>
      </c>
      <c r="B3934">
        <v>317.5</v>
      </c>
    </row>
    <row r="3935" spans="1:2">
      <c r="A3935">
        <v>276.60000000000002</v>
      </c>
      <c r="B3935">
        <v>316.39999999999998</v>
      </c>
    </row>
    <row r="3936" spans="1:2">
      <c r="A3936">
        <v>276.89999999999998</v>
      </c>
      <c r="B3936">
        <v>315</v>
      </c>
    </row>
    <row r="3937" spans="1:2">
      <c r="A3937">
        <v>284.60000000000002</v>
      </c>
      <c r="B3937">
        <v>317.89999999999998</v>
      </c>
    </row>
    <row r="3938" spans="1:2">
      <c r="A3938">
        <v>286.7</v>
      </c>
      <c r="B3938">
        <v>316.10000000000002</v>
      </c>
    </row>
    <row r="3939" spans="1:2">
      <c r="A3939">
        <v>286.60000000000002</v>
      </c>
      <c r="B3939">
        <v>313.3</v>
      </c>
    </row>
    <row r="3940" spans="1:2">
      <c r="A3940">
        <v>289.7</v>
      </c>
      <c r="B3940">
        <v>308.2</v>
      </c>
    </row>
    <row r="3941" spans="1:2">
      <c r="A3941">
        <v>287.2</v>
      </c>
      <c r="B3941">
        <v>306</v>
      </c>
    </row>
    <row r="3942" spans="1:2">
      <c r="A3942">
        <v>287.39999999999998</v>
      </c>
      <c r="B3942">
        <v>303.89999999999998</v>
      </c>
    </row>
    <row r="3943" spans="1:2">
      <c r="A3943">
        <v>285.2</v>
      </c>
      <c r="B3943">
        <v>303.5</v>
      </c>
    </row>
    <row r="3944" spans="1:2">
      <c r="A3944">
        <v>283.7</v>
      </c>
      <c r="B3944">
        <v>299.2</v>
      </c>
    </row>
    <row r="3945" spans="1:2">
      <c r="A3945">
        <v>277.3</v>
      </c>
      <c r="B3945">
        <v>296.2</v>
      </c>
    </row>
    <row r="3946" spans="1:2">
      <c r="A3946">
        <v>275.10000000000002</v>
      </c>
      <c r="B3946">
        <v>296.8</v>
      </c>
    </row>
    <row r="3947" spans="1:2">
      <c r="A3947">
        <v>272.89999999999998</v>
      </c>
      <c r="B3947">
        <v>291.7</v>
      </c>
    </row>
    <row r="3948" spans="1:2">
      <c r="A3948">
        <v>271.2</v>
      </c>
      <c r="B3948">
        <v>290.7</v>
      </c>
    </row>
    <row r="3949" spans="1:2">
      <c r="A3949">
        <v>268.10000000000002</v>
      </c>
      <c r="B3949">
        <v>294</v>
      </c>
    </row>
    <row r="3950" spans="1:2">
      <c r="A3950">
        <v>264.7</v>
      </c>
      <c r="B3950">
        <v>294.10000000000002</v>
      </c>
    </row>
    <row r="3951" spans="1:2">
      <c r="A3951">
        <v>264</v>
      </c>
      <c r="B3951">
        <v>298.39999999999998</v>
      </c>
    </row>
    <row r="3952" spans="1:2">
      <c r="A3952">
        <v>262.60000000000002</v>
      </c>
      <c r="B3952">
        <v>300.8</v>
      </c>
    </row>
    <row r="3953" spans="1:2">
      <c r="A3953">
        <v>260.3</v>
      </c>
      <c r="B3953">
        <v>300.60000000000002</v>
      </c>
    </row>
    <row r="3954" spans="1:2">
      <c r="A3954">
        <v>261.2</v>
      </c>
      <c r="B3954">
        <v>302.60000000000002</v>
      </c>
    </row>
    <row r="3955" spans="1:2">
      <c r="A3955">
        <v>258.5</v>
      </c>
      <c r="B3955">
        <v>305.39999999999998</v>
      </c>
    </row>
    <row r="3956" spans="1:2">
      <c r="A3956">
        <v>258.60000000000002</v>
      </c>
      <c r="B3956">
        <v>307.89999999999998</v>
      </c>
    </row>
    <row r="3957" spans="1:2">
      <c r="A3957">
        <v>255.9</v>
      </c>
      <c r="B3957">
        <v>312</v>
      </c>
    </row>
    <row r="3958" spans="1:2">
      <c r="A3958">
        <v>257.2</v>
      </c>
      <c r="B3958">
        <v>314.89999999999998</v>
      </c>
    </row>
    <row r="3959" spans="1:2">
      <c r="A3959">
        <v>256.5</v>
      </c>
      <c r="B3959">
        <v>318.10000000000002</v>
      </c>
    </row>
    <row r="3960" spans="1:2">
      <c r="A3960">
        <v>261.60000000000002</v>
      </c>
      <c r="B3960">
        <v>316.5</v>
      </c>
    </row>
    <row r="3961" spans="1:2">
      <c r="A3961">
        <v>263.7</v>
      </c>
      <c r="B3961">
        <v>313.7</v>
      </c>
    </row>
    <row r="3962" spans="1:2">
      <c r="A3962">
        <v>263.39999999999998</v>
      </c>
      <c r="B3962">
        <v>316.39999999999998</v>
      </c>
    </row>
    <row r="3963" spans="1:2">
      <c r="A3963">
        <v>266</v>
      </c>
      <c r="B3963">
        <v>317.10000000000002</v>
      </c>
    </row>
    <row r="3964" spans="1:2">
      <c r="A3964">
        <v>264.2</v>
      </c>
      <c r="B3964">
        <v>317.89999999999998</v>
      </c>
    </row>
    <row r="3965" spans="1:2">
      <c r="A3965">
        <v>264.3</v>
      </c>
      <c r="B3965">
        <v>320.60000000000002</v>
      </c>
    </row>
    <row r="3966" spans="1:2">
      <c r="A3966">
        <v>266.39999999999998</v>
      </c>
      <c r="B3966">
        <v>320.89999999999998</v>
      </c>
    </row>
    <row r="3968" spans="1:2">
      <c r="A3968">
        <v>264.7</v>
      </c>
      <c r="B3968">
        <v>294.10000000000002</v>
      </c>
    </row>
    <row r="3969" spans="1:2">
      <c r="A3969">
        <v>268.10000000000002</v>
      </c>
      <c r="B3969">
        <v>294</v>
      </c>
    </row>
    <row r="3970" spans="1:2">
      <c r="A3970">
        <v>271.2</v>
      </c>
      <c r="B3970">
        <v>290.7</v>
      </c>
    </row>
    <row r="3971" spans="1:2">
      <c r="A3971">
        <v>268.10000000000002</v>
      </c>
      <c r="B3971">
        <v>288.3</v>
      </c>
    </row>
    <row r="3972" spans="1:2">
      <c r="A3972">
        <v>267.8</v>
      </c>
      <c r="B3972">
        <v>282.3</v>
      </c>
    </row>
    <row r="3973" spans="1:2">
      <c r="A3973">
        <v>264.3</v>
      </c>
      <c r="B3973">
        <v>275.39999999999998</v>
      </c>
    </row>
    <row r="3974" spans="1:2">
      <c r="A3974">
        <v>265.60000000000002</v>
      </c>
      <c r="B3974">
        <v>272.39999999999998</v>
      </c>
    </row>
    <row r="3975" spans="1:2">
      <c r="A3975">
        <v>263.60000000000002</v>
      </c>
      <c r="B3975">
        <v>271.3</v>
      </c>
    </row>
    <row r="3976" spans="1:2">
      <c r="A3976">
        <v>263.5</v>
      </c>
      <c r="B3976">
        <v>268.60000000000002</v>
      </c>
    </row>
    <row r="3977" spans="1:2">
      <c r="A3977">
        <v>260.10000000000002</v>
      </c>
      <c r="B3977">
        <v>264.60000000000002</v>
      </c>
    </row>
    <row r="3978" spans="1:2">
      <c r="A3978">
        <v>260.8</v>
      </c>
      <c r="B3978">
        <v>259.8</v>
      </c>
    </row>
    <row r="3979" spans="1:2">
      <c r="A3979">
        <v>257.7</v>
      </c>
      <c r="B3979">
        <v>256.10000000000002</v>
      </c>
    </row>
    <row r="3980" spans="1:2">
      <c r="A3980">
        <v>255</v>
      </c>
      <c r="B3980">
        <v>257.39999999999998</v>
      </c>
    </row>
    <row r="3981" spans="1:2">
      <c r="A3981">
        <v>256.10000000000002</v>
      </c>
      <c r="B3981">
        <v>259.10000000000002</v>
      </c>
    </row>
    <row r="3982" spans="1:2">
      <c r="A3982">
        <v>252.7</v>
      </c>
      <c r="B3982">
        <v>263.5</v>
      </c>
    </row>
    <row r="3983" spans="1:2">
      <c r="A3983">
        <v>246</v>
      </c>
      <c r="B3983">
        <v>266.10000000000002</v>
      </c>
    </row>
    <row r="3984" spans="1:2">
      <c r="A3984">
        <v>243.6</v>
      </c>
      <c r="B3984">
        <v>264.60000000000002</v>
      </c>
    </row>
    <row r="3985" spans="1:2">
      <c r="A3985">
        <v>241.7</v>
      </c>
      <c r="B3985">
        <v>266.3</v>
      </c>
    </row>
    <row r="3986" spans="1:2">
      <c r="A3986">
        <v>243.2</v>
      </c>
      <c r="B3986">
        <v>267.8</v>
      </c>
    </row>
    <row r="3987" spans="1:2">
      <c r="A3987">
        <v>243.4</v>
      </c>
      <c r="B3987">
        <v>271.8</v>
      </c>
    </row>
    <row r="3988" spans="1:2">
      <c r="A3988">
        <v>251</v>
      </c>
      <c r="B3988">
        <v>272.7</v>
      </c>
    </row>
    <row r="3989" spans="1:2">
      <c r="A3989">
        <v>251.8</v>
      </c>
      <c r="B3989">
        <v>276.7</v>
      </c>
    </row>
    <row r="3990" spans="1:2">
      <c r="A3990">
        <v>250.2</v>
      </c>
      <c r="B3990">
        <v>278.5</v>
      </c>
    </row>
    <row r="3991" spans="1:2">
      <c r="A3991">
        <v>251.7</v>
      </c>
      <c r="B3991">
        <v>283.2</v>
      </c>
    </row>
    <row r="3992" spans="1:2">
      <c r="A3992">
        <v>255.7</v>
      </c>
      <c r="B3992">
        <v>287.10000000000002</v>
      </c>
    </row>
    <row r="3993" spans="1:2">
      <c r="A3993">
        <v>254.7</v>
      </c>
      <c r="B3993">
        <v>291.10000000000002</v>
      </c>
    </row>
    <row r="3994" spans="1:2">
      <c r="A3994">
        <v>255.6</v>
      </c>
      <c r="B3994">
        <v>293.3</v>
      </c>
    </row>
    <row r="3995" spans="1:2">
      <c r="A3995">
        <v>260.60000000000002</v>
      </c>
      <c r="B3995">
        <v>291.39999999999998</v>
      </c>
    </row>
    <row r="3996" spans="1:2">
      <c r="A3996">
        <v>264</v>
      </c>
      <c r="B3996">
        <v>296.2</v>
      </c>
    </row>
    <row r="3997" spans="1:2">
      <c r="A3997">
        <v>264.7</v>
      </c>
      <c r="B3997">
        <v>294.10000000000002</v>
      </c>
    </row>
    <row r="3999" spans="1:2">
      <c r="A3999">
        <v>233.8</v>
      </c>
      <c r="B3999">
        <v>289.60000000000002</v>
      </c>
    </row>
    <row r="4000" spans="1:2">
      <c r="A4000">
        <v>233.2</v>
      </c>
      <c r="B4000">
        <v>288</v>
      </c>
    </row>
    <row r="4001" spans="1:2">
      <c r="A4001">
        <v>235.7</v>
      </c>
      <c r="B4001">
        <v>283.10000000000002</v>
      </c>
    </row>
    <row r="4002" spans="1:2">
      <c r="A4002">
        <v>235.2</v>
      </c>
      <c r="B4002">
        <v>279.8</v>
      </c>
    </row>
    <row r="4003" spans="1:2">
      <c r="A4003">
        <v>238.7</v>
      </c>
      <c r="B4003">
        <v>277</v>
      </c>
    </row>
    <row r="4004" spans="1:2">
      <c r="A4004">
        <v>243</v>
      </c>
      <c r="B4004">
        <v>277.39999999999998</v>
      </c>
    </row>
    <row r="4005" spans="1:2">
      <c r="A4005">
        <v>243.1</v>
      </c>
      <c r="B4005">
        <v>276.2</v>
      </c>
    </row>
    <row r="4006" spans="1:2">
      <c r="A4006">
        <v>247.5</v>
      </c>
      <c r="B4006">
        <v>274.89999999999998</v>
      </c>
    </row>
    <row r="4007" spans="1:2">
      <c r="A4007">
        <v>248.2</v>
      </c>
      <c r="B4007">
        <v>272.8</v>
      </c>
    </row>
    <row r="4008" spans="1:2">
      <c r="A4008">
        <v>243.4</v>
      </c>
      <c r="B4008">
        <v>271.8</v>
      </c>
    </row>
    <row r="4009" spans="1:2">
      <c r="A4009">
        <v>243.2</v>
      </c>
      <c r="B4009">
        <v>267.8</v>
      </c>
    </row>
    <row r="4010" spans="1:2">
      <c r="A4010">
        <v>241.8</v>
      </c>
      <c r="B4010">
        <v>265.89999999999998</v>
      </c>
    </row>
    <row r="4011" spans="1:2">
      <c r="A4011">
        <v>239.3</v>
      </c>
      <c r="B4011">
        <v>265.3</v>
      </c>
    </row>
    <row r="4012" spans="1:2">
      <c r="A4012">
        <v>240.9</v>
      </c>
      <c r="B4012">
        <v>259.3</v>
      </c>
    </row>
    <row r="4013" spans="1:2">
      <c r="A4013">
        <v>237.4</v>
      </c>
      <c r="B4013">
        <v>259.2</v>
      </c>
    </row>
    <row r="4014" spans="1:2">
      <c r="A4014">
        <v>237</v>
      </c>
      <c r="B4014">
        <v>257.2</v>
      </c>
    </row>
    <row r="4015" spans="1:2">
      <c r="A4015">
        <v>234</v>
      </c>
      <c r="B4015">
        <v>256.7</v>
      </c>
    </row>
    <row r="4016" spans="1:2">
      <c r="A4016">
        <v>231.4</v>
      </c>
      <c r="B4016">
        <v>257.89999999999998</v>
      </c>
    </row>
    <row r="4017" spans="1:2">
      <c r="A4017">
        <v>230.1</v>
      </c>
      <c r="B4017">
        <v>256.8</v>
      </c>
    </row>
    <row r="4018" spans="1:2">
      <c r="A4018">
        <v>227.8</v>
      </c>
      <c r="B4018">
        <v>258.5</v>
      </c>
    </row>
    <row r="4019" spans="1:2">
      <c r="A4019">
        <v>225.1</v>
      </c>
      <c r="B4019">
        <v>255.2</v>
      </c>
    </row>
    <row r="4020" spans="1:2">
      <c r="A4020">
        <v>222.6</v>
      </c>
      <c r="B4020">
        <v>255.5</v>
      </c>
    </row>
    <row r="4021" spans="1:2">
      <c r="A4021">
        <v>221.3</v>
      </c>
      <c r="B4021">
        <v>260</v>
      </c>
    </row>
    <row r="4022" spans="1:2">
      <c r="A4022">
        <v>218.3</v>
      </c>
      <c r="B4022">
        <v>261.3</v>
      </c>
    </row>
    <row r="4023" spans="1:2">
      <c r="A4023">
        <v>220.2</v>
      </c>
      <c r="B4023">
        <v>263.3</v>
      </c>
    </row>
    <row r="4024" spans="1:2">
      <c r="A4024">
        <v>217.3</v>
      </c>
      <c r="B4024">
        <v>265</v>
      </c>
    </row>
    <row r="4025" spans="1:2">
      <c r="A4025">
        <v>217.3</v>
      </c>
      <c r="B4025">
        <v>268.7</v>
      </c>
    </row>
    <row r="4026" spans="1:2">
      <c r="A4026">
        <v>219.2</v>
      </c>
      <c r="B4026">
        <v>270</v>
      </c>
    </row>
    <row r="4027" spans="1:2">
      <c r="A4027">
        <v>218</v>
      </c>
      <c r="B4027">
        <v>272.60000000000002</v>
      </c>
    </row>
    <row r="4028" spans="1:2">
      <c r="A4028">
        <v>221.6</v>
      </c>
      <c r="B4028">
        <v>274.8</v>
      </c>
    </row>
    <row r="4029" spans="1:2">
      <c r="A4029">
        <v>221</v>
      </c>
      <c r="B4029">
        <v>280.3</v>
      </c>
    </row>
    <row r="4030" spans="1:2">
      <c r="A4030">
        <v>222.2</v>
      </c>
      <c r="B4030">
        <v>283.3</v>
      </c>
    </row>
    <row r="4031" spans="1:2">
      <c r="A4031">
        <v>225.5</v>
      </c>
      <c r="B4031">
        <v>285.3</v>
      </c>
    </row>
    <row r="4032" spans="1:2">
      <c r="A4032">
        <v>231</v>
      </c>
      <c r="B4032">
        <v>280.10000000000002</v>
      </c>
    </row>
    <row r="4033" spans="1:2">
      <c r="A4033">
        <v>232.7</v>
      </c>
      <c r="B4033">
        <v>280.5</v>
      </c>
    </row>
    <row r="4034" spans="1:2">
      <c r="A4034">
        <v>231.4</v>
      </c>
      <c r="B4034">
        <v>287.3</v>
      </c>
    </row>
    <row r="4035" spans="1:2">
      <c r="A4035">
        <v>233.8</v>
      </c>
      <c r="B4035">
        <v>289.60000000000002</v>
      </c>
    </row>
    <row r="4037" spans="1:2">
      <c r="A4037">
        <v>198.5</v>
      </c>
      <c r="B4037">
        <v>255.4</v>
      </c>
    </row>
    <row r="4038" spans="1:2">
      <c r="A4038">
        <v>197.9</v>
      </c>
      <c r="B4038">
        <v>257.5</v>
      </c>
    </row>
    <row r="4039" spans="1:2">
      <c r="A4039">
        <v>204.4</v>
      </c>
      <c r="B4039">
        <v>257.60000000000002</v>
      </c>
    </row>
    <row r="4040" spans="1:2">
      <c r="A4040">
        <v>204</v>
      </c>
      <c r="B4040">
        <v>262.3</v>
      </c>
    </row>
    <row r="4041" spans="1:2">
      <c r="A4041">
        <v>207.8</v>
      </c>
      <c r="B4041">
        <v>265.60000000000002</v>
      </c>
    </row>
    <row r="4042" spans="1:2">
      <c r="A4042">
        <v>209.4</v>
      </c>
      <c r="B4042">
        <v>263.60000000000002</v>
      </c>
    </row>
    <row r="4043" spans="1:2">
      <c r="A4043">
        <v>211.7</v>
      </c>
      <c r="B4043">
        <v>264.60000000000002</v>
      </c>
    </row>
    <row r="4044" spans="1:2">
      <c r="A4044">
        <v>214.8</v>
      </c>
      <c r="B4044">
        <v>260.60000000000002</v>
      </c>
    </row>
    <row r="4045" spans="1:2">
      <c r="A4045">
        <v>221.3</v>
      </c>
      <c r="B4045">
        <v>260</v>
      </c>
    </row>
    <row r="4046" spans="1:2">
      <c r="A4046">
        <v>222.6</v>
      </c>
      <c r="B4046">
        <v>255.5</v>
      </c>
    </row>
    <row r="4047" spans="1:2">
      <c r="A4047">
        <v>225.1</v>
      </c>
      <c r="B4047">
        <v>255.2</v>
      </c>
    </row>
    <row r="4048" spans="1:2">
      <c r="A4048">
        <v>228.5</v>
      </c>
      <c r="B4048">
        <v>258.5</v>
      </c>
    </row>
    <row r="4049" spans="1:2">
      <c r="A4049">
        <v>230.1</v>
      </c>
      <c r="B4049">
        <v>256.8</v>
      </c>
    </row>
    <row r="4050" spans="1:2">
      <c r="A4050">
        <v>231.8</v>
      </c>
      <c r="B4050">
        <v>257.89999999999998</v>
      </c>
    </row>
    <row r="4051" spans="1:2">
      <c r="A4051">
        <v>233.8</v>
      </c>
      <c r="B4051">
        <v>256.7</v>
      </c>
    </row>
    <row r="4052" spans="1:2">
      <c r="A4052">
        <v>237</v>
      </c>
      <c r="B4052">
        <v>257.2</v>
      </c>
    </row>
    <row r="4053" spans="1:2">
      <c r="A4053">
        <v>237.5</v>
      </c>
      <c r="B4053">
        <v>255.9</v>
      </c>
    </row>
    <row r="4054" spans="1:2">
      <c r="A4054">
        <v>235.5</v>
      </c>
      <c r="B4054">
        <v>251.6</v>
      </c>
    </row>
    <row r="4055" spans="1:2">
      <c r="A4055">
        <v>232.8</v>
      </c>
      <c r="B4055">
        <v>251.7</v>
      </c>
    </row>
    <row r="4056" spans="1:2">
      <c r="A4056">
        <v>231.6</v>
      </c>
      <c r="B4056">
        <v>248.7</v>
      </c>
    </row>
    <row r="4057" spans="1:2">
      <c r="A4057">
        <v>229.8</v>
      </c>
      <c r="B4057">
        <v>248.6</v>
      </c>
    </row>
    <row r="4058" spans="1:2">
      <c r="A4058">
        <v>226.5</v>
      </c>
      <c r="B4058">
        <v>243.2</v>
      </c>
    </row>
    <row r="4059" spans="1:2">
      <c r="A4059">
        <v>227</v>
      </c>
      <c r="B4059">
        <v>242.1</v>
      </c>
    </row>
    <row r="4060" spans="1:2">
      <c r="A4060">
        <v>219.2</v>
      </c>
      <c r="B4060">
        <v>237.9</v>
      </c>
    </row>
    <row r="4061" spans="1:2">
      <c r="A4061">
        <v>213.8</v>
      </c>
      <c r="B4061">
        <v>240.3</v>
      </c>
    </row>
    <row r="4062" spans="1:2">
      <c r="A4062">
        <v>214.6</v>
      </c>
      <c r="B4062">
        <v>242.3</v>
      </c>
    </row>
    <row r="4063" spans="1:2">
      <c r="A4063">
        <v>216.1</v>
      </c>
      <c r="B4063">
        <v>242.2</v>
      </c>
    </row>
    <row r="4064" spans="1:2">
      <c r="A4064">
        <v>216.2</v>
      </c>
      <c r="B4064">
        <v>245</v>
      </c>
    </row>
    <row r="4065" spans="1:2">
      <c r="A4065">
        <v>212.4</v>
      </c>
      <c r="B4065">
        <v>248.2</v>
      </c>
    </row>
    <row r="4066" spans="1:2">
      <c r="A4066">
        <v>214.1</v>
      </c>
      <c r="B4066">
        <v>249</v>
      </c>
    </row>
    <row r="4067" spans="1:2">
      <c r="A4067">
        <v>214.6</v>
      </c>
      <c r="B4067">
        <v>251.6</v>
      </c>
    </row>
    <row r="4068" spans="1:2">
      <c r="A4068">
        <v>213.3</v>
      </c>
      <c r="B4068">
        <v>252.4</v>
      </c>
    </row>
    <row r="4069" spans="1:2">
      <c r="A4069">
        <v>213</v>
      </c>
      <c r="B4069">
        <v>256</v>
      </c>
    </row>
    <row r="4070" spans="1:2">
      <c r="A4070">
        <v>210</v>
      </c>
      <c r="B4070">
        <v>255.6</v>
      </c>
    </row>
    <row r="4071" spans="1:2">
      <c r="A4071">
        <v>209.5</v>
      </c>
      <c r="B4071">
        <v>253.1</v>
      </c>
    </row>
    <row r="4072" spans="1:2">
      <c r="A4072">
        <v>207.5</v>
      </c>
      <c r="B4072">
        <v>251.8</v>
      </c>
    </row>
    <row r="4073" spans="1:2">
      <c r="A4073">
        <v>207.9</v>
      </c>
      <c r="B4073">
        <v>248.8</v>
      </c>
    </row>
    <row r="4074" spans="1:2">
      <c r="A4074">
        <v>204.9</v>
      </c>
      <c r="B4074">
        <v>248.1</v>
      </c>
    </row>
    <row r="4075" spans="1:2">
      <c r="A4075">
        <v>204.2</v>
      </c>
      <c r="B4075">
        <v>249.4</v>
      </c>
    </row>
    <row r="4076" spans="1:2">
      <c r="A4076">
        <v>202.8</v>
      </c>
      <c r="B4076">
        <v>249</v>
      </c>
    </row>
    <row r="4077" spans="1:2">
      <c r="A4077">
        <v>201.7</v>
      </c>
      <c r="B4077">
        <v>253.2</v>
      </c>
    </row>
    <row r="4078" spans="1:2">
      <c r="A4078">
        <v>198.5</v>
      </c>
      <c r="B4078">
        <v>255.4</v>
      </c>
    </row>
    <row r="4080" spans="1:2">
      <c r="A4080">
        <v>160.1</v>
      </c>
      <c r="B4080">
        <v>254.1</v>
      </c>
    </row>
    <row r="4081" spans="1:2">
      <c r="A4081">
        <v>164.9</v>
      </c>
      <c r="B4081">
        <v>262</v>
      </c>
    </row>
    <row r="4082" spans="1:2">
      <c r="A4082">
        <v>166</v>
      </c>
      <c r="B4082">
        <v>260.60000000000002</v>
      </c>
    </row>
    <row r="4083" spans="1:2">
      <c r="A4083">
        <v>166.5</v>
      </c>
      <c r="B4083">
        <v>262.3</v>
      </c>
    </row>
    <row r="4084" spans="1:2">
      <c r="A4084">
        <v>168.6</v>
      </c>
      <c r="B4084">
        <v>263.3</v>
      </c>
    </row>
    <row r="4085" spans="1:2">
      <c r="A4085">
        <v>170.1</v>
      </c>
      <c r="B4085">
        <v>262.5</v>
      </c>
    </row>
    <row r="4086" spans="1:2">
      <c r="A4086">
        <v>171.5</v>
      </c>
      <c r="B4086">
        <v>264.3</v>
      </c>
    </row>
    <row r="4087" spans="1:2">
      <c r="A4087">
        <v>174.5</v>
      </c>
      <c r="B4087">
        <v>264</v>
      </c>
    </row>
    <row r="4088" spans="1:2">
      <c r="A4088">
        <v>174.6</v>
      </c>
      <c r="B4088">
        <v>262.8</v>
      </c>
    </row>
    <row r="4089" spans="1:2">
      <c r="A4089">
        <v>176.2</v>
      </c>
      <c r="B4089">
        <v>267.2</v>
      </c>
    </row>
    <row r="4090" spans="1:2">
      <c r="A4090">
        <v>179.2</v>
      </c>
      <c r="B4090">
        <v>267.3</v>
      </c>
    </row>
    <row r="4091" spans="1:2">
      <c r="A4091">
        <v>181.6</v>
      </c>
      <c r="B4091">
        <v>264.60000000000002</v>
      </c>
    </row>
    <row r="4092" spans="1:2">
      <c r="A4092">
        <v>180.6</v>
      </c>
      <c r="B4092">
        <v>266.7</v>
      </c>
    </row>
    <row r="4093" spans="1:2">
      <c r="A4093">
        <v>181.8</v>
      </c>
      <c r="B4093">
        <v>267.39999999999998</v>
      </c>
    </row>
    <row r="4094" spans="1:2">
      <c r="A4094">
        <v>188.5</v>
      </c>
      <c r="B4094">
        <v>267.60000000000002</v>
      </c>
    </row>
    <row r="4095" spans="1:2">
      <c r="A4095">
        <v>189.8</v>
      </c>
      <c r="B4095">
        <v>266.10000000000002</v>
      </c>
    </row>
    <row r="4096" spans="1:2">
      <c r="A4096">
        <v>189.1</v>
      </c>
      <c r="B4096">
        <v>263.10000000000002</v>
      </c>
    </row>
    <row r="4097" spans="1:2">
      <c r="A4097">
        <v>190.2</v>
      </c>
      <c r="B4097">
        <v>262.10000000000002</v>
      </c>
    </row>
    <row r="4098" spans="1:2">
      <c r="A4098">
        <v>189</v>
      </c>
      <c r="B4098">
        <v>261.10000000000002</v>
      </c>
    </row>
    <row r="4099" spans="1:2">
      <c r="A4099">
        <v>190.1</v>
      </c>
      <c r="B4099">
        <v>256.10000000000002</v>
      </c>
    </row>
    <row r="4100" spans="1:2">
      <c r="A4100">
        <v>187.1</v>
      </c>
      <c r="B4100">
        <v>254.1</v>
      </c>
    </row>
    <row r="4101" spans="1:2">
      <c r="A4101">
        <v>188.5</v>
      </c>
      <c r="B4101">
        <v>250.5</v>
      </c>
    </row>
    <row r="4102" spans="1:2">
      <c r="A4102">
        <v>185.7</v>
      </c>
      <c r="B4102">
        <v>248.8</v>
      </c>
    </row>
    <row r="4103" spans="1:2">
      <c r="A4103">
        <v>185.7</v>
      </c>
      <c r="B4103">
        <v>245.2</v>
      </c>
    </row>
    <row r="4104" spans="1:2">
      <c r="A4104">
        <v>182.5</v>
      </c>
      <c r="B4104">
        <v>242.7</v>
      </c>
    </row>
    <row r="4105" spans="1:2">
      <c r="A4105">
        <v>180.8</v>
      </c>
      <c r="B4105">
        <v>243.5</v>
      </c>
    </row>
    <row r="4106" spans="1:2">
      <c r="A4106">
        <v>178.9</v>
      </c>
      <c r="B4106">
        <v>240.1</v>
      </c>
    </row>
    <row r="4107" spans="1:2">
      <c r="A4107">
        <v>175.4</v>
      </c>
      <c r="B4107">
        <v>241.8</v>
      </c>
    </row>
    <row r="4108" spans="1:2">
      <c r="A4108">
        <v>173.6</v>
      </c>
      <c r="B4108">
        <v>241.1</v>
      </c>
    </row>
    <row r="4109" spans="1:2">
      <c r="A4109">
        <v>173.7</v>
      </c>
      <c r="B4109">
        <v>238</v>
      </c>
    </row>
    <row r="4110" spans="1:2">
      <c r="A4110">
        <v>170.7</v>
      </c>
      <c r="B4110">
        <v>239.4</v>
      </c>
    </row>
    <row r="4111" spans="1:2">
      <c r="A4111">
        <v>169.1</v>
      </c>
      <c r="B4111">
        <v>238.7</v>
      </c>
    </row>
    <row r="4112" spans="1:2">
      <c r="A4112">
        <v>167.5</v>
      </c>
      <c r="B4112">
        <v>240.9</v>
      </c>
    </row>
    <row r="4113" spans="1:2">
      <c r="A4113">
        <v>167.4</v>
      </c>
      <c r="B4113">
        <v>244.7</v>
      </c>
    </row>
    <row r="4114" spans="1:2">
      <c r="A4114">
        <v>165.7</v>
      </c>
      <c r="B4114">
        <v>243.4</v>
      </c>
    </row>
    <row r="4115" spans="1:2">
      <c r="A4115">
        <v>166</v>
      </c>
      <c r="B4115">
        <v>245.9</v>
      </c>
    </row>
    <row r="4116" spans="1:2">
      <c r="A4116">
        <v>164.3</v>
      </c>
      <c r="B4116">
        <v>247.3</v>
      </c>
    </row>
    <row r="4117" spans="1:2">
      <c r="A4117">
        <v>165.5</v>
      </c>
      <c r="B4117">
        <v>250</v>
      </c>
    </row>
    <row r="4118" spans="1:2">
      <c r="A4118">
        <v>164.2</v>
      </c>
      <c r="B4118">
        <v>251.9</v>
      </c>
    </row>
    <row r="4119" spans="1:2">
      <c r="A4119">
        <v>160.1</v>
      </c>
      <c r="B4119">
        <v>252.3</v>
      </c>
    </row>
    <row r="4120" spans="1:2">
      <c r="A4120">
        <v>160.1</v>
      </c>
      <c r="B4120">
        <v>254.1</v>
      </c>
    </row>
    <row r="4122" spans="1:2">
      <c r="A4122">
        <v>149.1</v>
      </c>
      <c r="B4122">
        <v>272.8</v>
      </c>
    </row>
    <row r="4123" spans="1:2">
      <c r="A4123">
        <v>150.1</v>
      </c>
      <c r="B4123">
        <v>271.5</v>
      </c>
    </row>
    <row r="4124" spans="1:2">
      <c r="A4124">
        <v>145.69999999999999</v>
      </c>
      <c r="B4124">
        <v>266.8</v>
      </c>
    </row>
    <row r="4125" spans="1:2">
      <c r="A4125">
        <v>144.19999999999999</v>
      </c>
      <c r="B4125">
        <v>269</v>
      </c>
    </row>
    <row r="4126" spans="1:2">
      <c r="A4126">
        <v>146.19999999999999</v>
      </c>
      <c r="B4126">
        <v>269.3</v>
      </c>
    </row>
    <row r="4127" spans="1:2">
      <c r="A4127">
        <v>145</v>
      </c>
      <c r="B4127">
        <v>269.7</v>
      </c>
    </row>
    <row r="4128" spans="1:2">
      <c r="A4128">
        <v>147.19999999999999</v>
      </c>
      <c r="B4128">
        <v>271</v>
      </c>
    </row>
    <row r="4129" spans="1:2">
      <c r="A4129">
        <v>146.6</v>
      </c>
      <c r="B4129">
        <v>272.2</v>
      </c>
    </row>
    <row r="4130" spans="1:2">
      <c r="A4130">
        <v>148.19999999999999</v>
      </c>
      <c r="B4130">
        <v>270.89999999999998</v>
      </c>
    </row>
    <row r="4131" spans="1:2">
      <c r="A4131">
        <v>149.1</v>
      </c>
      <c r="B4131">
        <v>272.8</v>
      </c>
    </row>
    <row r="4133" spans="1:2">
      <c r="A4133">
        <v>188.3</v>
      </c>
      <c r="B4133">
        <v>291.89999999999998</v>
      </c>
    </row>
    <row r="4134" spans="1:2">
      <c r="A4134">
        <v>196.1</v>
      </c>
      <c r="B4134">
        <v>281</v>
      </c>
    </row>
    <row r="4135" spans="1:2">
      <c r="A4135">
        <v>194.9</v>
      </c>
      <c r="B4135">
        <v>279</v>
      </c>
    </row>
    <row r="4136" spans="1:2">
      <c r="A4136">
        <v>190.1</v>
      </c>
      <c r="B4136">
        <v>279.39999999999998</v>
      </c>
    </row>
    <row r="4137" spans="1:2">
      <c r="A4137">
        <v>189.3</v>
      </c>
      <c r="B4137">
        <v>277.10000000000002</v>
      </c>
    </row>
    <row r="4138" spans="1:2">
      <c r="A4138">
        <v>187.6</v>
      </c>
      <c r="B4138">
        <v>277.60000000000002</v>
      </c>
    </row>
    <row r="4139" spans="1:2">
      <c r="A4139">
        <v>185.5</v>
      </c>
      <c r="B4139">
        <v>273.7</v>
      </c>
    </row>
    <row r="4140" spans="1:2">
      <c r="A4140">
        <v>185.3</v>
      </c>
      <c r="B4140">
        <v>267.5</v>
      </c>
    </row>
    <row r="4141" spans="1:2">
      <c r="A4141">
        <v>181.4</v>
      </c>
      <c r="B4141">
        <v>267.10000000000002</v>
      </c>
    </row>
    <row r="4142" spans="1:2">
      <c r="A4142">
        <v>180</v>
      </c>
      <c r="B4142">
        <v>269</v>
      </c>
    </row>
    <row r="4143" spans="1:2">
      <c r="A4143">
        <v>174.4</v>
      </c>
      <c r="B4143">
        <v>269.3</v>
      </c>
    </row>
    <row r="4144" spans="1:2">
      <c r="A4144">
        <v>167</v>
      </c>
      <c r="B4144">
        <v>268.10000000000002</v>
      </c>
    </row>
    <row r="4145" spans="1:2">
      <c r="A4145">
        <v>163.30000000000001</v>
      </c>
      <c r="B4145">
        <v>270.2</v>
      </c>
    </row>
    <row r="4146" spans="1:2">
      <c r="A4146">
        <v>162.6</v>
      </c>
      <c r="B4146">
        <v>274.5</v>
      </c>
    </row>
    <row r="4147" spans="1:2">
      <c r="A4147">
        <v>171.2</v>
      </c>
      <c r="B4147">
        <v>281</v>
      </c>
    </row>
    <row r="4148" spans="1:2">
      <c r="A4148">
        <v>168.4</v>
      </c>
      <c r="B4148">
        <v>284.7</v>
      </c>
    </row>
    <row r="4149" spans="1:2">
      <c r="A4149">
        <v>172.3</v>
      </c>
      <c r="B4149">
        <v>279.7</v>
      </c>
    </row>
    <row r="4150" spans="1:2">
      <c r="A4150">
        <v>177.5</v>
      </c>
      <c r="B4150">
        <v>286.5</v>
      </c>
    </row>
    <row r="4151" spans="1:2">
      <c r="A4151">
        <v>177.8</v>
      </c>
      <c r="B4151">
        <v>292</v>
      </c>
    </row>
    <row r="4152" spans="1:2">
      <c r="A4152">
        <v>184.3</v>
      </c>
      <c r="B4152">
        <v>291.60000000000002</v>
      </c>
    </row>
    <row r="4153" spans="1:2">
      <c r="A4153">
        <v>183.6</v>
      </c>
      <c r="B4153">
        <v>293.39999999999998</v>
      </c>
    </row>
    <row r="4154" spans="1:2">
      <c r="A4154">
        <v>188.3</v>
      </c>
      <c r="B4154">
        <v>291.89999999999998</v>
      </c>
    </row>
    <row r="4156" spans="1:2">
      <c r="A4156">
        <v>153.80000000000001</v>
      </c>
      <c r="B4156">
        <v>181.7</v>
      </c>
    </row>
    <row r="4157" spans="1:2">
      <c r="A4157">
        <v>155.4</v>
      </c>
      <c r="B4157">
        <v>180.7</v>
      </c>
    </row>
    <row r="4158" spans="1:2">
      <c r="A4158">
        <v>154</v>
      </c>
      <c r="B4158">
        <v>177.9</v>
      </c>
    </row>
    <row r="4159" spans="1:2">
      <c r="A4159">
        <v>153.80000000000001</v>
      </c>
      <c r="B4159">
        <v>181.7</v>
      </c>
    </row>
    <row r="4161" spans="1:2">
      <c r="A4161">
        <v>151.19999999999999</v>
      </c>
      <c r="B4161">
        <v>181.9</v>
      </c>
    </row>
    <row r="4162" spans="1:2">
      <c r="A4162">
        <v>150.4</v>
      </c>
      <c r="B4162">
        <v>179.5</v>
      </c>
    </row>
    <row r="4163" spans="1:2">
      <c r="A4163">
        <v>149.5</v>
      </c>
      <c r="B4163">
        <v>179.8</v>
      </c>
    </row>
    <row r="4164" spans="1:2">
      <c r="A4164">
        <v>149.5</v>
      </c>
      <c r="B4164">
        <v>182</v>
      </c>
    </row>
    <row r="4165" spans="1:2">
      <c r="A4165">
        <v>151.19999999999999</v>
      </c>
      <c r="B4165">
        <v>181.9</v>
      </c>
    </row>
    <row r="4167" spans="1:2">
      <c r="A4167">
        <v>151.1</v>
      </c>
      <c r="B4167">
        <v>185.6</v>
      </c>
    </row>
    <row r="4168" spans="1:2">
      <c r="A4168">
        <v>151.6</v>
      </c>
      <c r="B4168">
        <v>183.4</v>
      </c>
    </row>
    <row r="4169" spans="1:2">
      <c r="A4169">
        <v>150</v>
      </c>
      <c r="B4169">
        <v>183</v>
      </c>
    </row>
    <row r="4170" spans="1:2">
      <c r="A4170">
        <v>151.1</v>
      </c>
      <c r="B4170">
        <v>185.6</v>
      </c>
    </row>
    <row r="4172" spans="1:2">
      <c r="A4172">
        <v>159.1</v>
      </c>
      <c r="B4172">
        <v>188.6</v>
      </c>
    </row>
    <row r="4173" spans="1:2">
      <c r="A4173">
        <v>162.30000000000001</v>
      </c>
      <c r="B4173">
        <v>185.8</v>
      </c>
    </row>
    <row r="4174" spans="1:2">
      <c r="A4174">
        <v>162.6</v>
      </c>
      <c r="B4174">
        <v>183.1</v>
      </c>
    </row>
    <row r="4175" spans="1:2">
      <c r="A4175">
        <v>154.80000000000001</v>
      </c>
      <c r="B4175">
        <v>181.8</v>
      </c>
    </row>
    <row r="4176" spans="1:2">
      <c r="A4176">
        <v>153.1</v>
      </c>
      <c r="B4176">
        <v>183.5</v>
      </c>
    </row>
    <row r="4177" spans="1:2">
      <c r="A4177">
        <v>156.5</v>
      </c>
      <c r="B4177">
        <v>187.8</v>
      </c>
    </row>
    <row r="4178" spans="1:2">
      <c r="A4178">
        <v>159.1</v>
      </c>
      <c r="B4178">
        <v>188.6</v>
      </c>
    </row>
    <row r="4180" spans="1:2">
      <c r="A4180">
        <v>236.8</v>
      </c>
      <c r="B4180">
        <v>104.1</v>
      </c>
    </row>
    <row r="4181" spans="1:2">
      <c r="A4181">
        <v>239.2</v>
      </c>
      <c r="B4181">
        <v>101.1</v>
      </c>
    </row>
    <row r="4182" spans="1:2">
      <c r="A4182">
        <v>237.1</v>
      </c>
      <c r="B4182">
        <v>100.9</v>
      </c>
    </row>
    <row r="4183" spans="1:2">
      <c r="A4183">
        <v>236.8</v>
      </c>
      <c r="B4183">
        <v>104.1</v>
      </c>
    </row>
    <row r="4185" spans="1:2">
      <c r="A4185">
        <v>236.2</v>
      </c>
      <c r="B4185">
        <v>103.5</v>
      </c>
    </row>
    <row r="4186" spans="1:2">
      <c r="A4186">
        <v>236</v>
      </c>
      <c r="B4186">
        <v>100.8</v>
      </c>
    </row>
    <row r="4187" spans="1:2">
      <c r="A4187">
        <v>238.3</v>
      </c>
      <c r="B4187">
        <v>98</v>
      </c>
    </row>
    <row r="4188" spans="1:2">
      <c r="A4188">
        <v>235.8</v>
      </c>
      <c r="B4188">
        <v>98.9</v>
      </c>
    </row>
    <row r="4189" spans="1:2">
      <c r="A4189">
        <v>234.6</v>
      </c>
      <c r="B4189">
        <v>101.2</v>
      </c>
    </row>
    <row r="4190" spans="1:2">
      <c r="A4190">
        <v>234.1</v>
      </c>
      <c r="B4190">
        <v>103.1</v>
      </c>
    </row>
    <row r="4191" spans="1:2">
      <c r="A4191">
        <v>236.2</v>
      </c>
      <c r="B4191">
        <v>103.5</v>
      </c>
    </row>
    <row r="4193" spans="1:2">
      <c r="A4193">
        <v>232.7</v>
      </c>
      <c r="B4193">
        <v>124</v>
      </c>
    </row>
    <row r="4194" spans="1:2">
      <c r="A4194">
        <v>232.6</v>
      </c>
      <c r="B4194">
        <v>120.3</v>
      </c>
    </row>
    <row r="4195" spans="1:2">
      <c r="A4195">
        <v>229.8</v>
      </c>
      <c r="B4195">
        <v>120.4</v>
      </c>
    </row>
    <row r="4196" spans="1:2">
      <c r="A4196">
        <v>231.3</v>
      </c>
      <c r="B4196">
        <v>124.1</v>
      </c>
    </row>
    <row r="4197" spans="1:2">
      <c r="A4197">
        <v>232.7</v>
      </c>
      <c r="B4197">
        <v>124</v>
      </c>
    </row>
    <row r="4199" spans="1:2">
      <c r="A4199">
        <v>241.3</v>
      </c>
      <c r="B4199">
        <v>128.30000000000001</v>
      </c>
    </row>
    <row r="4200" spans="1:2">
      <c r="A4200">
        <v>242.5</v>
      </c>
      <c r="B4200">
        <v>128.5</v>
      </c>
    </row>
    <row r="4201" spans="1:2">
      <c r="A4201">
        <v>240.5</v>
      </c>
      <c r="B4201">
        <v>126.3</v>
      </c>
    </row>
    <row r="4202" spans="1:2">
      <c r="A4202">
        <v>241.3</v>
      </c>
      <c r="B4202">
        <v>128.30000000000001</v>
      </c>
    </row>
    <row r="4204" spans="1:2">
      <c r="A4204">
        <v>280.2</v>
      </c>
      <c r="B4204">
        <v>146.1</v>
      </c>
    </row>
    <row r="4205" spans="1:2">
      <c r="A4205">
        <v>281.5</v>
      </c>
      <c r="B4205">
        <v>146.19999999999999</v>
      </c>
    </row>
    <row r="4206" spans="1:2">
      <c r="A4206">
        <v>280.5</v>
      </c>
      <c r="B4206">
        <v>141.6</v>
      </c>
    </row>
    <row r="4207" spans="1:2">
      <c r="A4207">
        <v>278.8</v>
      </c>
      <c r="B4207">
        <v>142.6</v>
      </c>
    </row>
    <row r="4208" spans="1:2">
      <c r="A4208">
        <v>280.2</v>
      </c>
      <c r="B4208">
        <v>146.1</v>
      </c>
    </row>
    <row r="4210" spans="1:2">
      <c r="A4210">
        <v>282.3</v>
      </c>
      <c r="B4210">
        <v>151.1</v>
      </c>
    </row>
    <row r="4211" spans="1:2">
      <c r="A4211">
        <v>281.10000000000002</v>
      </c>
      <c r="B4211">
        <v>150.5</v>
      </c>
    </row>
    <row r="4212" spans="1:2">
      <c r="A4212">
        <v>281.89999999999998</v>
      </c>
      <c r="B4212">
        <v>148.80000000000001</v>
      </c>
    </row>
    <row r="4213" spans="1:2">
      <c r="A4213">
        <v>280.39999999999998</v>
      </c>
      <c r="B4213">
        <v>149.6</v>
      </c>
    </row>
    <row r="4214" spans="1:2">
      <c r="A4214">
        <v>279.7</v>
      </c>
      <c r="B4214">
        <v>148.5</v>
      </c>
    </row>
    <row r="4215" spans="1:2">
      <c r="A4215">
        <v>279.8</v>
      </c>
      <c r="B4215">
        <v>150.5</v>
      </c>
    </row>
    <row r="4216" spans="1:2">
      <c r="A4216">
        <v>282.3</v>
      </c>
      <c r="B4216">
        <v>151.1</v>
      </c>
    </row>
    <row r="4218" spans="1:2">
      <c r="A4218">
        <v>277.3</v>
      </c>
      <c r="B4218">
        <v>154.69999999999999</v>
      </c>
    </row>
    <row r="4219" spans="1:2">
      <c r="A4219">
        <v>278.39999999999998</v>
      </c>
      <c r="B4219">
        <v>152.69999999999999</v>
      </c>
    </row>
    <row r="4220" spans="1:2">
      <c r="A4220">
        <v>277.10000000000002</v>
      </c>
      <c r="B4220">
        <v>152.5</v>
      </c>
    </row>
    <row r="4221" spans="1:2">
      <c r="A4221">
        <v>279.89999999999998</v>
      </c>
      <c r="B4221">
        <v>151</v>
      </c>
    </row>
    <row r="4222" spans="1:2">
      <c r="A4222">
        <v>277.5</v>
      </c>
      <c r="B4222">
        <v>150.1</v>
      </c>
    </row>
    <row r="4223" spans="1:2">
      <c r="A4223">
        <v>277.60000000000002</v>
      </c>
      <c r="B4223">
        <v>151.4</v>
      </c>
    </row>
    <row r="4224" spans="1:2">
      <c r="A4224">
        <v>274.3</v>
      </c>
      <c r="B4224">
        <v>151.80000000000001</v>
      </c>
    </row>
    <row r="4225" spans="1:2">
      <c r="A4225">
        <v>274</v>
      </c>
      <c r="B4225">
        <v>154.4</v>
      </c>
    </row>
    <row r="4226" spans="1:2">
      <c r="A4226">
        <v>270.89999999999998</v>
      </c>
      <c r="B4226">
        <v>155.6</v>
      </c>
    </row>
    <row r="4227" spans="1:2">
      <c r="A4227">
        <v>276.3</v>
      </c>
      <c r="B4227">
        <v>157</v>
      </c>
    </row>
    <row r="4228" spans="1:2">
      <c r="A4228">
        <v>277.3</v>
      </c>
      <c r="B4228">
        <v>154.69999999999999</v>
      </c>
    </row>
    <row r="4230" spans="1:2">
      <c r="A4230">
        <v>268.10000000000002</v>
      </c>
      <c r="B4230">
        <v>160.4</v>
      </c>
    </row>
    <row r="4231" spans="1:2">
      <c r="A4231">
        <v>271.60000000000002</v>
      </c>
      <c r="B4231">
        <v>158.30000000000001</v>
      </c>
    </row>
    <row r="4232" spans="1:2">
      <c r="A4232">
        <v>270.10000000000002</v>
      </c>
      <c r="B4232">
        <v>158</v>
      </c>
    </row>
    <row r="4233" spans="1:2">
      <c r="A4233">
        <v>270.2</v>
      </c>
      <c r="B4233">
        <v>159.1</v>
      </c>
    </row>
    <row r="4234" spans="1:2">
      <c r="A4234">
        <v>267.60000000000002</v>
      </c>
      <c r="B4234">
        <v>157.1</v>
      </c>
    </row>
    <row r="4235" spans="1:2">
      <c r="A4235">
        <v>266.2</v>
      </c>
      <c r="B4235">
        <v>159</v>
      </c>
    </row>
    <row r="4236" spans="1:2">
      <c r="A4236">
        <v>265.89999999999998</v>
      </c>
      <c r="B4236">
        <v>157.6</v>
      </c>
    </row>
    <row r="4237" spans="1:2">
      <c r="A4237">
        <v>265.89999999999998</v>
      </c>
      <c r="B4237">
        <v>159.5</v>
      </c>
    </row>
    <row r="4238" spans="1:2">
      <c r="A4238">
        <v>268.10000000000002</v>
      </c>
      <c r="B4238">
        <v>160.4</v>
      </c>
    </row>
    <row r="4240" spans="1:2">
      <c r="A4240">
        <v>274.2</v>
      </c>
      <c r="B4240">
        <v>161.1</v>
      </c>
    </row>
    <row r="4241" spans="1:2">
      <c r="A4241">
        <v>275.10000000000002</v>
      </c>
      <c r="B4241">
        <v>160</v>
      </c>
    </row>
    <row r="4242" spans="1:2">
      <c r="A4242">
        <v>274.10000000000002</v>
      </c>
      <c r="B4242">
        <v>159.5</v>
      </c>
    </row>
    <row r="4243" spans="1:2">
      <c r="A4243">
        <v>272.3</v>
      </c>
      <c r="B4243">
        <v>161.4</v>
      </c>
    </row>
    <row r="4244" spans="1:2">
      <c r="A4244">
        <v>274.2</v>
      </c>
      <c r="B4244">
        <v>161.1</v>
      </c>
    </row>
    <row r="4246" spans="1:2">
      <c r="A4246">
        <v>256.8</v>
      </c>
      <c r="B4246">
        <v>162</v>
      </c>
    </row>
    <row r="4247" spans="1:2">
      <c r="A4247">
        <v>257.3</v>
      </c>
      <c r="B4247">
        <v>163.1</v>
      </c>
    </row>
    <row r="4248" spans="1:2">
      <c r="A4248">
        <v>256</v>
      </c>
      <c r="B4248">
        <v>162.5</v>
      </c>
    </row>
    <row r="4249" spans="1:2">
      <c r="A4249">
        <v>255.7</v>
      </c>
      <c r="B4249">
        <v>163.9</v>
      </c>
    </row>
    <row r="4250" spans="1:2">
      <c r="A4250">
        <v>259.39999999999998</v>
      </c>
      <c r="B4250">
        <v>163.69999999999999</v>
      </c>
    </row>
    <row r="4251" spans="1:2">
      <c r="A4251">
        <v>259.5</v>
      </c>
      <c r="B4251">
        <v>162.69999999999999</v>
      </c>
    </row>
    <row r="4252" spans="1:2">
      <c r="A4252">
        <v>256.8</v>
      </c>
      <c r="B4252">
        <v>162</v>
      </c>
    </row>
    <row r="4254" spans="1:2">
      <c r="A4254">
        <v>266.3</v>
      </c>
      <c r="B4254">
        <v>164.2</v>
      </c>
    </row>
    <row r="4255" spans="1:2">
      <c r="A4255">
        <v>267.3</v>
      </c>
      <c r="B4255">
        <v>163.19999999999999</v>
      </c>
    </row>
    <row r="4256" spans="1:2">
      <c r="A4256">
        <v>266.10000000000002</v>
      </c>
      <c r="B4256">
        <v>162.80000000000001</v>
      </c>
    </row>
    <row r="4257" spans="1:2">
      <c r="A4257">
        <v>264.7</v>
      </c>
      <c r="B4257">
        <v>163.80000000000001</v>
      </c>
    </row>
    <row r="4258" spans="1:2">
      <c r="A4258">
        <v>266.3</v>
      </c>
      <c r="B4258">
        <v>164.2</v>
      </c>
    </row>
    <row r="4260" spans="1:2">
      <c r="A4260">
        <v>273.39999999999998</v>
      </c>
      <c r="B4260">
        <v>175.1</v>
      </c>
    </row>
    <row r="4261" spans="1:2">
      <c r="A4261">
        <v>274.3</v>
      </c>
      <c r="B4261">
        <v>173</v>
      </c>
    </row>
    <row r="4262" spans="1:2">
      <c r="A4262">
        <v>273</v>
      </c>
      <c r="B4262">
        <v>173.6</v>
      </c>
    </row>
    <row r="4263" spans="1:2">
      <c r="A4263">
        <v>273.39999999999998</v>
      </c>
      <c r="B4263">
        <v>175.1</v>
      </c>
    </row>
    <row r="4265" spans="1:2">
      <c r="A4265">
        <v>278.8</v>
      </c>
      <c r="B4265">
        <v>174.4</v>
      </c>
    </row>
    <row r="4266" spans="1:2">
      <c r="A4266">
        <v>279</v>
      </c>
      <c r="B4266">
        <v>173</v>
      </c>
    </row>
    <row r="4267" spans="1:2">
      <c r="A4267">
        <v>278.10000000000002</v>
      </c>
      <c r="B4267">
        <v>174.3</v>
      </c>
    </row>
    <row r="4268" spans="1:2">
      <c r="A4268">
        <v>276.39999999999998</v>
      </c>
      <c r="B4268">
        <v>173.5</v>
      </c>
    </row>
    <row r="4269" spans="1:2">
      <c r="A4269">
        <v>280.60000000000002</v>
      </c>
      <c r="B4269">
        <v>168.8</v>
      </c>
    </row>
    <row r="4270" spans="1:2">
      <c r="A4270">
        <v>278.89999999999998</v>
      </c>
      <c r="B4270">
        <v>163</v>
      </c>
    </row>
    <row r="4271" spans="1:2">
      <c r="A4271">
        <v>280.7</v>
      </c>
      <c r="B4271">
        <v>161.9</v>
      </c>
    </row>
    <row r="4272" spans="1:2">
      <c r="A4272">
        <v>279.10000000000002</v>
      </c>
      <c r="B4272">
        <v>160.6</v>
      </c>
    </row>
    <row r="4273" spans="1:2">
      <c r="A4273">
        <v>275.60000000000002</v>
      </c>
      <c r="B4273">
        <v>161.5</v>
      </c>
    </row>
    <row r="4274" spans="1:2">
      <c r="A4274">
        <v>272.3</v>
      </c>
      <c r="B4274">
        <v>164.6</v>
      </c>
    </row>
    <row r="4275" spans="1:2">
      <c r="A4275">
        <v>273.39999999999998</v>
      </c>
      <c r="B4275">
        <v>166.3</v>
      </c>
    </row>
    <row r="4276" spans="1:2">
      <c r="A4276">
        <v>272.3</v>
      </c>
      <c r="B4276">
        <v>166.9</v>
      </c>
    </row>
    <row r="4277" spans="1:2">
      <c r="A4277">
        <v>276.8</v>
      </c>
      <c r="B4277">
        <v>171.7</v>
      </c>
    </row>
    <row r="4278" spans="1:2">
      <c r="A4278">
        <v>274.5</v>
      </c>
      <c r="B4278">
        <v>176.4</v>
      </c>
    </row>
    <row r="4279" spans="1:2">
      <c r="A4279">
        <v>278.8</v>
      </c>
      <c r="B4279">
        <v>174.4</v>
      </c>
    </row>
    <row r="4281" spans="1:2">
      <c r="A4281">
        <v>262.39999999999998</v>
      </c>
      <c r="B4281">
        <v>192.8</v>
      </c>
    </row>
    <row r="4282" spans="1:2">
      <c r="A4282">
        <v>261.8</v>
      </c>
      <c r="B4282">
        <v>191.5</v>
      </c>
    </row>
    <row r="4283" spans="1:2">
      <c r="A4283">
        <v>263.3</v>
      </c>
      <c r="B4283">
        <v>189.2</v>
      </c>
    </row>
    <row r="4284" spans="1:2">
      <c r="A4284">
        <v>265.7</v>
      </c>
      <c r="B4284">
        <v>188.9</v>
      </c>
    </row>
    <row r="4285" spans="1:2">
      <c r="A4285">
        <v>265.7</v>
      </c>
      <c r="B4285">
        <v>186.9</v>
      </c>
    </row>
    <row r="4286" spans="1:2">
      <c r="A4286">
        <v>267.89999999999998</v>
      </c>
      <c r="B4286">
        <v>188.7</v>
      </c>
    </row>
    <row r="4287" spans="1:2">
      <c r="A4287">
        <v>268.7</v>
      </c>
      <c r="B4287">
        <v>187.9</v>
      </c>
    </row>
    <row r="4288" spans="1:2">
      <c r="A4288">
        <v>270.8</v>
      </c>
      <c r="B4288">
        <v>190.9</v>
      </c>
    </row>
    <row r="4289" spans="1:2">
      <c r="A4289">
        <v>275</v>
      </c>
      <c r="B4289">
        <v>189.4</v>
      </c>
    </row>
    <row r="4290" spans="1:2">
      <c r="A4290">
        <v>274.7</v>
      </c>
      <c r="B4290">
        <v>190.5</v>
      </c>
    </row>
    <row r="4291" spans="1:2">
      <c r="A4291">
        <v>277.89999999999998</v>
      </c>
      <c r="B4291">
        <v>189.9</v>
      </c>
    </row>
    <row r="4292" spans="1:2">
      <c r="A4292">
        <v>277.3</v>
      </c>
      <c r="B4292">
        <v>184.2</v>
      </c>
    </row>
    <row r="4293" spans="1:2">
      <c r="A4293">
        <v>275.2</v>
      </c>
      <c r="B4293">
        <v>181.4</v>
      </c>
    </row>
    <row r="4294" spans="1:2">
      <c r="A4294">
        <v>276</v>
      </c>
      <c r="B4294">
        <v>177.2</v>
      </c>
    </row>
    <row r="4295" spans="1:2">
      <c r="A4295">
        <v>271.10000000000002</v>
      </c>
      <c r="B4295">
        <v>175.3</v>
      </c>
    </row>
    <row r="4296" spans="1:2">
      <c r="A4296">
        <v>268</v>
      </c>
      <c r="B4296">
        <v>179.2</v>
      </c>
    </row>
    <row r="4297" spans="1:2">
      <c r="A4297">
        <v>266.2</v>
      </c>
      <c r="B4297">
        <v>173.7</v>
      </c>
    </row>
    <row r="4298" spans="1:2">
      <c r="A4298">
        <v>264.7</v>
      </c>
      <c r="B4298">
        <v>175</v>
      </c>
    </row>
    <row r="4299" spans="1:2">
      <c r="A4299">
        <v>263.7</v>
      </c>
      <c r="B4299">
        <v>173.8</v>
      </c>
    </row>
    <row r="4300" spans="1:2">
      <c r="A4300">
        <v>266</v>
      </c>
      <c r="B4300">
        <v>171.3</v>
      </c>
    </row>
    <row r="4301" spans="1:2">
      <c r="A4301">
        <v>264</v>
      </c>
      <c r="B4301">
        <v>171.2</v>
      </c>
    </row>
    <row r="4302" spans="1:2">
      <c r="A4302">
        <v>265.39999999999998</v>
      </c>
      <c r="B4302">
        <v>169.8</v>
      </c>
    </row>
    <row r="4303" spans="1:2">
      <c r="A4303">
        <v>265.10000000000002</v>
      </c>
      <c r="B4303">
        <v>167.6</v>
      </c>
    </row>
    <row r="4304" spans="1:2">
      <c r="A4304">
        <v>266.2</v>
      </c>
      <c r="B4304">
        <v>167.7</v>
      </c>
    </row>
    <row r="4305" spans="1:2">
      <c r="A4305">
        <v>265.8</v>
      </c>
      <c r="B4305">
        <v>165</v>
      </c>
    </row>
    <row r="4306" spans="1:2">
      <c r="A4306">
        <v>261.5</v>
      </c>
      <c r="B4306">
        <v>167.8</v>
      </c>
    </row>
    <row r="4307" spans="1:2">
      <c r="A4307">
        <v>260.3</v>
      </c>
      <c r="B4307">
        <v>167.4</v>
      </c>
    </row>
    <row r="4308" spans="1:2">
      <c r="A4308">
        <v>260.8</v>
      </c>
      <c r="B4308">
        <v>165.6</v>
      </c>
    </row>
    <row r="4309" spans="1:2">
      <c r="A4309">
        <v>258.39999999999998</v>
      </c>
      <c r="B4309">
        <v>168.6</v>
      </c>
    </row>
    <row r="4310" spans="1:2">
      <c r="A4310">
        <v>259.3</v>
      </c>
      <c r="B4310">
        <v>170.4</v>
      </c>
    </row>
    <row r="4311" spans="1:2">
      <c r="A4311">
        <v>258.39999999999998</v>
      </c>
      <c r="B4311">
        <v>172.3</v>
      </c>
    </row>
    <row r="4312" spans="1:2">
      <c r="A4312">
        <v>260.89999999999998</v>
      </c>
      <c r="B4312">
        <v>172.4</v>
      </c>
    </row>
    <row r="4313" spans="1:2">
      <c r="A4313">
        <v>258</v>
      </c>
      <c r="B4313">
        <v>174.5</v>
      </c>
    </row>
    <row r="4314" spans="1:2">
      <c r="A4314">
        <v>262</v>
      </c>
      <c r="B4314">
        <v>178.3</v>
      </c>
    </row>
    <row r="4315" spans="1:2">
      <c r="A4315">
        <v>259</v>
      </c>
      <c r="B4315">
        <v>181.4</v>
      </c>
    </row>
    <row r="4316" spans="1:2">
      <c r="A4316">
        <v>260</v>
      </c>
      <c r="B4316">
        <v>182</v>
      </c>
    </row>
    <row r="4317" spans="1:2">
      <c r="A4317">
        <v>258.8</v>
      </c>
      <c r="B4317">
        <v>184.6</v>
      </c>
    </row>
    <row r="4318" spans="1:2">
      <c r="A4318">
        <v>255.8</v>
      </c>
      <c r="B4318">
        <v>185</v>
      </c>
    </row>
    <row r="4319" spans="1:2">
      <c r="A4319">
        <v>258.10000000000002</v>
      </c>
      <c r="B4319">
        <v>189.8</v>
      </c>
    </row>
    <row r="4320" spans="1:2">
      <c r="A4320">
        <v>257.10000000000002</v>
      </c>
      <c r="B4320">
        <v>192.8</v>
      </c>
    </row>
    <row r="4321" spans="1:2">
      <c r="A4321">
        <v>261.8</v>
      </c>
      <c r="B4321">
        <v>192.8</v>
      </c>
    </row>
    <row r="4322" spans="1:2">
      <c r="A4322">
        <v>262.5</v>
      </c>
      <c r="B4322">
        <v>194.5</v>
      </c>
    </row>
    <row r="4323" spans="1:2">
      <c r="A4323">
        <v>263.7</v>
      </c>
      <c r="B4323">
        <v>193.8</v>
      </c>
    </row>
    <row r="4324" spans="1:2">
      <c r="A4324">
        <v>262.39999999999998</v>
      </c>
      <c r="B4324">
        <v>192.8</v>
      </c>
    </row>
    <row r="4326" spans="1:2">
      <c r="A4326">
        <v>273.5</v>
      </c>
      <c r="B4326">
        <v>194</v>
      </c>
    </row>
    <row r="4327" spans="1:2">
      <c r="A4327">
        <v>275.2</v>
      </c>
      <c r="B4327">
        <v>193.7</v>
      </c>
    </row>
    <row r="4328" spans="1:2">
      <c r="A4328">
        <v>275.3</v>
      </c>
      <c r="B4328">
        <v>191.8</v>
      </c>
    </row>
    <row r="4329" spans="1:2">
      <c r="A4329">
        <v>271.10000000000002</v>
      </c>
      <c r="B4329">
        <v>191.8</v>
      </c>
    </row>
    <row r="4330" spans="1:2">
      <c r="A4330">
        <v>271.2</v>
      </c>
      <c r="B4330">
        <v>193.9</v>
      </c>
    </row>
    <row r="4331" spans="1:2">
      <c r="A4331">
        <v>273.5</v>
      </c>
      <c r="B4331">
        <v>194</v>
      </c>
    </row>
    <row r="4333" spans="1:2">
      <c r="A4333">
        <v>260.60000000000002</v>
      </c>
      <c r="B4333">
        <v>196.7</v>
      </c>
    </row>
    <row r="4334" spans="1:2">
      <c r="A4334">
        <v>261.8</v>
      </c>
      <c r="B4334">
        <v>192.8</v>
      </c>
    </row>
    <row r="4335" spans="1:2">
      <c r="A4335">
        <v>257.10000000000002</v>
      </c>
      <c r="B4335">
        <v>192.8</v>
      </c>
    </row>
    <row r="4336" spans="1:2">
      <c r="A4336">
        <v>258.2</v>
      </c>
      <c r="B4336">
        <v>190.7</v>
      </c>
    </row>
    <row r="4337" spans="1:2">
      <c r="A4337">
        <v>257.2</v>
      </c>
      <c r="B4337">
        <v>188.4</v>
      </c>
    </row>
    <row r="4338" spans="1:2">
      <c r="A4338">
        <v>256</v>
      </c>
      <c r="B4338">
        <v>188.7</v>
      </c>
    </row>
    <row r="4339" spans="1:2">
      <c r="A4339">
        <v>255.3</v>
      </c>
      <c r="B4339">
        <v>192.4</v>
      </c>
    </row>
    <row r="4340" spans="1:2">
      <c r="A4340">
        <v>252.9</v>
      </c>
      <c r="B4340">
        <v>191.9</v>
      </c>
    </row>
    <row r="4341" spans="1:2">
      <c r="A4341">
        <v>252.5</v>
      </c>
      <c r="B4341">
        <v>188.4</v>
      </c>
    </row>
    <row r="4342" spans="1:2">
      <c r="A4342">
        <v>248.5</v>
      </c>
      <c r="B4342">
        <v>187.8</v>
      </c>
    </row>
    <row r="4343" spans="1:2">
      <c r="A4343">
        <v>248.4</v>
      </c>
      <c r="B4343">
        <v>188.9</v>
      </c>
    </row>
    <row r="4344" spans="1:2">
      <c r="A4344">
        <v>247.1</v>
      </c>
      <c r="B4344">
        <v>187.3</v>
      </c>
    </row>
    <row r="4345" spans="1:2">
      <c r="A4345">
        <v>243.3</v>
      </c>
      <c r="B4345">
        <v>188.5</v>
      </c>
    </row>
    <row r="4346" spans="1:2">
      <c r="A4346">
        <v>242.1</v>
      </c>
      <c r="B4346">
        <v>191.2</v>
      </c>
    </row>
    <row r="4347" spans="1:2">
      <c r="A4347">
        <v>239.6</v>
      </c>
      <c r="B4347">
        <v>191.2</v>
      </c>
    </row>
    <row r="4348" spans="1:2">
      <c r="A4348">
        <v>239.4</v>
      </c>
      <c r="B4348">
        <v>193.6</v>
      </c>
    </row>
    <row r="4349" spans="1:2">
      <c r="A4349">
        <v>238.4</v>
      </c>
      <c r="B4349">
        <v>192.8</v>
      </c>
    </row>
    <row r="4350" spans="1:2">
      <c r="A4350">
        <v>236.8</v>
      </c>
      <c r="B4350">
        <v>195</v>
      </c>
    </row>
    <row r="4351" spans="1:2">
      <c r="A4351">
        <v>232.1</v>
      </c>
      <c r="B4351">
        <v>193</v>
      </c>
    </row>
    <row r="4352" spans="1:2">
      <c r="A4352">
        <v>229.9</v>
      </c>
      <c r="B4352">
        <v>194.1</v>
      </c>
    </row>
    <row r="4353" spans="1:2">
      <c r="A4353">
        <v>231</v>
      </c>
      <c r="B4353">
        <v>197</v>
      </c>
    </row>
    <row r="4354" spans="1:2">
      <c r="A4354">
        <v>229.4</v>
      </c>
      <c r="B4354">
        <v>200.7</v>
      </c>
    </row>
    <row r="4355" spans="1:2">
      <c r="A4355">
        <v>227.3</v>
      </c>
      <c r="B4355">
        <v>204.1</v>
      </c>
    </row>
    <row r="4356" spans="1:2">
      <c r="A4356">
        <v>226.5</v>
      </c>
      <c r="B4356">
        <v>202</v>
      </c>
    </row>
    <row r="4357" spans="1:2">
      <c r="A4357">
        <v>225.3</v>
      </c>
      <c r="B4357">
        <v>203.1</v>
      </c>
    </row>
    <row r="4358" spans="1:2">
      <c r="A4358">
        <v>226.8</v>
      </c>
      <c r="B4358">
        <v>219.6</v>
      </c>
    </row>
    <row r="4359" spans="1:2">
      <c r="A4359">
        <v>229.2</v>
      </c>
      <c r="B4359">
        <v>219.5</v>
      </c>
    </row>
    <row r="4360" spans="1:2">
      <c r="A4360">
        <v>232.9</v>
      </c>
      <c r="B4360">
        <v>214.4</v>
      </c>
    </row>
    <row r="4361" spans="1:2">
      <c r="A4361">
        <v>234.4</v>
      </c>
      <c r="B4361">
        <v>215.4</v>
      </c>
    </row>
    <row r="4362" spans="1:2">
      <c r="A4362">
        <v>238.2</v>
      </c>
      <c r="B4362">
        <v>213</v>
      </c>
    </row>
    <row r="4363" spans="1:2">
      <c r="A4363">
        <v>240.2</v>
      </c>
      <c r="B4363">
        <v>216.1</v>
      </c>
    </row>
    <row r="4364" spans="1:2">
      <c r="A4364">
        <v>242.9</v>
      </c>
      <c r="B4364">
        <v>216.4</v>
      </c>
    </row>
    <row r="4365" spans="1:2">
      <c r="A4365">
        <v>245.9</v>
      </c>
      <c r="B4365">
        <v>221.3</v>
      </c>
    </row>
    <row r="4366" spans="1:2">
      <c r="A4366">
        <v>245.8</v>
      </c>
      <c r="B4366">
        <v>225.8</v>
      </c>
    </row>
    <row r="4367" spans="1:2">
      <c r="A4367">
        <v>246.9</v>
      </c>
      <c r="B4367">
        <v>225.7</v>
      </c>
    </row>
    <row r="4368" spans="1:2">
      <c r="A4368">
        <v>256.5</v>
      </c>
      <c r="B4368">
        <v>217.7</v>
      </c>
    </row>
    <row r="4369" spans="1:2">
      <c r="A4369">
        <v>256</v>
      </c>
      <c r="B4369">
        <v>212.6</v>
      </c>
    </row>
    <row r="4370" spans="1:2">
      <c r="A4370">
        <v>258.8</v>
      </c>
      <c r="B4370">
        <v>209.3</v>
      </c>
    </row>
    <row r="4371" spans="1:2">
      <c r="A4371">
        <v>259.7</v>
      </c>
      <c r="B4371">
        <v>205.7</v>
      </c>
    </row>
    <row r="4372" spans="1:2">
      <c r="A4372">
        <v>258.10000000000002</v>
      </c>
      <c r="B4372">
        <v>204.1</v>
      </c>
    </row>
    <row r="4373" spans="1:2">
      <c r="A4373">
        <v>257.89999999999998</v>
      </c>
      <c r="B4373">
        <v>201.2</v>
      </c>
    </row>
    <row r="4374" spans="1:2">
      <c r="A4374">
        <v>260.60000000000002</v>
      </c>
      <c r="B4374">
        <v>199.1</v>
      </c>
    </row>
    <row r="4375" spans="1:2">
      <c r="A4375">
        <v>260.60000000000002</v>
      </c>
      <c r="B4375">
        <v>196.7</v>
      </c>
    </row>
    <row r="4377" spans="1:2">
      <c r="A4377">
        <v>180</v>
      </c>
      <c r="B4377">
        <v>217.7</v>
      </c>
    </row>
    <row r="4378" spans="1:2">
      <c r="A4378">
        <v>181.1</v>
      </c>
      <c r="B4378">
        <v>216.8</v>
      </c>
    </row>
    <row r="4379" spans="1:2">
      <c r="A4379">
        <v>186.6</v>
      </c>
      <c r="B4379">
        <v>217.7</v>
      </c>
    </row>
    <row r="4380" spans="1:2">
      <c r="A4380">
        <v>189.2</v>
      </c>
      <c r="B4380">
        <v>215.3</v>
      </c>
    </row>
    <row r="4381" spans="1:2">
      <c r="A4381">
        <v>190</v>
      </c>
      <c r="B4381">
        <v>213.1</v>
      </c>
    </row>
    <row r="4382" spans="1:2">
      <c r="A4382">
        <v>188.4</v>
      </c>
      <c r="B4382">
        <v>212.5</v>
      </c>
    </row>
    <row r="4383" spans="1:2">
      <c r="A4383">
        <v>190.1</v>
      </c>
      <c r="B4383">
        <v>211.2</v>
      </c>
    </row>
    <row r="4384" spans="1:2">
      <c r="A4384">
        <v>194.1</v>
      </c>
      <c r="B4384">
        <v>211.2</v>
      </c>
    </row>
    <row r="4385" spans="1:2">
      <c r="A4385">
        <v>197.4</v>
      </c>
      <c r="B4385">
        <v>214</v>
      </c>
    </row>
    <row r="4386" spans="1:2">
      <c r="A4386">
        <v>200.5</v>
      </c>
      <c r="B4386">
        <v>213.9</v>
      </c>
    </row>
    <row r="4387" spans="1:2">
      <c r="A4387">
        <v>201.2</v>
      </c>
      <c r="B4387">
        <v>211.4</v>
      </c>
    </row>
    <row r="4388" spans="1:2">
      <c r="A4388">
        <v>198.5</v>
      </c>
      <c r="B4388">
        <v>206.5</v>
      </c>
    </row>
    <row r="4389" spans="1:2">
      <c r="A4389">
        <v>200.8</v>
      </c>
      <c r="B4389">
        <v>204.7</v>
      </c>
    </row>
    <row r="4390" spans="1:2">
      <c r="A4390">
        <v>198.3</v>
      </c>
      <c r="B4390">
        <v>199</v>
      </c>
    </row>
    <row r="4391" spans="1:2">
      <c r="A4391">
        <v>198.7</v>
      </c>
      <c r="B4391">
        <v>193.7</v>
      </c>
    </row>
    <row r="4392" spans="1:2">
      <c r="A4392">
        <v>193</v>
      </c>
      <c r="B4392">
        <v>191.2</v>
      </c>
    </row>
    <row r="4393" spans="1:2">
      <c r="A4393">
        <v>189.5</v>
      </c>
      <c r="B4393">
        <v>194.6</v>
      </c>
    </row>
    <row r="4394" spans="1:2">
      <c r="A4394">
        <v>186</v>
      </c>
      <c r="B4394">
        <v>193.5</v>
      </c>
    </row>
    <row r="4395" spans="1:2">
      <c r="A4395">
        <v>183.7</v>
      </c>
      <c r="B4395">
        <v>199</v>
      </c>
    </row>
    <row r="4396" spans="1:2">
      <c r="A4396">
        <v>181.7</v>
      </c>
      <c r="B4396">
        <v>199.7</v>
      </c>
    </row>
    <row r="4397" spans="1:2">
      <c r="A4397">
        <v>180.4</v>
      </c>
      <c r="B4397">
        <v>198.3</v>
      </c>
    </row>
    <row r="4398" spans="1:2">
      <c r="A4398">
        <v>181.6</v>
      </c>
      <c r="B4398">
        <v>192.7</v>
      </c>
    </row>
    <row r="4399" spans="1:2">
      <c r="A4399">
        <v>180.4</v>
      </c>
      <c r="B4399">
        <v>194</v>
      </c>
    </row>
    <row r="4400" spans="1:2">
      <c r="A4400">
        <v>177.8</v>
      </c>
      <c r="B4400">
        <v>193.5</v>
      </c>
    </row>
    <row r="4401" spans="1:2">
      <c r="A4401">
        <v>177.5</v>
      </c>
      <c r="B4401">
        <v>197</v>
      </c>
    </row>
    <row r="4402" spans="1:2">
      <c r="A4402">
        <v>175.4</v>
      </c>
      <c r="B4402">
        <v>197.9</v>
      </c>
    </row>
    <row r="4403" spans="1:2">
      <c r="A4403">
        <v>174.6</v>
      </c>
      <c r="B4403">
        <v>196.3</v>
      </c>
    </row>
    <row r="4404" spans="1:2">
      <c r="A4404">
        <v>172.8</v>
      </c>
      <c r="B4404">
        <v>196.3</v>
      </c>
    </row>
    <row r="4405" spans="1:2">
      <c r="A4405">
        <v>173.2</v>
      </c>
      <c r="B4405">
        <v>194.2</v>
      </c>
    </row>
    <row r="4406" spans="1:2">
      <c r="A4406">
        <v>171.1</v>
      </c>
      <c r="B4406">
        <v>191.4</v>
      </c>
    </row>
    <row r="4407" spans="1:2">
      <c r="A4407">
        <v>167.5</v>
      </c>
      <c r="B4407">
        <v>197.3</v>
      </c>
    </row>
    <row r="4408" spans="1:2">
      <c r="A4408">
        <v>170</v>
      </c>
      <c r="B4408">
        <v>196.8</v>
      </c>
    </row>
    <row r="4409" spans="1:2">
      <c r="A4409">
        <v>168.8</v>
      </c>
      <c r="B4409">
        <v>200</v>
      </c>
    </row>
    <row r="4410" spans="1:2">
      <c r="A4410">
        <v>170.3</v>
      </c>
      <c r="B4410">
        <v>203.7</v>
      </c>
    </row>
    <row r="4411" spans="1:2">
      <c r="A4411">
        <v>171.5</v>
      </c>
      <c r="B4411">
        <v>204.3</v>
      </c>
    </row>
    <row r="4412" spans="1:2">
      <c r="A4412">
        <v>172.7</v>
      </c>
      <c r="B4412">
        <v>202.6</v>
      </c>
    </row>
    <row r="4413" spans="1:2">
      <c r="A4413">
        <v>174.9</v>
      </c>
      <c r="B4413">
        <v>205.1</v>
      </c>
    </row>
    <row r="4414" spans="1:2">
      <c r="A4414">
        <v>173.8</v>
      </c>
      <c r="B4414">
        <v>207.1</v>
      </c>
    </row>
    <row r="4415" spans="1:2">
      <c r="A4415">
        <v>174.6</v>
      </c>
      <c r="B4415">
        <v>216.1</v>
      </c>
    </row>
    <row r="4416" spans="1:2">
      <c r="A4416">
        <v>177</v>
      </c>
      <c r="B4416">
        <v>214.9</v>
      </c>
    </row>
    <row r="4417" spans="1:2">
      <c r="A4417">
        <v>180</v>
      </c>
      <c r="B4417">
        <v>217.7</v>
      </c>
    </row>
    <row r="4419" spans="1:2">
      <c r="A4419">
        <v>261.7</v>
      </c>
      <c r="B4419">
        <v>196.7</v>
      </c>
    </row>
    <row r="4420" spans="1:2">
      <c r="A4420">
        <v>263.60000000000002</v>
      </c>
      <c r="B4420">
        <v>193.9</v>
      </c>
    </row>
    <row r="4421" spans="1:2">
      <c r="A4421">
        <v>261.89999999999998</v>
      </c>
      <c r="B4421">
        <v>193.6</v>
      </c>
    </row>
    <row r="4422" spans="1:2">
      <c r="A4422">
        <v>261.7</v>
      </c>
      <c r="B4422">
        <v>196.7</v>
      </c>
    </row>
    <row r="4424" spans="1:2">
      <c r="A4424">
        <v>270</v>
      </c>
      <c r="B4424">
        <v>196</v>
      </c>
    </row>
    <row r="4425" spans="1:2">
      <c r="A4425">
        <v>268.10000000000002</v>
      </c>
      <c r="B4425">
        <v>195.9</v>
      </c>
    </row>
    <row r="4426" spans="1:2">
      <c r="A4426">
        <v>268.8</v>
      </c>
      <c r="B4426">
        <v>197.9</v>
      </c>
    </row>
    <row r="4427" spans="1:2">
      <c r="A4427">
        <v>270</v>
      </c>
      <c r="B4427">
        <v>196</v>
      </c>
    </row>
    <row r="4429" spans="1:2">
      <c r="A4429">
        <v>274.60000000000002</v>
      </c>
      <c r="B4429">
        <v>199</v>
      </c>
    </row>
    <row r="4430" spans="1:2">
      <c r="A4430">
        <v>278.60000000000002</v>
      </c>
      <c r="B4430">
        <v>196.4</v>
      </c>
    </row>
    <row r="4431" spans="1:2">
      <c r="A4431">
        <v>278.60000000000002</v>
      </c>
      <c r="B4431">
        <v>193.2</v>
      </c>
    </row>
    <row r="4432" spans="1:2">
      <c r="A4432">
        <v>274.89999999999998</v>
      </c>
      <c r="B4432">
        <v>195.3</v>
      </c>
    </row>
    <row r="4433" spans="1:2">
      <c r="A4433">
        <v>276.60000000000002</v>
      </c>
      <c r="B4433">
        <v>195.6</v>
      </c>
    </row>
    <row r="4434" spans="1:2">
      <c r="A4434">
        <v>271.7</v>
      </c>
      <c r="B4434">
        <v>196.1</v>
      </c>
    </row>
    <row r="4435" spans="1:2">
      <c r="A4435">
        <v>273.39999999999998</v>
      </c>
      <c r="B4435">
        <v>199.8</v>
      </c>
    </row>
    <row r="4436" spans="1:2">
      <c r="A4436">
        <v>274.60000000000002</v>
      </c>
      <c r="B4436">
        <v>199</v>
      </c>
    </row>
    <row r="4438" spans="1:2">
      <c r="A4438">
        <v>267</v>
      </c>
      <c r="B4438">
        <v>222.8</v>
      </c>
    </row>
    <row r="4439" spans="1:2">
      <c r="A4439">
        <v>270.3</v>
      </c>
      <c r="B4439">
        <v>220.1</v>
      </c>
    </row>
    <row r="4440" spans="1:2">
      <c r="A4440">
        <v>272.7</v>
      </c>
      <c r="B4440">
        <v>214.5</v>
      </c>
    </row>
    <row r="4441" spans="1:2">
      <c r="A4441">
        <v>277</v>
      </c>
      <c r="B4441">
        <v>211.3</v>
      </c>
    </row>
    <row r="4442" spans="1:2">
      <c r="A4442">
        <v>278.8</v>
      </c>
      <c r="B4442">
        <v>206.7</v>
      </c>
    </row>
    <row r="4443" spans="1:2">
      <c r="A4443">
        <v>275.89999999999998</v>
      </c>
      <c r="B4443">
        <v>201.4</v>
      </c>
    </row>
    <row r="4444" spans="1:2">
      <c r="A4444">
        <v>277.2</v>
      </c>
      <c r="B4444">
        <v>198.3</v>
      </c>
    </row>
    <row r="4445" spans="1:2">
      <c r="A4445">
        <v>275.2</v>
      </c>
      <c r="B4445">
        <v>198.4</v>
      </c>
    </row>
    <row r="4446" spans="1:2">
      <c r="A4446">
        <v>275.8</v>
      </c>
      <c r="B4446">
        <v>201.4</v>
      </c>
    </row>
    <row r="4447" spans="1:2">
      <c r="A4447">
        <v>274</v>
      </c>
      <c r="B4447">
        <v>200.6</v>
      </c>
    </row>
    <row r="4448" spans="1:2">
      <c r="A4448">
        <v>270.89999999999998</v>
      </c>
      <c r="B4448">
        <v>196.7</v>
      </c>
    </row>
    <row r="4449" spans="1:2">
      <c r="A4449">
        <v>268.8</v>
      </c>
      <c r="B4449">
        <v>198.1</v>
      </c>
    </row>
    <row r="4450" spans="1:2">
      <c r="A4450">
        <v>268.7</v>
      </c>
      <c r="B4450">
        <v>195</v>
      </c>
    </row>
    <row r="4451" spans="1:2">
      <c r="A4451">
        <v>265.89999999999998</v>
      </c>
      <c r="B4451">
        <v>192.9</v>
      </c>
    </row>
    <row r="4452" spans="1:2">
      <c r="A4452">
        <v>264.60000000000002</v>
      </c>
      <c r="B4452">
        <v>194.9</v>
      </c>
    </row>
    <row r="4453" spans="1:2">
      <c r="A4453">
        <v>267.39999999999998</v>
      </c>
      <c r="B4453">
        <v>195.7</v>
      </c>
    </row>
    <row r="4454" spans="1:2">
      <c r="A4454">
        <v>264.5</v>
      </c>
      <c r="B4454">
        <v>195.3</v>
      </c>
    </row>
    <row r="4455" spans="1:2">
      <c r="A4455">
        <v>262.39999999999998</v>
      </c>
      <c r="B4455">
        <v>197.5</v>
      </c>
    </row>
    <row r="4456" spans="1:2">
      <c r="A4456">
        <v>260.60000000000002</v>
      </c>
      <c r="B4456">
        <v>196.7</v>
      </c>
    </row>
    <row r="4457" spans="1:2">
      <c r="A4457">
        <v>260.60000000000002</v>
      </c>
      <c r="B4457">
        <v>199.1</v>
      </c>
    </row>
    <row r="4458" spans="1:2">
      <c r="A4458">
        <v>257.89999999999998</v>
      </c>
      <c r="B4458">
        <v>201</v>
      </c>
    </row>
    <row r="4459" spans="1:2">
      <c r="A4459">
        <v>259.60000000000002</v>
      </c>
      <c r="B4459">
        <v>205.9</v>
      </c>
    </row>
    <row r="4460" spans="1:2">
      <c r="A4460">
        <v>256</v>
      </c>
      <c r="B4460">
        <v>213.2</v>
      </c>
    </row>
    <row r="4461" spans="1:2">
      <c r="A4461">
        <v>256.7</v>
      </c>
      <c r="B4461">
        <v>216.9</v>
      </c>
    </row>
    <row r="4462" spans="1:2">
      <c r="A4462">
        <v>258.89999999999998</v>
      </c>
      <c r="B4462">
        <v>215.8</v>
      </c>
    </row>
    <row r="4463" spans="1:2">
      <c r="A4463">
        <v>261.10000000000002</v>
      </c>
      <c r="B4463">
        <v>218.4</v>
      </c>
    </row>
    <row r="4464" spans="1:2">
      <c r="A4464">
        <v>262.89999999999998</v>
      </c>
      <c r="B4464">
        <v>218.3</v>
      </c>
    </row>
    <row r="4465" spans="1:2">
      <c r="A4465">
        <v>264.3</v>
      </c>
      <c r="B4465">
        <v>225</v>
      </c>
    </row>
    <row r="4466" spans="1:2">
      <c r="A4466">
        <v>267</v>
      </c>
      <c r="B4466">
        <v>222.8</v>
      </c>
    </row>
    <row r="4468" spans="1:2">
      <c r="A4468">
        <v>213.1</v>
      </c>
      <c r="B4468">
        <v>255.7</v>
      </c>
    </row>
    <row r="4469" spans="1:2">
      <c r="A4469">
        <v>213.3</v>
      </c>
      <c r="B4469">
        <v>252.4</v>
      </c>
    </row>
    <row r="4470" spans="1:2">
      <c r="A4470">
        <v>214.6</v>
      </c>
      <c r="B4470">
        <v>251.6</v>
      </c>
    </row>
    <row r="4471" spans="1:2">
      <c r="A4471">
        <v>214.1</v>
      </c>
      <c r="B4471">
        <v>249</v>
      </c>
    </row>
    <row r="4472" spans="1:2">
      <c r="A4472">
        <v>212.4</v>
      </c>
      <c r="B4472">
        <v>248.2</v>
      </c>
    </row>
    <row r="4473" spans="1:2">
      <c r="A4473">
        <v>216.2</v>
      </c>
      <c r="B4473">
        <v>245</v>
      </c>
    </row>
    <row r="4474" spans="1:2">
      <c r="A4474">
        <v>216.1</v>
      </c>
      <c r="B4474">
        <v>242.2</v>
      </c>
    </row>
    <row r="4475" spans="1:2">
      <c r="A4475">
        <v>214.6</v>
      </c>
      <c r="B4475">
        <v>242.3</v>
      </c>
    </row>
    <row r="4476" spans="1:2">
      <c r="A4476">
        <v>213.8</v>
      </c>
      <c r="B4476">
        <v>240.3</v>
      </c>
    </row>
    <row r="4477" spans="1:2">
      <c r="A4477">
        <v>218.5</v>
      </c>
      <c r="B4477">
        <v>238.1</v>
      </c>
    </row>
    <row r="4478" spans="1:2">
      <c r="A4478">
        <v>218.7</v>
      </c>
      <c r="B4478">
        <v>234.4</v>
      </c>
    </row>
    <row r="4479" spans="1:2">
      <c r="A4479">
        <v>217.1</v>
      </c>
      <c r="B4479">
        <v>232.3</v>
      </c>
    </row>
    <row r="4480" spans="1:2">
      <c r="A4480">
        <v>220.3</v>
      </c>
      <c r="B4480">
        <v>226.6</v>
      </c>
    </row>
    <row r="4481" spans="1:2">
      <c r="A4481">
        <v>215.8</v>
      </c>
      <c r="B4481">
        <v>225.4</v>
      </c>
    </row>
    <row r="4482" spans="1:2">
      <c r="A4482">
        <v>217.8</v>
      </c>
      <c r="B4482">
        <v>219.6</v>
      </c>
    </row>
    <row r="4483" spans="1:2">
      <c r="A4483">
        <v>216.2</v>
      </c>
      <c r="B4483">
        <v>218</v>
      </c>
    </row>
    <row r="4484" spans="1:2">
      <c r="A4484">
        <v>210.8</v>
      </c>
      <c r="B4484">
        <v>220</v>
      </c>
    </row>
    <row r="4485" spans="1:2">
      <c r="A4485">
        <v>211.9</v>
      </c>
      <c r="B4485">
        <v>224.2</v>
      </c>
    </row>
    <row r="4486" spans="1:2">
      <c r="A4486">
        <v>210</v>
      </c>
      <c r="B4486">
        <v>225.9</v>
      </c>
    </row>
    <row r="4487" spans="1:2">
      <c r="A4487">
        <v>207.2</v>
      </c>
      <c r="B4487">
        <v>225.1</v>
      </c>
    </row>
    <row r="4488" spans="1:2">
      <c r="A4488">
        <v>204</v>
      </c>
      <c r="B4488">
        <v>232.6</v>
      </c>
    </row>
    <row r="4489" spans="1:2">
      <c r="A4489">
        <v>201.7</v>
      </c>
      <c r="B4489">
        <v>233.4</v>
      </c>
    </row>
    <row r="4490" spans="1:2">
      <c r="A4490">
        <v>199.4</v>
      </c>
      <c r="B4490">
        <v>232.3</v>
      </c>
    </row>
    <row r="4491" spans="1:2">
      <c r="A4491">
        <v>197.2</v>
      </c>
      <c r="B4491">
        <v>237.3</v>
      </c>
    </row>
    <row r="4492" spans="1:2">
      <c r="A4492">
        <v>197.9</v>
      </c>
      <c r="B4492">
        <v>240.2</v>
      </c>
    </row>
    <row r="4493" spans="1:2">
      <c r="A4493">
        <v>200.2</v>
      </c>
      <c r="B4493">
        <v>240.8</v>
      </c>
    </row>
    <row r="4494" spans="1:2">
      <c r="A4494">
        <v>199.1</v>
      </c>
      <c r="B4494">
        <v>242.5</v>
      </c>
    </row>
    <row r="4495" spans="1:2">
      <c r="A4495">
        <v>199.9</v>
      </c>
      <c r="B4495">
        <v>244.7</v>
      </c>
    </row>
    <row r="4496" spans="1:2">
      <c r="A4496">
        <v>202.6</v>
      </c>
      <c r="B4496">
        <v>247.4</v>
      </c>
    </row>
    <row r="4497" spans="1:2">
      <c r="A4497">
        <v>203.4</v>
      </c>
      <c r="B4497">
        <v>246.6</v>
      </c>
    </row>
    <row r="4498" spans="1:2">
      <c r="A4498">
        <v>203</v>
      </c>
      <c r="B4498">
        <v>249.1</v>
      </c>
    </row>
    <row r="4499" spans="1:2">
      <c r="A4499">
        <v>207.9</v>
      </c>
      <c r="B4499">
        <v>248.8</v>
      </c>
    </row>
    <row r="4500" spans="1:2">
      <c r="A4500">
        <v>207.5</v>
      </c>
      <c r="B4500">
        <v>251.8</v>
      </c>
    </row>
    <row r="4501" spans="1:2">
      <c r="A4501">
        <v>209.5</v>
      </c>
      <c r="B4501">
        <v>253.1</v>
      </c>
    </row>
    <row r="4502" spans="1:2">
      <c r="A4502">
        <v>210</v>
      </c>
      <c r="B4502">
        <v>255.6</v>
      </c>
    </row>
    <row r="4503" spans="1:2">
      <c r="A4503">
        <v>213.1</v>
      </c>
      <c r="B4503">
        <v>255.7</v>
      </c>
    </row>
    <row r="4505" spans="1:2">
      <c r="A4505">
        <v>226.1</v>
      </c>
      <c r="B4505">
        <v>241.4</v>
      </c>
    </row>
    <row r="4506" spans="1:2">
      <c r="A4506">
        <v>228.2</v>
      </c>
      <c r="B4506">
        <v>239.6</v>
      </c>
    </row>
    <row r="4507" spans="1:2">
      <c r="A4507">
        <v>230.3</v>
      </c>
      <c r="B4507">
        <v>241.6</v>
      </c>
    </row>
    <row r="4508" spans="1:2">
      <c r="A4508">
        <v>232.5</v>
      </c>
      <c r="B4508">
        <v>239.3</v>
      </c>
    </row>
    <row r="4509" spans="1:2">
      <c r="A4509">
        <v>236.9</v>
      </c>
      <c r="B4509">
        <v>238.4</v>
      </c>
    </row>
    <row r="4510" spans="1:2">
      <c r="A4510">
        <v>241</v>
      </c>
      <c r="B4510">
        <v>240.4</v>
      </c>
    </row>
    <row r="4511" spans="1:2">
      <c r="A4511">
        <v>243.8</v>
      </c>
      <c r="B4511">
        <v>238</v>
      </c>
    </row>
    <row r="4512" spans="1:2">
      <c r="A4512">
        <v>243.3</v>
      </c>
      <c r="B4512">
        <v>236.2</v>
      </c>
    </row>
    <row r="4513" spans="1:2">
      <c r="A4513">
        <v>245.2</v>
      </c>
      <c r="B4513">
        <v>231.6</v>
      </c>
    </row>
    <row r="4514" spans="1:2">
      <c r="A4514">
        <v>242.1</v>
      </c>
      <c r="B4514">
        <v>229.8</v>
      </c>
    </row>
    <row r="4515" spans="1:2">
      <c r="A4515">
        <v>243</v>
      </c>
      <c r="B4515">
        <v>226.4</v>
      </c>
    </row>
    <row r="4516" spans="1:2">
      <c r="A4516">
        <v>245.8</v>
      </c>
      <c r="B4516">
        <v>225.8</v>
      </c>
    </row>
    <row r="4517" spans="1:2">
      <c r="A4517">
        <v>245.9</v>
      </c>
      <c r="B4517">
        <v>221.4</v>
      </c>
    </row>
    <row r="4518" spans="1:2">
      <c r="A4518">
        <v>242.9</v>
      </c>
      <c r="B4518">
        <v>216.4</v>
      </c>
    </row>
    <row r="4519" spans="1:2">
      <c r="A4519">
        <v>240.2</v>
      </c>
      <c r="B4519">
        <v>216.1</v>
      </c>
    </row>
    <row r="4520" spans="1:2">
      <c r="A4520">
        <v>238.2</v>
      </c>
      <c r="B4520">
        <v>213</v>
      </c>
    </row>
    <row r="4521" spans="1:2">
      <c r="A4521">
        <v>234.4</v>
      </c>
      <c r="B4521">
        <v>215.4</v>
      </c>
    </row>
    <row r="4522" spans="1:2">
      <c r="A4522">
        <v>232.9</v>
      </c>
      <c r="B4522">
        <v>214.4</v>
      </c>
    </row>
    <row r="4523" spans="1:2">
      <c r="A4523">
        <v>231.6</v>
      </c>
      <c r="B4523">
        <v>217.4</v>
      </c>
    </row>
    <row r="4524" spans="1:2">
      <c r="A4524">
        <v>231.2</v>
      </c>
      <c r="B4524">
        <v>216.5</v>
      </c>
    </row>
    <row r="4525" spans="1:2">
      <c r="A4525">
        <v>228.8</v>
      </c>
      <c r="B4525">
        <v>219.8</v>
      </c>
    </row>
    <row r="4526" spans="1:2">
      <c r="A4526">
        <v>227.3</v>
      </c>
      <c r="B4526">
        <v>219.7</v>
      </c>
    </row>
    <row r="4527" spans="1:2">
      <c r="A4527">
        <v>226.5</v>
      </c>
      <c r="B4527">
        <v>223.3</v>
      </c>
    </row>
    <row r="4528" spans="1:2">
      <c r="A4528">
        <v>227.6</v>
      </c>
      <c r="B4528">
        <v>225.7</v>
      </c>
    </row>
    <row r="4529" spans="1:2">
      <c r="A4529">
        <v>226.3</v>
      </c>
      <c r="B4529">
        <v>228.7</v>
      </c>
    </row>
    <row r="4530" spans="1:2">
      <c r="A4530">
        <v>222.7</v>
      </c>
      <c r="B4530">
        <v>226.5</v>
      </c>
    </row>
    <row r="4531" spans="1:2">
      <c r="A4531">
        <v>219.2</v>
      </c>
      <c r="B4531">
        <v>227</v>
      </c>
    </row>
    <row r="4532" spans="1:2">
      <c r="A4532">
        <v>217.1</v>
      </c>
      <c r="B4532">
        <v>232.3</v>
      </c>
    </row>
    <row r="4533" spans="1:2">
      <c r="A4533">
        <v>218.7</v>
      </c>
      <c r="B4533">
        <v>234.4</v>
      </c>
    </row>
    <row r="4534" spans="1:2">
      <c r="A4534">
        <v>218.3</v>
      </c>
      <c r="B4534">
        <v>237.9</v>
      </c>
    </row>
    <row r="4535" spans="1:2">
      <c r="A4535">
        <v>226.1</v>
      </c>
      <c r="B4535">
        <v>241.4</v>
      </c>
    </row>
    <row r="4537" spans="1:2">
      <c r="A4537">
        <v>251.5</v>
      </c>
      <c r="B4537">
        <v>244.9</v>
      </c>
    </row>
    <row r="4538" spans="1:2">
      <c r="A4538">
        <v>259.7</v>
      </c>
      <c r="B4538">
        <v>239.9</v>
      </c>
    </row>
    <row r="4539" spans="1:2">
      <c r="A4539">
        <v>263.8</v>
      </c>
      <c r="B4539">
        <v>232.6</v>
      </c>
    </row>
    <row r="4540" spans="1:2">
      <c r="A4540">
        <v>264.7</v>
      </c>
      <c r="B4540">
        <v>225.2</v>
      </c>
    </row>
    <row r="4541" spans="1:2">
      <c r="A4541">
        <v>262.89999999999998</v>
      </c>
      <c r="B4541">
        <v>218.3</v>
      </c>
    </row>
    <row r="4542" spans="1:2">
      <c r="A4542">
        <v>261.10000000000002</v>
      </c>
      <c r="B4542">
        <v>218.4</v>
      </c>
    </row>
    <row r="4543" spans="1:2">
      <c r="A4543">
        <v>258.89999999999998</v>
      </c>
      <c r="B4543">
        <v>215.8</v>
      </c>
    </row>
    <row r="4544" spans="1:2">
      <c r="A4544">
        <v>253.4</v>
      </c>
      <c r="B4544">
        <v>219.3</v>
      </c>
    </row>
    <row r="4545" spans="1:2">
      <c r="A4545">
        <v>250.8</v>
      </c>
      <c r="B4545">
        <v>222.9</v>
      </c>
    </row>
    <row r="4546" spans="1:2">
      <c r="A4546">
        <v>246.5</v>
      </c>
      <c r="B4546">
        <v>225.9</v>
      </c>
    </row>
    <row r="4547" spans="1:2">
      <c r="A4547">
        <v>243.2</v>
      </c>
      <c r="B4547">
        <v>226.2</v>
      </c>
    </row>
    <row r="4548" spans="1:2">
      <c r="A4548">
        <v>242.6</v>
      </c>
      <c r="B4548">
        <v>227.8</v>
      </c>
    </row>
    <row r="4549" spans="1:2">
      <c r="A4549">
        <v>242.2</v>
      </c>
      <c r="B4549">
        <v>230.2</v>
      </c>
    </row>
    <row r="4550" spans="1:2">
      <c r="A4550">
        <v>245.2</v>
      </c>
      <c r="B4550">
        <v>231.6</v>
      </c>
    </row>
    <row r="4551" spans="1:2">
      <c r="A4551">
        <v>243.6</v>
      </c>
      <c r="B4551">
        <v>238.2</v>
      </c>
    </row>
    <row r="4552" spans="1:2">
      <c r="A4552">
        <v>247.7</v>
      </c>
      <c r="B4552">
        <v>244.2</v>
      </c>
    </row>
    <row r="4553" spans="1:2">
      <c r="A4553">
        <v>251.5</v>
      </c>
      <c r="B4553">
        <v>244.9</v>
      </c>
    </row>
    <row r="4555" spans="1:2">
      <c r="A4555">
        <v>231.4</v>
      </c>
      <c r="B4555">
        <v>142.1</v>
      </c>
    </row>
    <row r="4556" spans="1:2">
      <c r="A4556">
        <v>233.8</v>
      </c>
      <c r="B4556">
        <v>138.5</v>
      </c>
    </row>
    <row r="4557" spans="1:2">
      <c r="A4557">
        <v>231.7</v>
      </c>
      <c r="B4557">
        <v>139.30000000000001</v>
      </c>
    </row>
    <row r="4558" spans="1:2">
      <c r="A4558">
        <v>231.4</v>
      </c>
      <c r="B4558">
        <v>142.1</v>
      </c>
    </row>
    <row r="4560" spans="1:2">
      <c r="A4560">
        <v>251.9</v>
      </c>
      <c r="B4560">
        <v>147.5</v>
      </c>
    </row>
    <row r="4561" spans="1:2">
      <c r="A4561">
        <v>253.2</v>
      </c>
      <c r="B4561">
        <v>146.9</v>
      </c>
    </row>
    <row r="4562" spans="1:2">
      <c r="A4562">
        <v>254.1</v>
      </c>
      <c r="B4562">
        <v>148.5</v>
      </c>
    </row>
    <row r="4563" spans="1:2">
      <c r="A4563">
        <v>257</v>
      </c>
      <c r="B4563">
        <v>145.80000000000001</v>
      </c>
    </row>
    <row r="4564" spans="1:2">
      <c r="A4564">
        <v>256.5</v>
      </c>
      <c r="B4564">
        <v>143.1</v>
      </c>
    </row>
    <row r="4565" spans="1:2">
      <c r="A4565">
        <v>252.6</v>
      </c>
      <c r="B4565">
        <v>142.1</v>
      </c>
    </row>
    <row r="4566" spans="1:2">
      <c r="A4566">
        <v>253.1</v>
      </c>
      <c r="B4566">
        <v>144</v>
      </c>
    </row>
    <row r="4567" spans="1:2">
      <c r="A4567">
        <v>250.5</v>
      </c>
      <c r="B4567">
        <v>145.30000000000001</v>
      </c>
    </row>
    <row r="4568" spans="1:2">
      <c r="A4568">
        <v>252.5</v>
      </c>
      <c r="B4568">
        <v>145.80000000000001</v>
      </c>
    </row>
    <row r="4569" spans="1:2">
      <c r="A4569">
        <v>249.3</v>
      </c>
      <c r="B4569">
        <v>145.9</v>
      </c>
    </row>
    <row r="4570" spans="1:2">
      <c r="A4570">
        <v>249.8</v>
      </c>
      <c r="B4570">
        <v>148.80000000000001</v>
      </c>
    </row>
    <row r="4571" spans="1:2">
      <c r="A4571">
        <v>251.9</v>
      </c>
      <c r="B4571">
        <v>147.5</v>
      </c>
    </row>
    <row r="4573" spans="1:2">
      <c r="A4573">
        <v>229</v>
      </c>
      <c r="B4573">
        <v>150.9</v>
      </c>
    </row>
    <row r="4574" spans="1:2">
      <c r="A4574">
        <v>230.6</v>
      </c>
      <c r="B4574">
        <v>148.80000000000001</v>
      </c>
    </row>
    <row r="4575" spans="1:2">
      <c r="A4575">
        <v>228.2</v>
      </c>
      <c r="B4575">
        <v>143.80000000000001</v>
      </c>
    </row>
    <row r="4576" spans="1:2">
      <c r="A4576">
        <v>224.6</v>
      </c>
      <c r="B4576">
        <v>144.4</v>
      </c>
    </row>
    <row r="4577" spans="1:2">
      <c r="A4577">
        <v>222.4</v>
      </c>
      <c r="B4577">
        <v>142.80000000000001</v>
      </c>
    </row>
    <row r="4578" spans="1:2">
      <c r="A4578">
        <v>220.2</v>
      </c>
      <c r="B4578">
        <v>145.80000000000001</v>
      </c>
    </row>
    <row r="4579" spans="1:2">
      <c r="A4579">
        <v>218.7</v>
      </c>
      <c r="B4579">
        <v>145.30000000000001</v>
      </c>
    </row>
    <row r="4580" spans="1:2">
      <c r="A4580">
        <v>218.1</v>
      </c>
      <c r="B4580">
        <v>148.30000000000001</v>
      </c>
    </row>
    <row r="4581" spans="1:2">
      <c r="A4581">
        <v>220.6</v>
      </c>
      <c r="B4581">
        <v>150.4</v>
      </c>
    </row>
    <row r="4582" spans="1:2">
      <c r="A4582">
        <v>222.4</v>
      </c>
      <c r="B4582">
        <v>148.5</v>
      </c>
    </row>
    <row r="4583" spans="1:2">
      <c r="A4583">
        <v>229</v>
      </c>
      <c r="B4583">
        <v>150.9</v>
      </c>
    </row>
    <row r="4585" spans="1:2">
      <c r="A4585">
        <v>221.6</v>
      </c>
      <c r="B4585">
        <v>152.80000000000001</v>
      </c>
    </row>
    <row r="4586" spans="1:2">
      <c r="A4586">
        <v>219.9</v>
      </c>
      <c r="B4586">
        <v>151.6</v>
      </c>
    </row>
    <row r="4587" spans="1:2">
      <c r="A4587">
        <v>218.5</v>
      </c>
      <c r="B4587">
        <v>152.5</v>
      </c>
    </row>
    <row r="4588" spans="1:2">
      <c r="A4588">
        <v>221.2</v>
      </c>
      <c r="B4588">
        <v>154</v>
      </c>
    </row>
    <row r="4589" spans="1:2">
      <c r="A4589">
        <v>221.6</v>
      </c>
      <c r="B4589">
        <v>152.80000000000001</v>
      </c>
    </row>
    <row r="4591" spans="1:2">
      <c r="A4591">
        <v>250.8</v>
      </c>
      <c r="B4591">
        <v>156.1</v>
      </c>
    </row>
    <row r="4592" spans="1:2">
      <c r="A4592">
        <v>251.9</v>
      </c>
      <c r="B4592">
        <v>155.30000000000001</v>
      </c>
    </row>
    <row r="4593" spans="1:2">
      <c r="A4593">
        <v>250.1</v>
      </c>
      <c r="B4593">
        <v>154.19999999999999</v>
      </c>
    </row>
    <row r="4594" spans="1:2">
      <c r="A4594">
        <v>251.6</v>
      </c>
      <c r="B4594">
        <v>153</v>
      </c>
    </row>
    <row r="4595" spans="1:2">
      <c r="A4595">
        <v>250</v>
      </c>
      <c r="B4595">
        <v>152.9</v>
      </c>
    </row>
    <row r="4596" spans="1:2">
      <c r="A4596">
        <v>254.3</v>
      </c>
      <c r="B4596">
        <v>150.6</v>
      </c>
    </row>
    <row r="4597" spans="1:2">
      <c r="A4597">
        <v>249.6</v>
      </c>
      <c r="B4597">
        <v>149.1</v>
      </c>
    </row>
    <row r="4598" spans="1:2">
      <c r="A4598">
        <v>248.6</v>
      </c>
      <c r="B4598">
        <v>150.6</v>
      </c>
    </row>
    <row r="4599" spans="1:2">
      <c r="A4599">
        <v>249.9</v>
      </c>
      <c r="B4599">
        <v>152.6</v>
      </c>
    </row>
    <row r="4600" spans="1:2">
      <c r="A4600">
        <v>248</v>
      </c>
      <c r="B4600">
        <v>153.6</v>
      </c>
    </row>
    <row r="4601" spans="1:2">
      <c r="A4601">
        <v>250.8</v>
      </c>
      <c r="B4601">
        <v>156.1</v>
      </c>
    </row>
    <row r="4603" spans="1:2">
      <c r="A4603">
        <v>247.6</v>
      </c>
      <c r="B4603">
        <v>173.3</v>
      </c>
    </row>
    <row r="4604" spans="1:2">
      <c r="A4604">
        <v>249.5</v>
      </c>
      <c r="B4604">
        <v>172.6</v>
      </c>
    </row>
    <row r="4605" spans="1:2">
      <c r="A4605">
        <v>249</v>
      </c>
      <c r="B4605">
        <v>171.2</v>
      </c>
    </row>
    <row r="4606" spans="1:2">
      <c r="A4606">
        <v>247.6</v>
      </c>
      <c r="B4606">
        <v>173.3</v>
      </c>
    </row>
    <row r="4608" spans="1:2">
      <c r="A4608">
        <v>236.7</v>
      </c>
      <c r="B4608">
        <v>169.5</v>
      </c>
    </row>
    <row r="4609" spans="1:2">
      <c r="A4609">
        <v>240.2</v>
      </c>
      <c r="B4609">
        <v>174.1</v>
      </c>
    </row>
    <row r="4610" spans="1:2">
      <c r="A4610">
        <v>238.6</v>
      </c>
      <c r="B4610">
        <v>178.7</v>
      </c>
    </row>
    <row r="4611" spans="1:2">
      <c r="A4611">
        <v>236.6</v>
      </c>
      <c r="B4611">
        <v>178.4</v>
      </c>
    </row>
    <row r="4612" spans="1:2">
      <c r="A4612">
        <v>235.6</v>
      </c>
      <c r="B4612">
        <v>176.4</v>
      </c>
    </row>
    <row r="4613" spans="1:2">
      <c r="A4613">
        <v>233.8</v>
      </c>
      <c r="B4613">
        <v>177.6</v>
      </c>
    </row>
    <row r="4614" spans="1:2">
      <c r="A4614">
        <v>232.9</v>
      </c>
      <c r="B4614">
        <v>176.5</v>
      </c>
    </row>
    <row r="4615" spans="1:2">
      <c r="A4615">
        <v>231</v>
      </c>
      <c r="B4615">
        <v>180.7</v>
      </c>
    </row>
    <row r="4616" spans="1:2">
      <c r="A4616">
        <v>231.7</v>
      </c>
      <c r="B4616">
        <v>182.8</v>
      </c>
    </row>
    <row r="4617" spans="1:2">
      <c r="A4617">
        <v>233.3</v>
      </c>
      <c r="B4617">
        <v>182.5</v>
      </c>
    </row>
    <row r="4618" spans="1:2">
      <c r="A4618">
        <v>235.5</v>
      </c>
      <c r="B4618">
        <v>185</v>
      </c>
    </row>
    <row r="4619" spans="1:2">
      <c r="A4619">
        <v>240.8</v>
      </c>
      <c r="B4619">
        <v>186.6</v>
      </c>
    </row>
    <row r="4620" spans="1:2">
      <c r="A4620">
        <v>245.2</v>
      </c>
      <c r="B4620">
        <v>180.3</v>
      </c>
    </row>
    <row r="4621" spans="1:2">
      <c r="A4621">
        <v>242.6</v>
      </c>
      <c r="B4621">
        <v>177.5</v>
      </c>
    </row>
    <row r="4622" spans="1:2">
      <c r="A4622">
        <v>243.1</v>
      </c>
      <c r="B4622">
        <v>176</v>
      </c>
    </row>
    <row r="4623" spans="1:2">
      <c r="A4623">
        <v>247.5</v>
      </c>
      <c r="B4623">
        <v>170.2</v>
      </c>
    </row>
    <row r="4624" spans="1:2">
      <c r="A4624">
        <v>252.8</v>
      </c>
      <c r="B4624">
        <v>167.6</v>
      </c>
    </row>
    <row r="4625" spans="1:2">
      <c r="A4625">
        <v>250.1</v>
      </c>
      <c r="B4625">
        <v>167.2</v>
      </c>
    </row>
    <row r="4626" spans="1:2">
      <c r="A4626">
        <v>253.4</v>
      </c>
      <c r="B4626">
        <v>165.7</v>
      </c>
    </row>
    <row r="4627" spans="1:2">
      <c r="A4627">
        <v>254.5</v>
      </c>
      <c r="B4627">
        <v>161.5</v>
      </c>
    </row>
    <row r="4628" spans="1:2">
      <c r="A4628">
        <v>252.7</v>
      </c>
      <c r="B4628">
        <v>159.4</v>
      </c>
    </row>
    <row r="4629" spans="1:2">
      <c r="A4629">
        <v>250.1</v>
      </c>
      <c r="B4629">
        <v>161.30000000000001</v>
      </c>
    </row>
    <row r="4630" spans="1:2">
      <c r="A4630">
        <v>248.9</v>
      </c>
      <c r="B4630">
        <v>159.69999999999999</v>
      </c>
    </row>
    <row r="4631" spans="1:2">
      <c r="A4631">
        <v>247.9</v>
      </c>
      <c r="B4631">
        <v>161</v>
      </c>
    </row>
    <row r="4632" spans="1:2">
      <c r="A4632">
        <v>244.6</v>
      </c>
      <c r="B4632">
        <v>160.80000000000001</v>
      </c>
    </row>
    <row r="4633" spans="1:2">
      <c r="A4633">
        <v>245.8</v>
      </c>
      <c r="B4633">
        <v>159.9</v>
      </c>
    </row>
    <row r="4634" spans="1:2">
      <c r="A4634">
        <v>244.7</v>
      </c>
      <c r="B4634">
        <v>157.9</v>
      </c>
    </row>
    <row r="4635" spans="1:2">
      <c r="A4635">
        <v>248.4</v>
      </c>
      <c r="B4635">
        <v>156.69999999999999</v>
      </c>
    </row>
    <row r="4636" spans="1:2">
      <c r="A4636">
        <v>247.1</v>
      </c>
      <c r="B4636">
        <v>154.5</v>
      </c>
    </row>
    <row r="4637" spans="1:2">
      <c r="A4637">
        <v>247.7</v>
      </c>
      <c r="B4637">
        <v>152.9</v>
      </c>
    </row>
    <row r="4638" spans="1:2">
      <c r="A4638">
        <v>246.2</v>
      </c>
      <c r="B4638">
        <v>153.69999999999999</v>
      </c>
    </row>
    <row r="4639" spans="1:2">
      <c r="A4639">
        <v>245.4</v>
      </c>
      <c r="B4639">
        <v>152.1</v>
      </c>
    </row>
    <row r="4640" spans="1:2">
      <c r="A4640">
        <v>242.9</v>
      </c>
      <c r="B4640">
        <v>151.80000000000001</v>
      </c>
    </row>
    <row r="4641" spans="1:2">
      <c r="A4641">
        <v>243.8</v>
      </c>
      <c r="B4641">
        <v>149.6</v>
      </c>
    </row>
    <row r="4642" spans="1:2">
      <c r="A4642">
        <v>241.4</v>
      </c>
      <c r="B4642">
        <v>150.6</v>
      </c>
    </row>
    <row r="4643" spans="1:2">
      <c r="A4643">
        <v>240.5</v>
      </c>
      <c r="B4643">
        <v>149</v>
      </c>
    </row>
    <row r="4644" spans="1:2">
      <c r="A4644">
        <v>239.8</v>
      </c>
      <c r="B4644">
        <v>150.19999999999999</v>
      </c>
    </row>
    <row r="4645" spans="1:2">
      <c r="A4645">
        <v>238.4</v>
      </c>
      <c r="B4645">
        <v>148.9</v>
      </c>
    </row>
    <row r="4646" spans="1:2">
      <c r="A4646">
        <v>239.5</v>
      </c>
      <c r="B4646">
        <v>147.9</v>
      </c>
    </row>
    <row r="4647" spans="1:2">
      <c r="A4647">
        <v>237.8</v>
      </c>
      <c r="B4647">
        <v>147.5</v>
      </c>
    </row>
    <row r="4648" spans="1:2">
      <c r="A4648">
        <v>239.7</v>
      </c>
      <c r="B4648">
        <v>146.5</v>
      </c>
    </row>
    <row r="4649" spans="1:2">
      <c r="A4649">
        <v>238.7</v>
      </c>
      <c r="B4649">
        <v>145.1</v>
      </c>
    </row>
    <row r="4650" spans="1:2">
      <c r="A4650">
        <v>233.4</v>
      </c>
      <c r="B4650">
        <v>149.6</v>
      </c>
    </row>
    <row r="4651" spans="1:2">
      <c r="A4651">
        <v>234.8</v>
      </c>
      <c r="B4651">
        <v>151.1</v>
      </c>
    </row>
    <row r="4652" spans="1:2">
      <c r="A4652">
        <v>232.3</v>
      </c>
      <c r="B4652">
        <v>153.69999999999999</v>
      </c>
    </row>
    <row r="4653" spans="1:2">
      <c r="A4653">
        <v>230.3</v>
      </c>
      <c r="B4653">
        <v>153.4</v>
      </c>
    </row>
    <row r="4654" spans="1:2">
      <c r="A4654">
        <v>229.3</v>
      </c>
      <c r="B4654">
        <v>155.19999999999999</v>
      </c>
    </row>
    <row r="4655" spans="1:2">
      <c r="A4655">
        <v>228.6</v>
      </c>
      <c r="B4655">
        <v>153.30000000000001</v>
      </c>
    </row>
    <row r="4656" spans="1:2">
      <c r="A4656">
        <v>227</v>
      </c>
      <c r="B4656">
        <v>154.9</v>
      </c>
    </row>
    <row r="4657" spans="1:2">
      <c r="A4657">
        <v>222.8</v>
      </c>
      <c r="B4657">
        <v>153.69999999999999</v>
      </c>
    </row>
    <row r="4658" spans="1:2">
      <c r="A4658">
        <v>219.9</v>
      </c>
      <c r="B4658">
        <v>156.6</v>
      </c>
    </row>
    <row r="4659" spans="1:2">
      <c r="A4659">
        <v>223</v>
      </c>
      <c r="B4659">
        <v>162.30000000000001</v>
      </c>
    </row>
    <row r="4660" spans="1:2">
      <c r="A4660">
        <v>225</v>
      </c>
      <c r="B4660">
        <v>161.6</v>
      </c>
    </row>
    <row r="4661" spans="1:2">
      <c r="A4661">
        <v>225.1</v>
      </c>
      <c r="B4661">
        <v>165.2</v>
      </c>
    </row>
    <row r="4662" spans="1:2">
      <c r="A4662">
        <v>227.2</v>
      </c>
      <c r="B4662">
        <v>167.8</v>
      </c>
    </row>
    <row r="4663" spans="1:2">
      <c r="A4663">
        <v>229.9</v>
      </c>
      <c r="B4663">
        <v>168.2</v>
      </c>
    </row>
    <row r="4664" spans="1:2">
      <c r="A4664">
        <v>232</v>
      </c>
      <c r="B4664">
        <v>174.3</v>
      </c>
    </row>
    <row r="4665" spans="1:2">
      <c r="A4665">
        <v>234.6</v>
      </c>
      <c r="B4665">
        <v>175</v>
      </c>
    </row>
    <row r="4666" spans="1:2">
      <c r="A4666">
        <v>234.3</v>
      </c>
      <c r="B4666">
        <v>170.3</v>
      </c>
    </row>
    <row r="4667" spans="1:2">
      <c r="A4667">
        <v>236.7</v>
      </c>
      <c r="B4667">
        <v>169.5</v>
      </c>
    </row>
    <row r="4669" spans="1:2">
      <c r="A4669">
        <v>250.5</v>
      </c>
      <c r="B4669">
        <v>184.4</v>
      </c>
    </row>
    <row r="4670" spans="1:2">
      <c r="A4670">
        <v>251.1</v>
      </c>
      <c r="B4670">
        <v>182.4</v>
      </c>
    </row>
    <row r="4671" spans="1:2">
      <c r="A4671">
        <v>248.5</v>
      </c>
      <c r="B4671">
        <v>181.6</v>
      </c>
    </row>
    <row r="4672" spans="1:2">
      <c r="A4672">
        <v>250.5</v>
      </c>
      <c r="B4672">
        <v>184.4</v>
      </c>
    </row>
    <row r="4674" spans="1:2">
      <c r="A4674">
        <v>244.6</v>
      </c>
      <c r="B4674">
        <v>182.8</v>
      </c>
    </row>
    <row r="4675" spans="1:2">
      <c r="A4675">
        <v>240</v>
      </c>
      <c r="B4675">
        <v>186.8</v>
      </c>
    </row>
    <row r="4676" spans="1:2">
      <c r="A4676">
        <v>235.5</v>
      </c>
      <c r="B4676">
        <v>185</v>
      </c>
    </row>
    <row r="4677" spans="1:2">
      <c r="A4677">
        <v>233.3</v>
      </c>
      <c r="B4677">
        <v>182.5</v>
      </c>
    </row>
    <row r="4678" spans="1:2">
      <c r="A4678">
        <v>231.7</v>
      </c>
      <c r="B4678">
        <v>182.8</v>
      </c>
    </row>
    <row r="4679" spans="1:2">
      <c r="A4679">
        <v>231.1</v>
      </c>
      <c r="B4679">
        <v>179.5</v>
      </c>
    </row>
    <row r="4680" spans="1:2">
      <c r="A4680">
        <v>228.3</v>
      </c>
      <c r="B4680">
        <v>177.1</v>
      </c>
    </row>
    <row r="4681" spans="1:2">
      <c r="A4681">
        <v>226.2</v>
      </c>
      <c r="B4681">
        <v>172.5</v>
      </c>
    </row>
    <row r="4682" spans="1:2">
      <c r="A4682">
        <v>220.9</v>
      </c>
      <c r="B4682">
        <v>173.2</v>
      </c>
    </row>
    <row r="4683" spans="1:2">
      <c r="A4683">
        <v>214</v>
      </c>
      <c r="B4683">
        <v>166</v>
      </c>
    </row>
    <row r="4684" spans="1:2">
      <c r="A4684">
        <v>211.8</v>
      </c>
      <c r="B4684">
        <v>170.9</v>
      </c>
    </row>
    <row r="4685" spans="1:2">
      <c r="A4685">
        <v>208.2</v>
      </c>
      <c r="B4685">
        <v>171.2</v>
      </c>
    </row>
    <row r="4686" spans="1:2">
      <c r="A4686">
        <v>207.6</v>
      </c>
      <c r="B4686">
        <v>174</v>
      </c>
    </row>
    <row r="4687" spans="1:2">
      <c r="A4687">
        <v>211.8</v>
      </c>
      <c r="B4687">
        <v>178.3</v>
      </c>
    </row>
    <row r="4688" spans="1:2">
      <c r="A4688">
        <v>211.9</v>
      </c>
      <c r="B4688">
        <v>186.3</v>
      </c>
    </row>
    <row r="4689" spans="1:2">
      <c r="A4689">
        <v>217.9</v>
      </c>
      <c r="B4689">
        <v>191.8</v>
      </c>
    </row>
    <row r="4690" spans="1:2">
      <c r="A4690">
        <v>217.2</v>
      </c>
      <c r="B4690">
        <v>197.5</v>
      </c>
    </row>
    <row r="4691" spans="1:2">
      <c r="A4691">
        <v>221</v>
      </c>
      <c r="B4691">
        <v>202</v>
      </c>
    </row>
    <row r="4692" spans="1:2">
      <c r="A4692">
        <v>225.4</v>
      </c>
      <c r="B4692">
        <v>203.1</v>
      </c>
    </row>
    <row r="4693" spans="1:2">
      <c r="A4693">
        <v>226.5</v>
      </c>
      <c r="B4693">
        <v>202</v>
      </c>
    </row>
    <row r="4694" spans="1:2">
      <c r="A4694">
        <v>227.3</v>
      </c>
      <c r="B4694">
        <v>204.1</v>
      </c>
    </row>
    <row r="4695" spans="1:2">
      <c r="A4695">
        <v>231</v>
      </c>
      <c r="B4695">
        <v>197</v>
      </c>
    </row>
    <row r="4696" spans="1:2">
      <c r="A4696">
        <v>229.9</v>
      </c>
      <c r="B4696">
        <v>194.1</v>
      </c>
    </row>
    <row r="4697" spans="1:2">
      <c r="A4697">
        <v>232.1</v>
      </c>
      <c r="B4697">
        <v>193</v>
      </c>
    </row>
    <row r="4698" spans="1:2">
      <c r="A4698">
        <v>236.8</v>
      </c>
      <c r="B4698">
        <v>195</v>
      </c>
    </row>
    <row r="4699" spans="1:2">
      <c r="A4699">
        <v>238.4</v>
      </c>
      <c r="B4699">
        <v>192.8</v>
      </c>
    </row>
    <row r="4700" spans="1:2">
      <c r="A4700">
        <v>239.4</v>
      </c>
      <c r="B4700">
        <v>193.6</v>
      </c>
    </row>
    <row r="4701" spans="1:2">
      <c r="A4701">
        <v>239.6</v>
      </c>
      <c r="B4701">
        <v>191.2</v>
      </c>
    </row>
    <row r="4702" spans="1:2">
      <c r="A4702">
        <v>242.1</v>
      </c>
      <c r="B4702">
        <v>191.2</v>
      </c>
    </row>
    <row r="4703" spans="1:2">
      <c r="A4703">
        <v>243.3</v>
      </c>
      <c r="B4703">
        <v>188.5</v>
      </c>
    </row>
    <row r="4704" spans="1:2">
      <c r="A4704">
        <v>246.4</v>
      </c>
      <c r="B4704">
        <v>187.6</v>
      </c>
    </row>
    <row r="4705" spans="1:2">
      <c r="A4705">
        <v>244.7</v>
      </c>
      <c r="B4705">
        <v>186.6</v>
      </c>
    </row>
    <row r="4706" spans="1:2">
      <c r="A4706">
        <v>240.9</v>
      </c>
      <c r="B4706">
        <v>188.1</v>
      </c>
    </row>
    <row r="4707" spans="1:2">
      <c r="A4707">
        <v>244.3</v>
      </c>
      <c r="B4707">
        <v>185.4</v>
      </c>
    </row>
    <row r="4708" spans="1:2">
      <c r="A4708">
        <v>247.3</v>
      </c>
      <c r="B4708">
        <v>185.5</v>
      </c>
    </row>
    <row r="4709" spans="1:2">
      <c r="A4709">
        <v>244.6</v>
      </c>
      <c r="B4709">
        <v>182.8</v>
      </c>
    </row>
    <row r="4711" spans="1:2">
      <c r="A4711">
        <v>227.3</v>
      </c>
      <c r="B4711">
        <v>226.6</v>
      </c>
    </row>
    <row r="4712" spans="1:2">
      <c r="A4712">
        <v>225.7</v>
      </c>
      <c r="B4712">
        <v>203.9</v>
      </c>
    </row>
    <row r="4713" spans="1:2">
      <c r="A4713">
        <v>223.4</v>
      </c>
      <c r="B4713">
        <v>201.7</v>
      </c>
    </row>
    <row r="4714" spans="1:2">
      <c r="A4714">
        <v>221</v>
      </c>
      <c r="B4714">
        <v>202</v>
      </c>
    </row>
    <row r="4715" spans="1:2">
      <c r="A4715">
        <v>217.9</v>
      </c>
      <c r="B4715">
        <v>198.6</v>
      </c>
    </row>
    <row r="4716" spans="1:2">
      <c r="A4716">
        <v>217.9</v>
      </c>
      <c r="B4716">
        <v>191.8</v>
      </c>
    </row>
    <row r="4717" spans="1:2">
      <c r="A4717">
        <v>215.3</v>
      </c>
      <c r="B4717">
        <v>188.9</v>
      </c>
    </row>
    <row r="4718" spans="1:2">
      <c r="A4718">
        <v>209.7</v>
      </c>
      <c r="B4718">
        <v>187.7</v>
      </c>
    </row>
    <row r="4719" spans="1:2">
      <c r="A4719">
        <v>207.3</v>
      </c>
      <c r="B4719">
        <v>189.4</v>
      </c>
    </row>
    <row r="4720" spans="1:2">
      <c r="A4720">
        <v>204.8</v>
      </c>
      <c r="B4720">
        <v>186.4</v>
      </c>
    </row>
    <row r="4721" spans="1:2">
      <c r="A4721">
        <v>201.8</v>
      </c>
      <c r="B4721">
        <v>188.9</v>
      </c>
    </row>
    <row r="4722" spans="1:2">
      <c r="A4722">
        <v>201.2</v>
      </c>
      <c r="B4722">
        <v>191.7</v>
      </c>
    </row>
    <row r="4723" spans="1:2">
      <c r="A4723">
        <v>194.7</v>
      </c>
      <c r="B4723">
        <v>191.5</v>
      </c>
    </row>
    <row r="4724" spans="1:2">
      <c r="A4724">
        <v>199.2</v>
      </c>
      <c r="B4724">
        <v>194.6</v>
      </c>
    </row>
    <row r="4725" spans="1:2">
      <c r="A4725">
        <v>198.3</v>
      </c>
      <c r="B4725">
        <v>199</v>
      </c>
    </row>
    <row r="4726" spans="1:2">
      <c r="A4726">
        <v>200.8</v>
      </c>
      <c r="B4726">
        <v>204.7</v>
      </c>
    </row>
    <row r="4727" spans="1:2">
      <c r="A4727">
        <v>198.5</v>
      </c>
      <c r="B4727">
        <v>206.5</v>
      </c>
    </row>
    <row r="4728" spans="1:2">
      <c r="A4728">
        <v>201.2</v>
      </c>
      <c r="B4728">
        <v>211.4</v>
      </c>
    </row>
    <row r="4729" spans="1:2">
      <c r="A4729">
        <v>200.7</v>
      </c>
      <c r="B4729">
        <v>214.1</v>
      </c>
    </row>
    <row r="4730" spans="1:2">
      <c r="A4730">
        <v>203.1</v>
      </c>
      <c r="B4730">
        <v>215.4</v>
      </c>
    </row>
    <row r="4731" spans="1:2">
      <c r="A4731">
        <v>204.1</v>
      </c>
      <c r="B4731">
        <v>213.5</v>
      </c>
    </row>
    <row r="4732" spans="1:2">
      <c r="A4732">
        <v>205.8</v>
      </c>
      <c r="B4732">
        <v>213.4</v>
      </c>
    </row>
    <row r="4733" spans="1:2">
      <c r="A4733">
        <v>209</v>
      </c>
      <c r="B4733">
        <v>215.8</v>
      </c>
    </row>
    <row r="4734" spans="1:2">
      <c r="A4734">
        <v>211.7</v>
      </c>
      <c r="B4734">
        <v>220.5</v>
      </c>
    </row>
    <row r="4735" spans="1:2">
      <c r="A4735">
        <v>217</v>
      </c>
      <c r="B4735">
        <v>218.5</v>
      </c>
    </row>
    <row r="4736" spans="1:2">
      <c r="A4736">
        <v>217.8</v>
      </c>
      <c r="B4736">
        <v>219.6</v>
      </c>
    </row>
    <row r="4737" spans="1:2">
      <c r="A4737">
        <v>215.8</v>
      </c>
      <c r="B4737">
        <v>225.4</v>
      </c>
    </row>
    <row r="4738" spans="1:2">
      <c r="A4738">
        <v>222.7</v>
      </c>
      <c r="B4738">
        <v>226.5</v>
      </c>
    </row>
    <row r="4739" spans="1:2">
      <c r="A4739">
        <v>226.1</v>
      </c>
      <c r="B4739">
        <v>228.7</v>
      </c>
    </row>
    <row r="4740" spans="1:2">
      <c r="A4740">
        <v>227.3</v>
      </c>
      <c r="B4740">
        <v>226.6</v>
      </c>
    </row>
    <row r="4742" spans="1:2">
      <c r="A4742">
        <v>200.4</v>
      </c>
      <c r="B4742">
        <v>146.69999999999999</v>
      </c>
    </row>
    <row r="4743" spans="1:2">
      <c r="A4743">
        <v>198.7</v>
      </c>
      <c r="B4743">
        <v>146.6</v>
      </c>
    </row>
    <row r="4744" spans="1:2">
      <c r="A4744">
        <v>199.9</v>
      </c>
      <c r="B4744">
        <v>143</v>
      </c>
    </row>
    <row r="4745" spans="1:2">
      <c r="A4745">
        <v>196.4</v>
      </c>
      <c r="B4745">
        <v>146.1</v>
      </c>
    </row>
    <row r="4746" spans="1:2">
      <c r="A4746">
        <v>197.2</v>
      </c>
      <c r="B4746">
        <v>148.69999999999999</v>
      </c>
    </row>
    <row r="4747" spans="1:2">
      <c r="A4747">
        <v>196</v>
      </c>
      <c r="B4747">
        <v>152.6</v>
      </c>
    </row>
    <row r="4748" spans="1:2">
      <c r="A4748">
        <v>200</v>
      </c>
      <c r="B4748">
        <v>156.19999999999999</v>
      </c>
    </row>
    <row r="4749" spans="1:2">
      <c r="A4749">
        <v>196.8</v>
      </c>
      <c r="B4749">
        <v>164.2</v>
      </c>
    </row>
    <row r="4750" spans="1:2">
      <c r="A4750">
        <v>199.5</v>
      </c>
      <c r="B4750">
        <v>165</v>
      </c>
    </row>
    <row r="4751" spans="1:2">
      <c r="A4751">
        <v>196.8</v>
      </c>
      <c r="B4751">
        <v>175.5</v>
      </c>
    </row>
    <row r="4752" spans="1:2">
      <c r="A4752">
        <v>191.9</v>
      </c>
      <c r="B4752">
        <v>183.2</v>
      </c>
    </row>
    <row r="4753" spans="1:2">
      <c r="A4753">
        <v>193.1</v>
      </c>
      <c r="B4753">
        <v>186.9</v>
      </c>
    </row>
    <row r="4754" spans="1:2">
      <c r="A4754">
        <v>196.4</v>
      </c>
      <c r="B4754">
        <v>188.3</v>
      </c>
    </row>
    <row r="4755" spans="1:2">
      <c r="A4755">
        <v>199.2</v>
      </c>
      <c r="B4755">
        <v>192.3</v>
      </c>
    </row>
    <row r="4756" spans="1:2">
      <c r="A4756">
        <v>201.2</v>
      </c>
      <c r="B4756">
        <v>191.7</v>
      </c>
    </row>
    <row r="4757" spans="1:2">
      <c r="A4757">
        <v>201.8</v>
      </c>
      <c r="B4757">
        <v>188.9</v>
      </c>
    </row>
    <row r="4758" spans="1:2">
      <c r="A4758">
        <v>204.8</v>
      </c>
      <c r="B4758">
        <v>186.4</v>
      </c>
    </row>
    <row r="4759" spans="1:2">
      <c r="A4759">
        <v>207.3</v>
      </c>
      <c r="B4759">
        <v>189.4</v>
      </c>
    </row>
    <row r="4760" spans="1:2">
      <c r="A4760">
        <v>209.4</v>
      </c>
      <c r="B4760">
        <v>187.8</v>
      </c>
    </row>
    <row r="4761" spans="1:2">
      <c r="A4761">
        <v>213.3</v>
      </c>
      <c r="B4761">
        <v>188</v>
      </c>
    </row>
    <row r="4762" spans="1:2">
      <c r="A4762">
        <v>211.9</v>
      </c>
      <c r="B4762">
        <v>186.2</v>
      </c>
    </row>
    <row r="4763" spans="1:2">
      <c r="A4763">
        <v>211.3</v>
      </c>
      <c r="B4763">
        <v>177</v>
      </c>
    </row>
    <row r="4764" spans="1:2">
      <c r="A4764">
        <v>207.5</v>
      </c>
      <c r="B4764">
        <v>173.8</v>
      </c>
    </row>
    <row r="4765" spans="1:2">
      <c r="A4765">
        <v>208.2</v>
      </c>
      <c r="B4765">
        <v>171.2</v>
      </c>
    </row>
    <row r="4766" spans="1:2">
      <c r="A4766">
        <v>211.8</v>
      </c>
      <c r="B4766">
        <v>170.9</v>
      </c>
    </row>
    <row r="4767" spans="1:2">
      <c r="A4767">
        <v>214</v>
      </c>
      <c r="B4767">
        <v>167</v>
      </c>
    </row>
    <row r="4768" spans="1:2">
      <c r="A4768">
        <v>211.2</v>
      </c>
      <c r="B4768">
        <v>164.9</v>
      </c>
    </row>
    <row r="4769" spans="1:2">
      <c r="A4769">
        <v>206.2</v>
      </c>
      <c r="B4769">
        <v>165.5</v>
      </c>
    </row>
    <row r="4770" spans="1:2">
      <c r="A4770">
        <v>210.8</v>
      </c>
      <c r="B4770">
        <v>163.1</v>
      </c>
    </row>
    <row r="4771" spans="1:2">
      <c r="A4771">
        <v>208.2</v>
      </c>
      <c r="B4771">
        <v>159.4</v>
      </c>
    </row>
    <row r="4772" spans="1:2">
      <c r="A4772">
        <v>210.6</v>
      </c>
      <c r="B4772">
        <v>159</v>
      </c>
    </row>
    <row r="4773" spans="1:2">
      <c r="A4773">
        <v>210.3</v>
      </c>
      <c r="B4773">
        <v>157.4</v>
      </c>
    </row>
    <row r="4774" spans="1:2">
      <c r="A4774">
        <v>209</v>
      </c>
      <c r="B4774">
        <v>158.1</v>
      </c>
    </row>
    <row r="4775" spans="1:2">
      <c r="A4775">
        <v>206.8</v>
      </c>
      <c r="B4775">
        <v>151</v>
      </c>
    </row>
    <row r="4776" spans="1:2">
      <c r="A4776">
        <v>208.1</v>
      </c>
      <c r="B4776">
        <v>148.30000000000001</v>
      </c>
    </row>
    <row r="4777" spans="1:2">
      <c r="A4777">
        <v>206.2</v>
      </c>
      <c r="B4777">
        <v>148</v>
      </c>
    </row>
    <row r="4778" spans="1:2">
      <c r="A4778">
        <v>205.1</v>
      </c>
      <c r="B4778">
        <v>149.6</v>
      </c>
    </row>
    <row r="4779" spans="1:2">
      <c r="A4779">
        <v>204.6</v>
      </c>
      <c r="B4779">
        <v>145.69999999999999</v>
      </c>
    </row>
    <row r="4780" spans="1:2">
      <c r="A4780">
        <v>200.4</v>
      </c>
      <c r="B4780">
        <v>146.69999999999999</v>
      </c>
    </row>
    <row r="4782" spans="1:2">
      <c r="A4782">
        <v>192</v>
      </c>
      <c r="B4782">
        <v>156.5</v>
      </c>
    </row>
    <row r="4783" spans="1:2">
      <c r="A4783">
        <v>190.7</v>
      </c>
      <c r="B4783">
        <v>163.69999999999999</v>
      </c>
    </row>
    <row r="4784" spans="1:2">
      <c r="A4784">
        <v>189.8</v>
      </c>
      <c r="B4784">
        <v>154.30000000000001</v>
      </c>
    </row>
    <row r="4785" spans="1:2">
      <c r="A4785">
        <v>188.9</v>
      </c>
      <c r="B4785">
        <v>154.19999999999999</v>
      </c>
    </row>
    <row r="4786" spans="1:2">
      <c r="A4786">
        <v>189.5</v>
      </c>
      <c r="B4786">
        <v>151.30000000000001</v>
      </c>
    </row>
    <row r="4787" spans="1:2">
      <c r="A4787">
        <v>187.1</v>
      </c>
      <c r="B4787">
        <v>149.9</v>
      </c>
    </row>
    <row r="4788" spans="1:2">
      <c r="A4788">
        <v>188.5</v>
      </c>
      <c r="B4788">
        <v>148.4</v>
      </c>
    </row>
    <row r="4789" spans="1:2">
      <c r="A4789">
        <v>186.8</v>
      </c>
      <c r="B4789">
        <v>146.6</v>
      </c>
    </row>
    <row r="4790" spans="1:2">
      <c r="A4790">
        <v>185.2</v>
      </c>
      <c r="B4790">
        <v>148.19999999999999</v>
      </c>
    </row>
    <row r="4791" spans="1:2">
      <c r="A4791">
        <v>182.1</v>
      </c>
      <c r="B4791">
        <v>148.30000000000001</v>
      </c>
    </row>
    <row r="4792" spans="1:2">
      <c r="A4792">
        <v>182.6</v>
      </c>
      <c r="B4792">
        <v>154.1</v>
      </c>
    </row>
    <row r="4793" spans="1:2">
      <c r="A4793">
        <v>180.9</v>
      </c>
      <c r="B4793">
        <v>155.6</v>
      </c>
    </row>
    <row r="4794" spans="1:2">
      <c r="A4794">
        <v>183.3</v>
      </c>
      <c r="B4794">
        <v>158.30000000000001</v>
      </c>
    </row>
    <row r="4795" spans="1:2">
      <c r="A4795">
        <v>181.3</v>
      </c>
      <c r="B4795">
        <v>161.4</v>
      </c>
    </row>
    <row r="4796" spans="1:2">
      <c r="A4796">
        <v>183.8</v>
      </c>
      <c r="B4796">
        <v>165.5</v>
      </c>
    </row>
    <row r="4797" spans="1:2">
      <c r="A4797">
        <v>182.2</v>
      </c>
      <c r="B4797">
        <v>165.7</v>
      </c>
    </row>
    <row r="4798" spans="1:2">
      <c r="A4798">
        <v>184.2</v>
      </c>
      <c r="B4798">
        <v>171.1</v>
      </c>
    </row>
    <row r="4799" spans="1:2">
      <c r="A4799">
        <v>181.5</v>
      </c>
      <c r="B4799">
        <v>171.6</v>
      </c>
    </row>
    <row r="4800" spans="1:2">
      <c r="A4800">
        <v>182.1</v>
      </c>
      <c r="B4800">
        <v>174.9</v>
      </c>
    </row>
    <row r="4801" spans="1:2">
      <c r="A4801">
        <v>179.9</v>
      </c>
      <c r="B4801">
        <v>176.5</v>
      </c>
    </row>
    <row r="4802" spans="1:2">
      <c r="A4802">
        <v>184</v>
      </c>
      <c r="B4802">
        <v>180.2</v>
      </c>
    </row>
    <row r="4803" spans="1:2">
      <c r="A4803">
        <v>187.8</v>
      </c>
      <c r="B4803">
        <v>179.3</v>
      </c>
    </row>
    <row r="4804" spans="1:2">
      <c r="A4804">
        <v>190.9</v>
      </c>
      <c r="B4804">
        <v>182.4</v>
      </c>
    </row>
    <row r="4805" spans="1:2">
      <c r="A4805">
        <v>193.7</v>
      </c>
      <c r="B4805">
        <v>181.7</v>
      </c>
    </row>
    <row r="4806" spans="1:2">
      <c r="A4806">
        <v>196.8</v>
      </c>
      <c r="B4806">
        <v>175.5</v>
      </c>
    </row>
    <row r="4807" spans="1:2">
      <c r="A4807">
        <v>199.5</v>
      </c>
      <c r="B4807">
        <v>165</v>
      </c>
    </row>
    <row r="4808" spans="1:2">
      <c r="A4808">
        <v>196.8</v>
      </c>
      <c r="B4808">
        <v>164.2</v>
      </c>
    </row>
    <row r="4809" spans="1:2">
      <c r="A4809">
        <v>200</v>
      </c>
      <c r="B4809">
        <v>156.19999999999999</v>
      </c>
    </row>
    <row r="4810" spans="1:2">
      <c r="A4810">
        <v>196</v>
      </c>
      <c r="B4810">
        <v>152.6</v>
      </c>
    </row>
    <row r="4811" spans="1:2">
      <c r="A4811">
        <v>197.2</v>
      </c>
      <c r="B4811">
        <v>148.1</v>
      </c>
    </row>
    <row r="4812" spans="1:2">
      <c r="A4812">
        <v>195.1</v>
      </c>
      <c r="B4812">
        <v>145.80000000000001</v>
      </c>
    </row>
    <row r="4813" spans="1:2">
      <c r="A4813">
        <v>192.9</v>
      </c>
      <c r="B4813">
        <v>146.69999999999999</v>
      </c>
    </row>
    <row r="4814" spans="1:2">
      <c r="A4814">
        <v>193.2</v>
      </c>
      <c r="B4814">
        <v>148</v>
      </c>
    </row>
    <row r="4815" spans="1:2">
      <c r="A4815">
        <v>191.5</v>
      </c>
      <c r="B4815">
        <v>147.19999999999999</v>
      </c>
    </row>
    <row r="4816" spans="1:2">
      <c r="A4816">
        <v>192</v>
      </c>
      <c r="B4816">
        <v>156.5</v>
      </c>
    </row>
    <row r="4818" spans="1:2">
      <c r="A4818">
        <v>183.9</v>
      </c>
      <c r="B4818">
        <v>144.80000000000001</v>
      </c>
    </row>
    <row r="4819" spans="1:2">
      <c r="A4819">
        <v>181.4</v>
      </c>
      <c r="B4819">
        <v>143.6</v>
      </c>
    </row>
    <row r="4820" spans="1:2">
      <c r="A4820">
        <v>181.7</v>
      </c>
      <c r="B4820">
        <v>142.30000000000001</v>
      </c>
    </row>
    <row r="4821" spans="1:2">
      <c r="A4821">
        <v>180.6</v>
      </c>
      <c r="B4821">
        <v>143.5</v>
      </c>
    </row>
    <row r="4822" spans="1:2">
      <c r="A4822">
        <v>176.4</v>
      </c>
      <c r="B4822">
        <v>140.80000000000001</v>
      </c>
    </row>
    <row r="4823" spans="1:2">
      <c r="A4823">
        <v>175.5</v>
      </c>
      <c r="B4823">
        <v>131.4</v>
      </c>
    </row>
    <row r="4824" spans="1:2">
      <c r="A4824">
        <v>171.4</v>
      </c>
      <c r="B4824">
        <v>132.19999999999999</v>
      </c>
    </row>
    <row r="4825" spans="1:2">
      <c r="A4825">
        <v>168.1</v>
      </c>
      <c r="B4825">
        <v>129</v>
      </c>
    </row>
    <row r="4826" spans="1:2">
      <c r="A4826">
        <v>168</v>
      </c>
      <c r="B4826">
        <v>136.4</v>
      </c>
    </row>
    <row r="4827" spans="1:2">
      <c r="A4827">
        <v>166.4</v>
      </c>
      <c r="B4827">
        <v>136.80000000000001</v>
      </c>
    </row>
    <row r="4828" spans="1:2">
      <c r="A4828">
        <v>164.1</v>
      </c>
      <c r="B4828">
        <v>135</v>
      </c>
    </row>
    <row r="4829" spans="1:2">
      <c r="A4829">
        <v>163.19999999999999</v>
      </c>
      <c r="B4829">
        <v>136.5</v>
      </c>
    </row>
    <row r="4830" spans="1:2">
      <c r="A4830">
        <v>165.1</v>
      </c>
      <c r="B4830">
        <v>136.80000000000001</v>
      </c>
    </row>
    <row r="4831" spans="1:2">
      <c r="A4831">
        <v>163.80000000000001</v>
      </c>
      <c r="B4831">
        <v>138.9</v>
      </c>
    </row>
    <row r="4832" spans="1:2">
      <c r="A4832">
        <v>166</v>
      </c>
      <c r="B4832">
        <v>139</v>
      </c>
    </row>
    <row r="4833" spans="1:2">
      <c r="A4833">
        <v>165.1</v>
      </c>
      <c r="B4833">
        <v>141.5</v>
      </c>
    </row>
    <row r="4834" spans="1:2">
      <c r="A4834">
        <v>167.7</v>
      </c>
      <c r="B4834">
        <v>142.1</v>
      </c>
    </row>
    <row r="4835" spans="1:2">
      <c r="A4835">
        <v>166.9</v>
      </c>
      <c r="B4835">
        <v>145</v>
      </c>
    </row>
    <row r="4836" spans="1:2">
      <c r="A4836">
        <v>164.7</v>
      </c>
      <c r="B4836">
        <v>143.4</v>
      </c>
    </row>
    <row r="4837" spans="1:2">
      <c r="A4837">
        <v>162.4</v>
      </c>
      <c r="B4837">
        <v>145.80000000000001</v>
      </c>
    </row>
    <row r="4838" spans="1:2">
      <c r="A4838">
        <v>164.3</v>
      </c>
      <c r="B4838">
        <v>146</v>
      </c>
    </row>
    <row r="4839" spans="1:2">
      <c r="A4839">
        <v>162.4</v>
      </c>
      <c r="B4839">
        <v>149</v>
      </c>
    </row>
    <row r="4840" spans="1:2">
      <c r="A4840">
        <v>163.30000000000001</v>
      </c>
      <c r="B4840">
        <v>149.80000000000001</v>
      </c>
    </row>
    <row r="4841" spans="1:2">
      <c r="A4841">
        <v>162.4</v>
      </c>
      <c r="B4841">
        <v>151.6</v>
      </c>
    </row>
    <row r="4842" spans="1:2">
      <c r="A4842">
        <v>163.69999999999999</v>
      </c>
      <c r="B4842">
        <v>152.19999999999999</v>
      </c>
    </row>
    <row r="4843" spans="1:2">
      <c r="A4843">
        <v>161.19999999999999</v>
      </c>
      <c r="B4843">
        <v>153.9</v>
      </c>
    </row>
    <row r="4844" spans="1:2">
      <c r="A4844">
        <v>162.80000000000001</v>
      </c>
      <c r="B4844">
        <v>154.9</v>
      </c>
    </row>
    <row r="4845" spans="1:2">
      <c r="A4845">
        <v>160.5</v>
      </c>
      <c r="B4845">
        <v>155.19999999999999</v>
      </c>
    </row>
    <row r="4846" spans="1:2">
      <c r="A4846">
        <v>160.6</v>
      </c>
      <c r="B4846">
        <v>156.80000000000001</v>
      </c>
    </row>
    <row r="4847" spans="1:2">
      <c r="A4847">
        <v>158.80000000000001</v>
      </c>
      <c r="B4847">
        <v>157.69999999999999</v>
      </c>
    </row>
    <row r="4848" spans="1:2">
      <c r="A4848">
        <v>159</v>
      </c>
      <c r="B4848">
        <v>156.5</v>
      </c>
    </row>
    <row r="4849" spans="1:2">
      <c r="A4849">
        <v>156.30000000000001</v>
      </c>
      <c r="B4849">
        <v>154.9</v>
      </c>
    </row>
    <row r="4850" spans="1:2">
      <c r="A4850">
        <v>156</v>
      </c>
      <c r="B4850">
        <v>158.1</v>
      </c>
    </row>
    <row r="4851" spans="1:2">
      <c r="A4851">
        <v>149.9</v>
      </c>
      <c r="B4851">
        <v>158.69999999999999</v>
      </c>
    </row>
    <row r="4852" spans="1:2">
      <c r="A4852">
        <v>149.9</v>
      </c>
      <c r="B4852">
        <v>160.9</v>
      </c>
    </row>
    <row r="4853" spans="1:2">
      <c r="A4853">
        <v>145.19999999999999</v>
      </c>
      <c r="B4853">
        <v>163.5</v>
      </c>
    </row>
    <row r="4854" spans="1:2">
      <c r="A4854">
        <v>147</v>
      </c>
      <c r="B4854">
        <v>163.5</v>
      </c>
    </row>
    <row r="4855" spans="1:2">
      <c r="A4855">
        <v>148.19999999999999</v>
      </c>
      <c r="B4855">
        <v>165.4</v>
      </c>
    </row>
    <row r="4856" spans="1:2">
      <c r="A4856">
        <v>145.30000000000001</v>
      </c>
      <c r="B4856">
        <v>166.6</v>
      </c>
    </row>
    <row r="4857" spans="1:2">
      <c r="A4857">
        <v>144.80000000000001</v>
      </c>
      <c r="B4857">
        <v>169.2</v>
      </c>
    </row>
    <row r="4858" spans="1:2">
      <c r="A4858">
        <v>147.5</v>
      </c>
      <c r="B4858">
        <v>179.3</v>
      </c>
    </row>
    <row r="4859" spans="1:2">
      <c r="A4859">
        <v>151.6</v>
      </c>
      <c r="B4859">
        <v>177.4</v>
      </c>
    </row>
    <row r="4860" spans="1:2">
      <c r="A4860">
        <v>151.4</v>
      </c>
      <c r="B4860">
        <v>175.3</v>
      </c>
    </row>
    <row r="4861" spans="1:2">
      <c r="A4861">
        <v>153.6</v>
      </c>
      <c r="B4861">
        <v>172.3</v>
      </c>
    </row>
    <row r="4862" spans="1:2">
      <c r="A4862">
        <v>156.4</v>
      </c>
      <c r="B4862">
        <v>175.8</v>
      </c>
    </row>
    <row r="4863" spans="1:2">
      <c r="A4863">
        <v>157.9</v>
      </c>
      <c r="B4863">
        <v>175.5</v>
      </c>
    </row>
    <row r="4864" spans="1:2">
      <c r="A4864">
        <v>163.30000000000001</v>
      </c>
      <c r="B4864">
        <v>174</v>
      </c>
    </row>
    <row r="4865" spans="1:2">
      <c r="A4865">
        <v>170.1</v>
      </c>
      <c r="B4865">
        <v>168.5</v>
      </c>
    </row>
    <row r="4866" spans="1:2">
      <c r="A4866">
        <v>174.7</v>
      </c>
      <c r="B4866">
        <v>171.2</v>
      </c>
    </row>
    <row r="4867" spans="1:2">
      <c r="A4867">
        <v>178.3</v>
      </c>
      <c r="B4867">
        <v>170.2</v>
      </c>
    </row>
    <row r="4868" spans="1:2">
      <c r="A4868">
        <v>180.7</v>
      </c>
      <c r="B4868">
        <v>172.2</v>
      </c>
    </row>
    <row r="4869" spans="1:2">
      <c r="A4869">
        <v>184.2</v>
      </c>
      <c r="B4869">
        <v>171.1</v>
      </c>
    </row>
    <row r="4870" spans="1:2">
      <c r="A4870">
        <v>182.2</v>
      </c>
      <c r="B4870">
        <v>165.7</v>
      </c>
    </row>
    <row r="4871" spans="1:2">
      <c r="A4871">
        <v>183.8</v>
      </c>
      <c r="B4871">
        <v>165.5</v>
      </c>
    </row>
    <row r="4872" spans="1:2">
      <c r="A4872">
        <v>181.3</v>
      </c>
      <c r="B4872">
        <v>161.4</v>
      </c>
    </row>
    <row r="4873" spans="1:2">
      <c r="A4873">
        <v>183.3</v>
      </c>
      <c r="B4873">
        <v>158.30000000000001</v>
      </c>
    </row>
    <row r="4874" spans="1:2">
      <c r="A4874">
        <v>180.9</v>
      </c>
      <c r="B4874">
        <v>155.4</v>
      </c>
    </row>
    <row r="4875" spans="1:2">
      <c r="A4875">
        <v>182.6</v>
      </c>
      <c r="B4875">
        <v>154.1</v>
      </c>
    </row>
    <row r="4876" spans="1:2">
      <c r="A4876">
        <v>182.1</v>
      </c>
      <c r="B4876">
        <v>148.30000000000001</v>
      </c>
    </row>
    <row r="4877" spans="1:2">
      <c r="A4877">
        <v>185.2</v>
      </c>
      <c r="B4877">
        <v>148.19999999999999</v>
      </c>
    </row>
    <row r="4878" spans="1:2">
      <c r="A4878">
        <v>186.8</v>
      </c>
      <c r="B4878">
        <v>146.6</v>
      </c>
    </row>
    <row r="4879" spans="1:2">
      <c r="A4879">
        <v>183.9</v>
      </c>
      <c r="B4879">
        <v>144.80000000000001</v>
      </c>
    </row>
    <row r="4881" spans="1:2">
      <c r="A4881">
        <v>181.8</v>
      </c>
      <c r="B4881">
        <v>199.5</v>
      </c>
    </row>
    <row r="4882" spans="1:2">
      <c r="A4882">
        <v>183.7</v>
      </c>
      <c r="B4882">
        <v>199</v>
      </c>
    </row>
    <row r="4883" spans="1:2">
      <c r="A4883">
        <v>186</v>
      </c>
      <c r="B4883">
        <v>193.5</v>
      </c>
    </row>
    <row r="4884" spans="1:2">
      <c r="A4884">
        <v>189.5</v>
      </c>
      <c r="B4884">
        <v>194.6</v>
      </c>
    </row>
    <row r="4885" spans="1:2">
      <c r="A4885">
        <v>192.8</v>
      </c>
      <c r="B4885">
        <v>191.3</v>
      </c>
    </row>
    <row r="4886" spans="1:2">
      <c r="A4886">
        <v>197.7</v>
      </c>
      <c r="B4886">
        <v>191.1</v>
      </c>
    </row>
    <row r="4887" spans="1:2">
      <c r="A4887">
        <v>196.4</v>
      </c>
      <c r="B4887">
        <v>188.3</v>
      </c>
    </row>
    <row r="4888" spans="1:2">
      <c r="A4888">
        <v>193.1</v>
      </c>
      <c r="B4888">
        <v>186.9</v>
      </c>
    </row>
    <row r="4889" spans="1:2">
      <c r="A4889">
        <v>192.1</v>
      </c>
      <c r="B4889">
        <v>181.8</v>
      </c>
    </row>
    <row r="4890" spans="1:2">
      <c r="A4890">
        <v>189.8</v>
      </c>
      <c r="B4890">
        <v>182.2</v>
      </c>
    </row>
    <row r="4891" spans="1:2">
      <c r="A4891">
        <v>187.6</v>
      </c>
      <c r="B4891">
        <v>179.2</v>
      </c>
    </row>
    <row r="4892" spans="1:2">
      <c r="A4892">
        <v>184.1</v>
      </c>
      <c r="B4892">
        <v>180.3</v>
      </c>
    </row>
    <row r="4893" spans="1:2">
      <c r="A4893">
        <v>180</v>
      </c>
      <c r="B4893">
        <v>176.7</v>
      </c>
    </row>
    <row r="4894" spans="1:2">
      <c r="A4894">
        <v>182.1</v>
      </c>
      <c r="B4894">
        <v>174.9</v>
      </c>
    </row>
    <row r="4895" spans="1:2">
      <c r="A4895">
        <v>181.1</v>
      </c>
      <c r="B4895">
        <v>172.1</v>
      </c>
    </row>
    <row r="4896" spans="1:2">
      <c r="A4896">
        <v>178.3</v>
      </c>
      <c r="B4896">
        <v>170.2</v>
      </c>
    </row>
    <row r="4897" spans="1:2">
      <c r="A4897">
        <v>172.5</v>
      </c>
      <c r="B4897">
        <v>170.7</v>
      </c>
    </row>
    <row r="4898" spans="1:2">
      <c r="A4898">
        <v>170.1</v>
      </c>
      <c r="B4898">
        <v>168.5</v>
      </c>
    </row>
    <row r="4899" spans="1:2">
      <c r="A4899">
        <v>163</v>
      </c>
      <c r="B4899">
        <v>174.1</v>
      </c>
    </row>
    <row r="4900" spans="1:2">
      <c r="A4900">
        <v>164.3</v>
      </c>
      <c r="B4900">
        <v>177.3</v>
      </c>
    </row>
    <row r="4901" spans="1:2">
      <c r="A4901">
        <v>162.5</v>
      </c>
      <c r="B4901">
        <v>176.1</v>
      </c>
    </row>
    <row r="4902" spans="1:2">
      <c r="A4902">
        <v>161.9</v>
      </c>
      <c r="B4902">
        <v>177.8</v>
      </c>
    </row>
    <row r="4903" spans="1:2">
      <c r="A4903">
        <v>159.69999999999999</v>
      </c>
      <c r="B4903">
        <v>177.8</v>
      </c>
    </row>
    <row r="4904" spans="1:2">
      <c r="A4904">
        <v>159.6</v>
      </c>
      <c r="B4904">
        <v>176.1</v>
      </c>
    </row>
    <row r="4905" spans="1:2">
      <c r="A4905">
        <v>157.1</v>
      </c>
      <c r="B4905">
        <v>177.4</v>
      </c>
    </row>
    <row r="4906" spans="1:2">
      <c r="A4906">
        <v>156.5</v>
      </c>
      <c r="B4906">
        <v>175.8</v>
      </c>
    </row>
    <row r="4907" spans="1:2">
      <c r="A4907">
        <v>154</v>
      </c>
      <c r="B4907">
        <v>177.6</v>
      </c>
    </row>
    <row r="4908" spans="1:2">
      <c r="A4908">
        <v>155.9</v>
      </c>
      <c r="B4908">
        <v>180.5</v>
      </c>
    </row>
    <row r="4909" spans="1:2">
      <c r="A4909">
        <v>161.80000000000001</v>
      </c>
      <c r="B4909">
        <v>182</v>
      </c>
    </row>
    <row r="4910" spans="1:2">
      <c r="A4910">
        <v>161.69999999999999</v>
      </c>
      <c r="B4910">
        <v>183</v>
      </c>
    </row>
    <row r="4911" spans="1:2">
      <c r="A4911">
        <v>167.2</v>
      </c>
      <c r="B4911">
        <v>180.7</v>
      </c>
    </row>
    <row r="4912" spans="1:2">
      <c r="A4912">
        <v>173.2</v>
      </c>
      <c r="B4912">
        <v>194.2</v>
      </c>
    </row>
    <row r="4913" spans="1:2">
      <c r="A4913">
        <v>172.8</v>
      </c>
      <c r="B4913">
        <v>196.3</v>
      </c>
    </row>
    <row r="4914" spans="1:2">
      <c r="A4914">
        <v>176.6</v>
      </c>
      <c r="B4914">
        <v>197.5</v>
      </c>
    </row>
    <row r="4915" spans="1:2">
      <c r="A4915">
        <v>177.8</v>
      </c>
      <c r="B4915">
        <v>193.5</v>
      </c>
    </row>
    <row r="4916" spans="1:2">
      <c r="A4916">
        <v>180.4</v>
      </c>
      <c r="B4916">
        <v>194</v>
      </c>
    </row>
    <row r="4917" spans="1:2">
      <c r="A4917">
        <v>181.6</v>
      </c>
      <c r="B4917">
        <v>192.7</v>
      </c>
    </row>
    <row r="4918" spans="1:2">
      <c r="A4918">
        <v>180.4</v>
      </c>
      <c r="B4918">
        <v>198.3</v>
      </c>
    </row>
    <row r="4919" spans="1:2">
      <c r="A4919">
        <v>181.8</v>
      </c>
      <c r="B4919">
        <v>199.5</v>
      </c>
    </row>
    <row r="4921" spans="1:2">
      <c r="A4921">
        <v>152.80000000000001</v>
      </c>
      <c r="B4921">
        <v>222.8</v>
      </c>
    </row>
    <row r="4922" spans="1:2">
      <c r="A4922">
        <v>151.30000000000001</v>
      </c>
      <c r="B4922">
        <v>217.3</v>
      </c>
    </row>
    <row r="4923" spans="1:2">
      <c r="A4923">
        <v>151.80000000000001</v>
      </c>
      <c r="B4923">
        <v>215.4</v>
      </c>
    </row>
    <row r="4924" spans="1:2">
      <c r="A4924">
        <v>153.4</v>
      </c>
      <c r="B4924">
        <v>216.3</v>
      </c>
    </row>
    <row r="4925" spans="1:2">
      <c r="A4925">
        <v>152.69999999999999</v>
      </c>
      <c r="B4925">
        <v>213.7</v>
      </c>
    </row>
    <row r="4926" spans="1:2">
      <c r="A4926">
        <v>154.6</v>
      </c>
      <c r="B4926">
        <v>214</v>
      </c>
    </row>
    <row r="4927" spans="1:2">
      <c r="A4927">
        <v>154.9</v>
      </c>
      <c r="B4927">
        <v>212.2</v>
      </c>
    </row>
    <row r="4928" spans="1:2">
      <c r="A4928">
        <v>156.80000000000001</v>
      </c>
      <c r="B4928">
        <v>214.8</v>
      </c>
    </row>
    <row r="4929" spans="1:2">
      <c r="A4929">
        <v>156.1</v>
      </c>
      <c r="B4929">
        <v>212.7</v>
      </c>
    </row>
    <row r="4930" spans="1:2">
      <c r="A4930">
        <v>157.19999999999999</v>
      </c>
      <c r="B4930">
        <v>213.7</v>
      </c>
    </row>
    <row r="4931" spans="1:2">
      <c r="A4931">
        <v>158.30000000000001</v>
      </c>
      <c r="B4931">
        <v>212.3</v>
      </c>
    </row>
    <row r="4932" spans="1:2">
      <c r="A4932">
        <v>156.69999999999999</v>
      </c>
      <c r="B4932">
        <v>210.2</v>
      </c>
    </row>
    <row r="4933" spans="1:2">
      <c r="A4933">
        <v>157.80000000000001</v>
      </c>
      <c r="B4933">
        <v>208.4</v>
      </c>
    </row>
    <row r="4934" spans="1:2">
      <c r="A4934">
        <v>159.9</v>
      </c>
      <c r="B4934">
        <v>208.5</v>
      </c>
    </row>
    <row r="4935" spans="1:2">
      <c r="A4935">
        <v>159.19999999999999</v>
      </c>
      <c r="B4935">
        <v>210.3</v>
      </c>
    </row>
    <row r="4936" spans="1:2">
      <c r="A4936">
        <v>162</v>
      </c>
      <c r="B4936">
        <v>213.2</v>
      </c>
    </row>
    <row r="4937" spans="1:2">
      <c r="A4937">
        <v>164.4</v>
      </c>
      <c r="B4937">
        <v>212.5</v>
      </c>
    </row>
    <row r="4938" spans="1:2">
      <c r="A4938">
        <v>163.30000000000001</v>
      </c>
      <c r="B4938">
        <v>208.2</v>
      </c>
    </row>
    <row r="4939" spans="1:2">
      <c r="A4939">
        <v>166.3</v>
      </c>
      <c r="B4939">
        <v>207.1</v>
      </c>
    </row>
    <row r="4940" spans="1:2">
      <c r="A4940">
        <v>166.2</v>
      </c>
      <c r="B4940">
        <v>203.9</v>
      </c>
    </row>
    <row r="4941" spans="1:2">
      <c r="A4941">
        <v>169.9</v>
      </c>
      <c r="B4941">
        <v>202.8</v>
      </c>
    </row>
    <row r="4942" spans="1:2">
      <c r="A4942">
        <v>168.8</v>
      </c>
      <c r="B4942">
        <v>200</v>
      </c>
    </row>
    <row r="4943" spans="1:2">
      <c r="A4943">
        <v>170</v>
      </c>
      <c r="B4943">
        <v>196.8</v>
      </c>
    </row>
    <row r="4944" spans="1:2">
      <c r="A4944">
        <v>167.4</v>
      </c>
      <c r="B4944">
        <v>196.9</v>
      </c>
    </row>
    <row r="4945" spans="1:2">
      <c r="A4945">
        <v>171.2</v>
      </c>
      <c r="B4945">
        <v>191.3</v>
      </c>
    </row>
    <row r="4946" spans="1:2">
      <c r="A4946">
        <v>170</v>
      </c>
      <c r="B4946">
        <v>185.3</v>
      </c>
    </row>
    <row r="4947" spans="1:2">
      <c r="A4947">
        <v>167</v>
      </c>
      <c r="B4947">
        <v>180.5</v>
      </c>
    </row>
    <row r="4948" spans="1:2">
      <c r="A4948">
        <v>162.6</v>
      </c>
      <c r="B4948">
        <v>183.1</v>
      </c>
    </row>
    <row r="4949" spans="1:2">
      <c r="A4949">
        <v>160.80000000000001</v>
      </c>
      <c r="B4949">
        <v>187.7</v>
      </c>
    </row>
    <row r="4950" spans="1:2">
      <c r="A4950">
        <v>158</v>
      </c>
      <c r="B4950">
        <v>189.2</v>
      </c>
    </row>
    <row r="4951" spans="1:2">
      <c r="A4951">
        <v>157.6</v>
      </c>
      <c r="B4951">
        <v>192.6</v>
      </c>
    </row>
    <row r="4952" spans="1:2">
      <c r="A4952">
        <v>156.4</v>
      </c>
      <c r="B4952">
        <v>192.3</v>
      </c>
    </row>
    <row r="4953" spans="1:2">
      <c r="A4953">
        <v>157.9</v>
      </c>
      <c r="B4953">
        <v>195.9</v>
      </c>
    </row>
    <row r="4954" spans="1:2">
      <c r="A4954">
        <v>155.19999999999999</v>
      </c>
      <c r="B4954">
        <v>205.4</v>
      </c>
    </row>
    <row r="4955" spans="1:2">
      <c r="A4955">
        <v>153.9</v>
      </c>
      <c r="B4955">
        <v>202.1</v>
      </c>
    </row>
    <row r="4956" spans="1:2">
      <c r="A4956">
        <v>155.19999999999999</v>
      </c>
      <c r="B4956">
        <v>200.9</v>
      </c>
    </row>
    <row r="4957" spans="1:2">
      <c r="A4957">
        <v>154.69999999999999</v>
      </c>
      <c r="B4957">
        <v>196.8</v>
      </c>
    </row>
    <row r="4958" spans="1:2">
      <c r="A4958">
        <v>151.4</v>
      </c>
      <c r="B4958">
        <v>196.5</v>
      </c>
    </row>
    <row r="4959" spans="1:2">
      <c r="A4959">
        <v>151.1</v>
      </c>
      <c r="B4959">
        <v>198</v>
      </c>
    </row>
    <row r="4960" spans="1:2">
      <c r="A4960">
        <v>149.30000000000001</v>
      </c>
      <c r="B4960">
        <v>197.7</v>
      </c>
    </row>
    <row r="4961" spans="1:2">
      <c r="A4961">
        <v>150.6</v>
      </c>
      <c r="B4961">
        <v>199.4</v>
      </c>
    </row>
    <row r="4962" spans="1:2">
      <c r="A4962">
        <v>148.6</v>
      </c>
      <c r="B4962">
        <v>202.7</v>
      </c>
    </row>
    <row r="4963" spans="1:2">
      <c r="A4963">
        <v>149.9</v>
      </c>
      <c r="B4963">
        <v>204.2</v>
      </c>
    </row>
    <row r="4964" spans="1:2">
      <c r="A4964">
        <v>151.30000000000001</v>
      </c>
      <c r="B4964">
        <v>201.9</v>
      </c>
    </row>
    <row r="4965" spans="1:2">
      <c r="A4965">
        <v>153.80000000000001</v>
      </c>
      <c r="B4965">
        <v>203.7</v>
      </c>
    </row>
    <row r="4966" spans="1:2">
      <c r="A4966">
        <v>153.9</v>
      </c>
      <c r="B4966">
        <v>204.7</v>
      </c>
    </row>
    <row r="4967" spans="1:2">
      <c r="A4967">
        <v>151.6</v>
      </c>
      <c r="B4967">
        <v>204.8</v>
      </c>
    </row>
    <row r="4968" spans="1:2">
      <c r="A4968">
        <v>156.6</v>
      </c>
      <c r="B4968">
        <v>208.1</v>
      </c>
    </row>
    <row r="4969" spans="1:2">
      <c r="A4969">
        <v>155.9</v>
      </c>
      <c r="B4969">
        <v>210.8</v>
      </c>
    </row>
    <row r="4970" spans="1:2">
      <c r="A4970">
        <v>153.4</v>
      </c>
      <c r="B4970">
        <v>209.7</v>
      </c>
    </row>
    <row r="4971" spans="1:2">
      <c r="A4971">
        <v>153.1</v>
      </c>
      <c r="B4971">
        <v>211.6</v>
      </c>
    </row>
    <row r="4972" spans="1:2">
      <c r="A4972">
        <v>151.5</v>
      </c>
      <c r="B4972">
        <v>212.2</v>
      </c>
    </row>
    <row r="4973" spans="1:2">
      <c r="A4973">
        <v>152.69999999999999</v>
      </c>
      <c r="B4973">
        <v>213.1</v>
      </c>
    </row>
    <row r="4974" spans="1:2">
      <c r="A4974">
        <v>151.5</v>
      </c>
      <c r="B4974">
        <v>215.1</v>
      </c>
    </row>
    <row r="4975" spans="1:2">
      <c r="A4975">
        <v>150.19999999999999</v>
      </c>
      <c r="B4975">
        <v>214.9</v>
      </c>
    </row>
    <row r="4976" spans="1:2">
      <c r="A4976">
        <v>148.80000000000001</v>
      </c>
      <c r="B4976">
        <v>212.1</v>
      </c>
    </row>
    <row r="4977" spans="1:2">
      <c r="A4977">
        <v>150</v>
      </c>
      <c r="B4977">
        <v>211.4</v>
      </c>
    </row>
    <row r="4978" spans="1:2">
      <c r="A4978">
        <v>148.4</v>
      </c>
      <c r="B4978">
        <v>210</v>
      </c>
    </row>
    <row r="4979" spans="1:2">
      <c r="A4979">
        <v>148</v>
      </c>
      <c r="B4979">
        <v>212</v>
      </c>
    </row>
    <row r="4980" spans="1:2">
      <c r="A4980">
        <v>145.4</v>
      </c>
      <c r="B4980">
        <v>211.3</v>
      </c>
    </row>
    <row r="4981" spans="1:2">
      <c r="A4981">
        <v>143.9</v>
      </c>
      <c r="B4981">
        <v>213.8</v>
      </c>
    </row>
    <row r="4982" spans="1:2">
      <c r="A4982">
        <v>144.19999999999999</v>
      </c>
      <c r="B4982">
        <v>216</v>
      </c>
    </row>
    <row r="4983" spans="1:2">
      <c r="A4983">
        <v>145.5</v>
      </c>
      <c r="B4983">
        <v>215.9</v>
      </c>
    </row>
    <row r="4984" spans="1:2">
      <c r="A4984">
        <v>143.80000000000001</v>
      </c>
      <c r="B4984">
        <v>217.6</v>
      </c>
    </row>
    <row r="4985" spans="1:2">
      <c r="A4985">
        <v>145.19999999999999</v>
      </c>
      <c r="B4985">
        <v>220.9</v>
      </c>
    </row>
    <row r="4986" spans="1:2">
      <c r="A4986">
        <v>146.4</v>
      </c>
      <c r="B4986">
        <v>221.7</v>
      </c>
    </row>
    <row r="4987" spans="1:2">
      <c r="A4987">
        <v>146.9</v>
      </c>
      <c r="B4987">
        <v>220.2</v>
      </c>
    </row>
    <row r="4988" spans="1:2">
      <c r="A4988">
        <v>150.6</v>
      </c>
      <c r="B4988">
        <v>219.3</v>
      </c>
    </row>
    <row r="4989" spans="1:2">
      <c r="A4989">
        <v>152.80000000000001</v>
      </c>
      <c r="B4989">
        <v>222.8</v>
      </c>
    </row>
    <row r="4991" spans="1:2">
      <c r="A4991">
        <v>178.1</v>
      </c>
      <c r="B4991">
        <v>228.2</v>
      </c>
    </row>
    <row r="4992" spans="1:2">
      <c r="A4992">
        <v>181.3</v>
      </c>
      <c r="B4992">
        <v>224.1</v>
      </c>
    </row>
    <row r="4993" spans="1:2">
      <c r="A4993">
        <v>178.9</v>
      </c>
      <c r="B4993">
        <v>221.3</v>
      </c>
    </row>
    <row r="4994" spans="1:2">
      <c r="A4994">
        <v>179</v>
      </c>
      <c r="B4994">
        <v>216.1</v>
      </c>
    </row>
    <row r="4995" spans="1:2">
      <c r="A4995">
        <v>177</v>
      </c>
      <c r="B4995">
        <v>214.9</v>
      </c>
    </row>
    <row r="4996" spans="1:2">
      <c r="A4996">
        <v>174.6</v>
      </c>
      <c r="B4996">
        <v>216.1</v>
      </c>
    </row>
    <row r="4997" spans="1:2">
      <c r="A4997">
        <v>173.8</v>
      </c>
      <c r="B4997">
        <v>207.1</v>
      </c>
    </row>
    <row r="4998" spans="1:2">
      <c r="A4998">
        <v>174.9</v>
      </c>
      <c r="B4998">
        <v>205.1</v>
      </c>
    </row>
    <row r="4999" spans="1:2">
      <c r="A4999">
        <v>172.7</v>
      </c>
      <c r="B4999">
        <v>202.6</v>
      </c>
    </row>
    <row r="5000" spans="1:2">
      <c r="A5000">
        <v>171.5</v>
      </c>
      <c r="B5000">
        <v>204.3</v>
      </c>
    </row>
    <row r="5001" spans="1:2">
      <c r="A5001">
        <v>169.9</v>
      </c>
      <c r="B5001">
        <v>202.8</v>
      </c>
    </row>
    <row r="5002" spans="1:2">
      <c r="A5002">
        <v>166.2</v>
      </c>
      <c r="B5002">
        <v>203.9</v>
      </c>
    </row>
    <row r="5003" spans="1:2">
      <c r="A5003">
        <v>166.3</v>
      </c>
      <c r="B5003">
        <v>207.1</v>
      </c>
    </row>
    <row r="5004" spans="1:2">
      <c r="A5004">
        <v>163.1</v>
      </c>
      <c r="B5004">
        <v>208.9</v>
      </c>
    </row>
    <row r="5005" spans="1:2">
      <c r="A5005">
        <v>164.4</v>
      </c>
      <c r="B5005">
        <v>212.5</v>
      </c>
    </row>
    <row r="5006" spans="1:2">
      <c r="A5006">
        <v>160.6</v>
      </c>
      <c r="B5006">
        <v>214.7</v>
      </c>
    </row>
    <row r="5007" spans="1:2">
      <c r="A5007">
        <v>163.19999999999999</v>
      </c>
      <c r="B5007">
        <v>216.3</v>
      </c>
    </row>
    <row r="5008" spans="1:2">
      <c r="A5008">
        <v>159.4</v>
      </c>
      <c r="B5008">
        <v>217.1</v>
      </c>
    </row>
    <row r="5009" spans="1:2">
      <c r="A5009">
        <v>155</v>
      </c>
      <c r="B5009">
        <v>223.6</v>
      </c>
    </row>
    <row r="5010" spans="1:2">
      <c r="A5010">
        <v>158.19999999999999</v>
      </c>
      <c r="B5010">
        <v>225.7</v>
      </c>
    </row>
    <row r="5011" spans="1:2">
      <c r="A5011">
        <v>160.6</v>
      </c>
      <c r="B5011">
        <v>224.2</v>
      </c>
    </row>
    <row r="5012" spans="1:2">
      <c r="A5012">
        <v>164.3</v>
      </c>
      <c r="B5012">
        <v>226.4</v>
      </c>
    </row>
    <row r="5013" spans="1:2">
      <c r="A5013">
        <v>166.3</v>
      </c>
      <c r="B5013">
        <v>225.3</v>
      </c>
    </row>
    <row r="5014" spans="1:2">
      <c r="A5014">
        <v>171.6</v>
      </c>
      <c r="B5014">
        <v>225.9</v>
      </c>
    </row>
    <row r="5015" spans="1:2">
      <c r="A5015">
        <v>173.3</v>
      </c>
      <c r="B5015">
        <v>226.7</v>
      </c>
    </row>
    <row r="5016" spans="1:2">
      <c r="A5016">
        <v>175</v>
      </c>
      <c r="B5016">
        <v>231</v>
      </c>
    </row>
    <row r="5017" spans="1:2">
      <c r="A5017">
        <v>178.1</v>
      </c>
      <c r="B5017">
        <v>228.2</v>
      </c>
    </row>
    <row r="5019" spans="1:2">
      <c r="A5019">
        <v>135.19999999999999</v>
      </c>
      <c r="B5019">
        <v>237.5</v>
      </c>
    </row>
    <row r="5020" spans="1:2">
      <c r="A5020">
        <v>136</v>
      </c>
      <c r="B5020">
        <v>235.6</v>
      </c>
    </row>
    <row r="5021" spans="1:2">
      <c r="A5021">
        <v>135</v>
      </c>
      <c r="B5021">
        <v>234.8</v>
      </c>
    </row>
    <row r="5022" spans="1:2">
      <c r="A5022">
        <v>134</v>
      </c>
      <c r="B5022">
        <v>236.4</v>
      </c>
    </row>
    <row r="5023" spans="1:2">
      <c r="A5023">
        <v>135.19999999999999</v>
      </c>
      <c r="B5023">
        <v>237.5</v>
      </c>
    </row>
    <row r="5025" spans="1:2">
      <c r="A5025">
        <v>124.5</v>
      </c>
      <c r="B5025">
        <v>244.8</v>
      </c>
    </row>
    <row r="5026" spans="1:2">
      <c r="A5026">
        <v>126.1</v>
      </c>
      <c r="B5026">
        <v>243</v>
      </c>
    </row>
    <row r="5027" spans="1:2">
      <c r="A5027">
        <v>123.7</v>
      </c>
      <c r="B5027">
        <v>241.4</v>
      </c>
    </row>
    <row r="5028" spans="1:2">
      <c r="A5028">
        <v>123.2</v>
      </c>
      <c r="B5028">
        <v>242.8</v>
      </c>
    </row>
    <row r="5029" spans="1:2">
      <c r="A5029">
        <v>124.5</v>
      </c>
      <c r="B5029">
        <v>243.1</v>
      </c>
    </row>
    <row r="5030" spans="1:2">
      <c r="A5030">
        <v>122.1</v>
      </c>
      <c r="B5030">
        <v>244.1</v>
      </c>
    </row>
    <row r="5031" spans="1:2">
      <c r="A5031">
        <v>124.5</v>
      </c>
      <c r="B5031">
        <v>244.8</v>
      </c>
    </row>
    <row r="5033" spans="1:2">
      <c r="A5033">
        <v>159.19999999999999</v>
      </c>
      <c r="B5033">
        <v>251.6</v>
      </c>
    </row>
    <row r="5034" spans="1:2">
      <c r="A5034">
        <v>164.5</v>
      </c>
      <c r="B5034">
        <v>251.6</v>
      </c>
    </row>
    <row r="5035" spans="1:2">
      <c r="A5035">
        <v>165.6</v>
      </c>
      <c r="B5035">
        <v>249.8</v>
      </c>
    </row>
    <row r="5036" spans="1:2">
      <c r="A5036">
        <v>164.3</v>
      </c>
      <c r="B5036">
        <v>247.3</v>
      </c>
    </row>
    <row r="5037" spans="1:2">
      <c r="A5037">
        <v>166</v>
      </c>
      <c r="B5037">
        <v>245.9</v>
      </c>
    </row>
    <row r="5038" spans="1:2">
      <c r="A5038">
        <v>165.7</v>
      </c>
      <c r="B5038">
        <v>243.4</v>
      </c>
    </row>
    <row r="5039" spans="1:2">
      <c r="A5039">
        <v>167.4</v>
      </c>
      <c r="B5039">
        <v>244.7</v>
      </c>
    </row>
    <row r="5040" spans="1:2">
      <c r="A5040">
        <v>167.5</v>
      </c>
      <c r="B5040">
        <v>240.9</v>
      </c>
    </row>
    <row r="5041" spans="1:2">
      <c r="A5041">
        <v>169.1</v>
      </c>
      <c r="B5041">
        <v>238.7</v>
      </c>
    </row>
    <row r="5042" spans="1:2">
      <c r="A5042">
        <v>170.7</v>
      </c>
      <c r="B5042">
        <v>239.4</v>
      </c>
    </row>
    <row r="5043" spans="1:2">
      <c r="A5043">
        <v>173.7</v>
      </c>
      <c r="B5043">
        <v>238</v>
      </c>
    </row>
    <row r="5044" spans="1:2">
      <c r="A5044">
        <v>173.6</v>
      </c>
      <c r="B5044">
        <v>241.1</v>
      </c>
    </row>
    <row r="5045" spans="1:2">
      <c r="A5045">
        <v>175.4</v>
      </c>
      <c r="B5045">
        <v>241.8</v>
      </c>
    </row>
    <row r="5046" spans="1:2">
      <c r="A5046">
        <v>178.9</v>
      </c>
      <c r="B5046">
        <v>240.1</v>
      </c>
    </row>
    <row r="5047" spans="1:2">
      <c r="A5047">
        <v>176</v>
      </c>
      <c r="B5047">
        <v>238</v>
      </c>
    </row>
    <row r="5048" spans="1:2">
      <c r="A5048">
        <v>176.3</v>
      </c>
      <c r="B5048">
        <v>235.6</v>
      </c>
    </row>
    <row r="5049" spans="1:2">
      <c r="A5049">
        <v>173.7</v>
      </c>
      <c r="B5049">
        <v>233.4</v>
      </c>
    </row>
    <row r="5050" spans="1:2">
      <c r="A5050">
        <v>173.3</v>
      </c>
      <c r="B5050">
        <v>226.7</v>
      </c>
    </row>
    <row r="5051" spans="1:2">
      <c r="A5051">
        <v>169.1</v>
      </c>
      <c r="B5051">
        <v>225.2</v>
      </c>
    </row>
    <row r="5052" spans="1:2">
      <c r="A5052">
        <v>164.3</v>
      </c>
      <c r="B5052">
        <v>226.4</v>
      </c>
    </row>
    <row r="5053" spans="1:2">
      <c r="A5053">
        <v>160.6</v>
      </c>
      <c r="B5053">
        <v>224.2</v>
      </c>
    </row>
    <row r="5054" spans="1:2">
      <c r="A5054">
        <v>158.19999999999999</v>
      </c>
      <c r="B5054">
        <v>225.7</v>
      </c>
    </row>
    <row r="5055" spans="1:2">
      <c r="A5055">
        <v>154.9</v>
      </c>
      <c r="B5055">
        <v>223.2</v>
      </c>
    </row>
    <row r="5056" spans="1:2">
      <c r="A5056">
        <v>153.5</v>
      </c>
      <c r="B5056">
        <v>225.4</v>
      </c>
    </row>
    <row r="5057" spans="1:2">
      <c r="A5057">
        <v>155.1</v>
      </c>
      <c r="B5057">
        <v>226.1</v>
      </c>
    </row>
    <row r="5058" spans="1:2">
      <c r="A5058">
        <v>155.5</v>
      </c>
      <c r="B5058">
        <v>228.4</v>
      </c>
    </row>
    <row r="5059" spans="1:2">
      <c r="A5059">
        <v>152.1</v>
      </c>
      <c r="B5059">
        <v>226.1</v>
      </c>
    </row>
    <row r="5060" spans="1:2">
      <c r="A5060">
        <v>152.4</v>
      </c>
      <c r="B5060">
        <v>228.6</v>
      </c>
    </row>
    <row r="5061" spans="1:2">
      <c r="A5061">
        <v>150.6</v>
      </c>
      <c r="B5061">
        <v>227.5</v>
      </c>
    </row>
    <row r="5062" spans="1:2">
      <c r="A5062">
        <v>148.5</v>
      </c>
      <c r="B5062">
        <v>229.6</v>
      </c>
    </row>
    <row r="5063" spans="1:2">
      <c r="A5063">
        <v>149.5</v>
      </c>
      <c r="B5063">
        <v>232.6</v>
      </c>
    </row>
    <row r="5064" spans="1:2">
      <c r="A5064">
        <v>151.19999999999999</v>
      </c>
      <c r="B5064">
        <v>231.9</v>
      </c>
    </row>
    <row r="5065" spans="1:2">
      <c r="A5065">
        <v>150.69999999999999</v>
      </c>
      <c r="B5065">
        <v>233.9</v>
      </c>
    </row>
    <row r="5066" spans="1:2">
      <c r="A5066">
        <v>152.9</v>
      </c>
      <c r="B5066">
        <v>235.1</v>
      </c>
    </row>
    <row r="5067" spans="1:2">
      <c r="A5067">
        <v>151.6</v>
      </c>
      <c r="B5067">
        <v>234.5</v>
      </c>
    </row>
    <row r="5068" spans="1:2">
      <c r="A5068">
        <v>151.30000000000001</v>
      </c>
      <c r="B5068">
        <v>235.8</v>
      </c>
    </row>
    <row r="5069" spans="1:2">
      <c r="A5069">
        <v>155</v>
      </c>
      <c r="B5069">
        <v>236.2</v>
      </c>
    </row>
    <row r="5070" spans="1:2">
      <c r="A5070">
        <v>157.30000000000001</v>
      </c>
      <c r="B5070">
        <v>245.4</v>
      </c>
    </row>
    <row r="5071" spans="1:2">
      <c r="A5071">
        <v>161.69999999999999</v>
      </c>
      <c r="B5071">
        <v>243.2</v>
      </c>
    </row>
    <row r="5072" spans="1:2">
      <c r="A5072">
        <v>157.69999999999999</v>
      </c>
      <c r="B5072">
        <v>248.2</v>
      </c>
    </row>
    <row r="5073" spans="1:2">
      <c r="A5073">
        <v>159.19999999999999</v>
      </c>
      <c r="B5073">
        <v>251.6</v>
      </c>
    </row>
    <row r="5074" spans="1:2">
      <c r="A5074">
        <v>158.4</v>
      </c>
      <c r="B5074">
        <v>252.3</v>
      </c>
    </row>
    <row r="5075" spans="1:2">
      <c r="A5075">
        <v>159.19999999999999</v>
      </c>
      <c r="B5075">
        <v>251.6</v>
      </c>
    </row>
    <row r="5077" spans="1:2">
      <c r="A5077">
        <v>194.6</v>
      </c>
      <c r="B5077">
        <v>258.2</v>
      </c>
    </row>
    <row r="5078" spans="1:2">
      <c r="A5078">
        <v>196.3</v>
      </c>
      <c r="B5078">
        <v>257.2</v>
      </c>
    </row>
    <row r="5079" spans="1:2">
      <c r="A5079">
        <v>196</v>
      </c>
      <c r="B5079">
        <v>255.5</v>
      </c>
    </row>
    <row r="5080" spans="1:2">
      <c r="A5080">
        <v>198.6</v>
      </c>
      <c r="B5080">
        <v>255.4</v>
      </c>
    </row>
    <row r="5081" spans="1:2">
      <c r="A5081">
        <v>201.7</v>
      </c>
      <c r="B5081">
        <v>253.2</v>
      </c>
    </row>
    <row r="5082" spans="1:2">
      <c r="A5082">
        <v>201.4</v>
      </c>
      <c r="B5082">
        <v>251.2</v>
      </c>
    </row>
    <row r="5083" spans="1:2">
      <c r="A5083">
        <v>203.5</v>
      </c>
      <c r="B5083">
        <v>248.4</v>
      </c>
    </row>
    <row r="5084" spans="1:2">
      <c r="A5084">
        <v>203.3</v>
      </c>
      <c r="B5084">
        <v>246.5</v>
      </c>
    </row>
    <row r="5085" spans="1:2">
      <c r="A5085">
        <v>202.6</v>
      </c>
      <c r="B5085">
        <v>247.4</v>
      </c>
    </row>
    <row r="5086" spans="1:2">
      <c r="A5086">
        <v>199.9</v>
      </c>
      <c r="B5086">
        <v>244.7</v>
      </c>
    </row>
    <row r="5087" spans="1:2">
      <c r="A5087">
        <v>199.1</v>
      </c>
      <c r="B5087">
        <v>242.5</v>
      </c>
    </row>
    <row r="5088" spans="1:2">
      <c r="A5088">
        <v>200.2</v>
      </c>
      <c r="B5088">
        <v>240.8</v>
      </c>
    </row>
    <row r="5089" spans="1:2">
      <c r="A5089">
        <v>197.9</v>
      </c>
      <c r="B5089">
        <v>240.2</v>
      </c>
    </row>
    <row r="5090" spans="1:2">
      <c r="A5090">
        <v>197.2</v>
      </c>
      <c r="B5090">
        <v>237.3</v>
      </c>
    </row>
    <row r="5091" spans="1:2">
      <c r="A5091">
        <v>199.5</v>
      </c>
      <c r="B5091">
        <v>232.7</v>
      </c>
    </row>
    <row r="5092" spans="1:2">
      <c r="A5092">
        <v>193</v>
      </c>
      <c r="B5092">
        <v>229.1</v>
      </c>
    </row>
    <row r="5093" spans="1:2">
      <c r="A5093">
        <v>188.6</v>
      </c>
      <c r="B5093">
        <v>230.8</v>
      </c>
    </row>
    <row r="5094" spans="1:2">
      <c r="A5094">
        <v>188.8</v>
      </c>
      <c r="B5094">
        <v>233.4</v>
      </c>
    </row>
    <row r="5095" spans="1:2">
      <c r="A5095">
        <v>187</v>
      </c>
      <c r="B5095">
        <v>232.8</v>
      </c>
    </row>
    <row r="5096" spans="1:2">
      <c r="A5096">
        <v>185.3</v>
      </c>
      <c r="B5096">
        <v>228.5</v>
      </c>
    </row>
    <row r="5097" spans="1:2">
      <c r="A5097">
        <v>182.6</v>
      </c>
      <c r="B5097">
        <v>228.8</v>
      </c>
    </row>
    <row r="5098" spans="1:2">
      <c r="A5098">
        <v>181.7</v>
      </c>
      <c r="B5098">
        <v>226.2</v>
      </c>
    </row>
    <row r="5099" spans="1:2">
      <c r="A5099">
        <v>179.6</v>
      </c>
      <c r="B5099">
        <v>226.3</v>
      </c>
    </row>
    <row r="5100" spans="1:2">
      <c r="A5100">
        <v>173.6</v>
      </c>
      <c r="B5100">
        <v>231.3</v>
      </c>
    </row>
    <row r="5101" spans="1:2">
      <c r="A5101">
        <v>173.7</v>
      </c>
      <c r="B5101">
        <v>233.4</v>
      </c>
    </row>
    <row r="5102" spans="1:2">
      <c r="A5102">
        <v>175.9</v>
      </c>
      <c r="B5102">
        <v>234.8</v>
      </c>
    </row>
    <row r="5103" spans="1:2">
      <c r="A5103">
        <v>176</v>
      </c>
      <c r="B5103">
        <v>238</v>
      </c>
    </row>
    <row r="5104" spans="1:2">
      <c r="A5104">
        <v>178.5</v>
      </c>
      <c r="B5104">
        <v>238.9</v>
      </c>
    </row>
    <row r="5105" spans="1:2">
      <c r="A5105">
        <v>180.8</v>
      </c>
      <c r="B5105">
        <v>243.5</v>
      </c>
    </row>
    <row r="5106" spans="1:2">
      <c r="A5106">
        <v>182.5</v>
      </c>
      <c r="B5106">
        <v>242.7</v>
      </c>
    </row>
    <row r="5107" spans="1:2">
      <c r="A5107">
        <v>186.5</v>
      </c>
      <c r="B5107">
        <v>246.3</v>
      </c>
    </row>
    <row r="5108" spans="1:2">
      <c r="A5108">
        <v>185.7</v>
      </c>
      <c r="B5108">
        <v>248.8</v>
      </c>
    </row>
    <row r="5109" spans="1:2">
      <c r="A5109">
        <v>188.5</v>
      </c>
      <c r="B5109">
        <v>250.5</v>
      </c>
    </row>
    <row r="5110" spans="1:2">
      <c r="A5110">
        <v>187.3</v>
      </c>
      <c r="B5110">
        <v>254.5</v>
      </c>
    </row>
    <row r="5111" spans="1:2">
      <c r="A5111">
        <v>189.4</v>
      </c>
      <c r="B5111">
        <v>256</v>
      </c>
    </row>
    <row r="5112" spans="1:2">
      <c r="A5112">
        <v>193.7</v>
      </c>
      <c r="B5112">
        <v>256.2</v>
      </c>
    </row>
    <row r="5113" spans="1:2">
      <c r="A5113">
        <v>194.6</v>
      </c>
      <c r="B5113">
        <v>258.2</v>
      </c>
    </row>
    <row r="5115" spans="1:2">
      <c r="A5115">
        <v>203.4</v>
      </c>
      <c r="B5115">
        <v>96.1</v>
      </c>
    </row>
    <row r="5116" spans="1:2">
      <c r="A5116">
        <v>204.3</v>
      </c>
      <c r="B5116">
        <v>93.9</v>
      </c>
    </row>
    <row r="5117" spans="1:2">
      <c r="A5117">
        <v>202.4</v>
      </c>
      <c r="B5117">
        <v>94.3</v>
      </c>
    </row>
    <row r="5118" spans="1:2">
      <c r="A5118">
        <v>203.4</v>
      </c>
      <c r="B5118">
        <v>96.1</v>
      </c>
    </row>
    <row r="5120" spans="1:2">
      <c r="A5120">
        <v>170.7</v>
      </c>
      <c r="B5120">
        <v>116.5</v>
      </c>
    </row>
    <row r="5121" spans="1:2">
      <c r="A5121">
        <v>172.6</v>
      </c>
      <c r="B5121">
        <v>114.8</v>
      </c>
    </row>
    <row r="5122" spans="1:2">
      <c r="A5122">
        <v>176.8</v>
      </c>
      <c r="B5122">
        <v>115.1</v>
      </c>
    </row>
    <row r="5123" spans="1:2">
      <c r="A5123">
        <v>176.6</v>
      </c>
      <c r="B5123">
        <v>113.7</v>
      </c>
    </row>
    <row r="5124" spans="1:2">
      <c r="A5124">
        <v>175.3</v>
      </c>
      <c r="B5124">
        <v>114.8</v>
      </c>
    </row>
    <row r="5125" spans="1:2">
      <c r="A5125">
        <v>175.2</v>
      </c>
      <c r="B5125">
        <v>113.2</v>
      </c>
    </row>
    <row r="5126" spans="1:2">
      <c r="A5126">
        <v>174.1</v>
      </c>
      <c r="B5126">
        <v>114.9</v>
      </c>
    </row>
    <row r="5127" spans="1:2">
      <c r="A5127">
        <v>171.8</v>
      </c>
      <c r="B5127">
        <v>112</v>
      </c>
    </row>
    <row r="5128" spans="1:2">
      <c r="A5128">
        <v>167.3</v>
      </c>
      <c r="B5128">
        <v>110.5</v>
      </c>
    </row>
    <row r="5129" spans="1:2">
      <c r="A5129">
        <v>166.6</v>
      </c>
      <c r="B5129">
        <v>114.6</v>
      </c>
    </row>
    <row r="5130" spans="1:2">
      <c r="A5130">
        <v>170.7</v>
      </c>
      <c r="B5130">
        <v>116.5</v>
      </c>
    </row>
    <row r="5132" spans="1:2">
      <c r="A5132">
        <v>179.8</v>
      </c>
      <c r="B5132">
        <v>118.8</v>
      </c>
    </row>
    <row r="5133" spans="1:2">
      <c r="A5133">
        <v>182.4</v>
      </c>
      <c r="B5133">
        <v>117</v>
      </c>
    </row>
    <row r="5134" spans="1:2">
      <c r="A5134">
        <v>179.9</v>
      </c>
      <c r="B5134">
        <v>115.9</v>
      </c>
    </row>
    <row r="5135" spans="1:2">
      <c r="A5135">
        <v>182.3</v>
      </c>
      <c r="B5135">
        <v>113.4</v>
      </c>
    </row>
    <row r="5136" spans="1:2">
      <c r="A5136">
        <v>180.2</v>
      </c>
      <c r="B5136">
        <v>109.3</v>
      </c>
    </row>
    <row r="5137" spans="1:2">
      <c r="A5137">
        <v>177.4</v>
      </c>
      <c r="B5137">
        <v>113.1</v>
      </c>
    </row>
    <row r="5138" spans="1:2">
      <c r="A5138">
        <v>179.6</v>
      </c>
      <c r="B5138">
        <v>115.7</v>
      </c>
    </row>
    <row r="5139" spans="1:2">
      <c r="A5139">
        <v>177.9</v>
      </c>
      <c r="B5139">
        <v>117.7</v>
      </c>
    </row>
    <row r="5140" spans="1:2">
      <c r="A5140">
        <v>179.8</v>
      </c>
      <c r="B5140">
        <v>118.8</v>
      </c>
    </row>
    <row r="5142" spans="1:2">
      <c r="A5142">
        <v>189.8</v>
      </c>
      <c r="B5142">
        <v>117.9</v>
      </c>
    </row>
    <row r="5143" spans="1:2">
      <c r="A5143">
        <v>189.1</v>
      </c>
      <c r="B5143">
        <v>116.5</v>
      </c>
    </row>
    <row r="5144" spans="1:2">
      <c r="A5144">
        <v>188.1</v>
      </c>
      <c r="B5144">
        <v>117.6</v>
      </c>
    </row>
    <row r="5145" spans="1:2">
      <c r="A5145">
        <v>189.3</v>
      </c>
      <c r="B5145">
        <v>120.2</v>
      </c>
    </row>
    <row r="5146" spans="1:2">
      <c r="A5146">
        <v>189.8</v>
      </c>
      <c r="B5146">
        <v>117.9</v>
      </c>
    </row>
    <row r="5148" spans="1:2">
      <c r="A5148">
        <v>200.4</v>
      </c>
      <c r="B5148">
        <v>120.9</v>
      </c>
    </row>
    <row r="5149" spans="1:2">
      <c r="A5149">
        <v>202.2</v>
      </c>
      <c r="B5149">
        <v>120.3</v>
      </c>
    </row>
    <row r="5150" spans="1:2">
      <c r="A5150">
        <v>202</v>
      </c>
      <c r="B5150">
        <v>117.2</v>
      </c>
    </row>
    <row r="5151" spans="1:2">
      <c r="A5151">
        <v>203.7</v>
      </c>
      <c r="B5151">
        <v>117.8</v>
      </c>
    </row>
    <row r="5152" spans="1:2">
      <c r="A5152">
        <v>202.8</v>
      </c>
      <c r="B5152">
        <v>114.5</v>
      </c>
    </row>
    <row r="5153" spans="1:2">
      <c r="A5153">
        <v>199.6</v>
      </c>
      <c r="B5153">
        <v>113.5</v>
      </c>
    </row>
    <row r="5154" spans="1:2">
      <c r="A5154">
        <v>198.2</v>
      </c>
      <c r="B5154">
        <v>115.3</v>
      </c>
    </row>
    <row r="5155" spans="1:2">
      <c r="A5155">
        <v>197.4</v>
      </c>
      <c r="B5155">
        <v>113.6</v>
      </c>
    </row>
    <row r="5156" spans="1:2">
      <c r="A5156">
        <v>197.5</v>
      </c>
      <c r="B5156">
        <v>118.9</v>
      </c>
    </row>
    <row r="5157" spans="1:2">
      <c r="A5157">
        <v>200.4</v>
      </c>
      <c r="B5157">
        <v>120.9</v>
      </c>
    </row>
    <row r="5159" spans="1:2">
      <c r="A5159">
        <v>172.2</v>
      </c>
      <c r="B5159">
        <v>122.6</v>
      </c>
    </row>
    <row r="5160" spans="1:2">
      <c r="A5160">
        <v>177.1</v>
      </c>
      <c r="B5160">
        <v>119.6</v>
      </c>
    </row>
    <row r="5161" spans="1:2">
      <c r="A5161">
        <v>175.2</v>
      </c>
      <c r="B5161">
        <v>119</v>
      </c>
    </row>
    <row r="5162" spans="1:2">
      <c r="A5162">
        <v>176.2</v>
      </c>
      <c r="B5162">
        <v>117</v>
      </c>
    </row>
    <row r="5163" spans="1:2">
      <c r="A5163">
        <v>173.8</v>
      </c>
      <c r="B5163">
        <v>118</v>
      </c>
    </row>
    <row r="5164" spans="1:2">
      <c r="A5164">
        <v>173.9</v>
      </c>
      <c r="B5164">
        <v>116</v>
      </c>
    </row>
    <row r="5165" spans="1:2">
      <c r="A5165">
        <v>170.5</v>
      </c>
      <c r="B5165">
        <v>117.8</v>
      </c>
    </row>
    <row r="5166" spans="1:2">
      <c r="A5166">
        <v>172.1</v>
      </c>
      <c r="B5166">
        <v>121.5</v>
      </c>
    </row>
    <row r="5167" spans="1:2">
      <c r="A5167">
        <v>170.9</v>
      </c>
      <c r="B5167">
        <v>122.6</v>
      </c>
    </row>
    <row r="5168" spans="1:2">
      <c r="A5168">
        <v>172.2</v>
      </c>
      <c r="B5168">
        <v>122.6</v>
      </c>
    </row>
    <row r="5170" spans="1:2">
      <c r="A5170">
        <v>176.5</v>
      </c>
      <c r="B5170">
        <v>124.3</v>
      </c>
    </row>
    <row r="5171" spans="1:2">
      <c r="A5171">
        <v>177.2</v>
      </c>
      <c r="B5171">
        <v>123.1</v>
      </c>
    </row>
    <row r="5172" spans="1:2">
      <c r="A5172">
        <v>174.5</v>
      </c>
      <c r="B5172">
        <v>122.6</v>
      </c>
    </row>
    <row r="5173" spans="1:2">
      <c r="A5173">
        <v>176.5</v>
      </c>
      <c r="B5173">
        <v>124.3</v>
      </c>
    </row>
    <row r="5175" spans="1:2">
      <c r="A5175">
        <v>209.3</v>
      </c>
      <c r="B5175">
        <v>133.69999999999999</v>
      </c>
    </row>
    <row r="5176" spans="1:2">
      <c r="A5176">
        <v>211.4</v>
      </c>
      <c r="B5176">
        <v>132.4</v>
      </c>
    </row>
    <row r="5177" spans="1:2">
      <c r="A5177">
        <v>207.6</v>
      </c>
      <c r="B5177">
        <v>129.9</v>
      </c>
    </row>
    <row r="5178" spans="1:2">
      <c r="A5178">
        <v>206.3</v>
      </c>
      <c r="B5178">
        <v>132.69999999999999</v>
      </c>
    </row>
    <row r="5179" spans="1:2">
      <c r="A5179">
        <v>209.3</v>
      </c>
      <c r="B5179">
        <v>133.69999999999999</v>
      </c>
    </row>
    <row r="5181" spans="1:2">
      <c r="A5181">
        <v>195.9</v>
      </c>
      <c r="B5181">
        <v>131.1</v>
      </c>
    </row>
    <row r="5182" spans="1:2">
      <c r="A5182">
        <v>195.1</v>
      </c>
      <c r="B5182">
        <v>132.6</v>
      </c>
    </row>
    <row r="5183" spans="1:2">
      <c r="A5183">
        <v>192</v>
      </c>
      <c r="B5183">
        <v>131.5</v>
      </c>
    </row>
    <row r="5184" spans="1:2">
      <c r="A5184">
        <v>188.3</v>
      </c>
      <c r="B5184">
        <v>133.6</v>
      </c>
    </row>
    <row r="5185" spans="1:2">
      <c r="A5185">
        <v>190.6</v>
      </c>
      <c r="B5185">
        <v>133.30000000000001</v>
      </c>
    </row>
    <row r="5186" spans="1:2">
      <c r="A5186">
        <v>191.4</v>
      </c>
      <c r="B5186">
        <v>134.80000000000001</v>
      </c>
    </row>
    <row r="5187" spans="1:2">
      <c r="A5187">
        <v>193.9</v>
      </c>
      <c r="B5187">
        <v>133.69999999999999</v>
      </c>
    </row>
    <row r="5188" spans="1:2">
      <c r="A5188">
        <v>195.5</v>
      </c>
      <c r="B5188">
        <v>136.1</v>
      </c>
    </row>
    <row r="5189" spans="1:2">
      <c r="A5189">
        <v>199.6</v>
      </c>
      <c r="B5189">
        <v>133.69999999999999</v>
      </c>
    </row>
    <row r="5190" spans="1:2">
      <c r="A5190">
        <v>200.9</v>
      </c>
      <c r="B5190">
        <v>134.6</v>
      </c>
    </row>
    <row r="5191" spans="1:2">
      <c r="A5191">
        <v>199.7</v>
      </c>
      <c r="B5191">
        <v>131</v>
      </c>
    </row>
    <row r="5192" spans="1:2">
      <c r="A5192">
        <v>198.3</v>
      </c>
      <c r="B5192">
        <v>132.19999999999999</v>
      </c>
    </row>
    <row r="5193" spans="1:2">
      <c r="A5193">
        <v>196.2</v>
      </c>
      <c r="B5193">
        <v>129.69999999999999</v>
      </c>
    </row>
    <row r="5194" spans="1:2">
      <c r="A5194">
        <v>195.9</v>
      </c>
      <c r="B5194">
        <v>131.1</v>
      </c>
    </row>
    <row r="5196" spans="1:2">
      <c r="A5196">
        <v>212.6</v>
      </c>
      <c r="B5196">
        <v>134.1</v>
      </c>
    </row>
    <row r="5197" spans="1:2">
      <c r="A5197">
        <v>208.8</v>
      </c>
      <c r="B5197">
        <v>136.19999999999999</v>
      </c>
    </row>
    <row r="5198" spans="1:2">
      <c r="A5198">
        <v>210.6</v>
      </c>
      <c r="B5198">
        <v>135.9</v>
      </c>
    </row>
    <row r="5199" spans="1:2">
      <c r="A5199">
        <v>212.6</v>
      </c>
      <c r="B5199">
        <v>138.5</v>
      </c>
    </row>
    <row r="5200" spans="1:2">
      <c r="A5200">
        <v>213.9</v>
      </c>
      <c r="B5200">
        <v>135.30000000000001</v>
      </c>
    </row>
    <row r="5201" spans="1:2">
      <c r="A5201">
        <v>216.7</v>
      </c>
      <c r="B5201">
        <v>136.4</v>
      </c>
    </row>
    <row r="5202" spans="1:2">
      <c r="A5202">
        <v>218.8</v>
      </c>
      <c r="B5202">
        <v>133.9</v>
      </c>
    </row>
    <row r="5203" spans="1:2">
      <c r="A5203">
        <v>215.9</v>
      </c>
      <c r="B5203">
        <v>134.9</v>
      </c>
    </row>
    <row r="5204" spans="1:2">
      <c r="A5204">
        <v>216.8</v>
      </c>
      <c r="B5204">
        <v>133.30000000000001</v>
      </c>
    </row>
    <row r="5205" spans="1:2">
      <c r="A5205">
        <v>215</v>
      </c>
      <c r="B5205">
        <v>133.1</v>
      </c>
    </row>
    <row r="5206" spans="1:2">
      <c r="A5206">
        <v>213.7</v>
      </c>
      <c r="B5206">
        <v>130.69999999999999</v>
      </c>
    </row>
    <row r="5207" spans="1:2">
      <c r="A5207">
        <v>213.2</v>
      </c>
      <c r="B5207">
        <v>132.5</v>
      </c>
    </row>
    <row r="5208" spans="1:2">
      <c r="A5208">
        <v>214.7</v>
      </c>
      <c r="B5208">
        <v>133.80000000000001</v>
      </c>
    </row>
    <row r="5209" spans="1:2">
      <c r="A5209">
        <v>212.6</v>
      </c>
      <c r="B5209">
        <v>134.1</v>
      </c>
    </row>
    <row r="5211" spans="1:2">
      <c r="A5211">
        <v>218.2</v>
      </c>
      <c r="B5211">
        <v>139.69999999999999</v>
      </c>
    </row>
    <row r="5212" spans="1:2">
      <c r="A5212">
        <v>218</v>
      </c>
      <c r="B5212">
        <v>138.19999999999999</v>
      </c>
    </row>
    <row r="5213" spans="1:2">
      <c r="A5213">
        <v>216</v>
      </c>
      <c r="B5213">
        <v>137.5</v>
      </c>
    </row>
    <row r="5214" spans="1:2">
      <c r="A5214">
        <v>218.2</v>
      </c>
      <c r="B5214">
        <v>139.69999999999999</v>
      </c>
    </row>
    <row r="5216" spans="1:2">
      <c r="A5216">
        <v>183.3</v>
      </c>
      <c r="B5216">
        <v>140.4</v>
      </c>
    </row>
    <row r="5217" spans="1:2">
      <c r="A5217">
        <v>186.3</v>
      </c>
      <c r="B5217">
        <v>138.4</v>
      </c>
    </row>
    <row r="5218" spans="1:2">
      <c r="A5218">
        <v>186.9</v>
      </c>
      <c r="B5218">
        <v>134.4</v>
      </c>
    </row>
    <row r="5219" spans="1:2">
      <c r="A5219">
        <v>188.5</v>
      </c>
      <c r="B5219">
        <v>131.5</v>
      </c>
    </row>
    <row r="5220" spans="1:2">
      <c r="A5220">
        <v>189.7</v>
      </c>
      <c r="B5220">
        <v>131.6</v>
      </c>
    </row>
    <row r="5221" spans="1:2">
      <c r="A5221">
        <v>189.1</v>
      </c>
      <c r="B5221">
        <v>129.80000000000001</v>
      </c>
    </row>
    <row r="5222" spans="1:2">
      <c r="A5222">
        <v>190.6</v>
      </c>
      <c r="B5222">
        <v>128.4</v>
      </c>
    </row>
    <row r="5223" spans="1:2">
      <c r="A5223">
        <v>186.8</v>
      </c>
      <c r="B5223">
        <v>130.30000000000001</v>
      </c>
    </row>
    <row r="5224" spans="1:2">
      <c r="A5224">
        <v>187.1</v>
      </c>
      <c r="B5224">
        <v>128.30000000000001</v>
      </c>
    </row>
    <row r="5225" spans="1:2">
      <c r="A5225">
        <v>183.3</v>
      </c>
      <c r="B5225">
        <v>129</v>
      </c>
    </row>
    <row r="5226" spans="1:2">
      <c r="A5226">
        <v>181.1</v>
      </c>
      <c r="B5226">
        <v>132.30000000000001</v>
      </c>
    </row>
    <row r="5227" spans="1:2">
      <c r="A5227">
        <v>179</v>
      </c>
      <c r="B5227">
        <v>132.80000000000001</v>
      </c>
    </row>
    <row r="5228" spans="1:2">
      <c r="A5228">
        <v>178.4</v>
      </c>
      <c r="B5228">
        <v>138.69999999999999</v>
      </c>
    </row>
    <row r="5229" spans="1:2">
      <c r="A5229">
        <v>181.2</v>
      </c>
      <c r="B5229">
        <v>140.69999999999999</v>
      </c>
    </row>
    <row r="5230" spans="1:2">
      <c r="A5230">
        <v>183.3</v>
      </c>
      <c r="B5230">
        <v>140.4</v>
      </c>
    </row>
    <row r="5232" spans="1:2">
      <c r="A5232">
        <v>205</v>
      </c>
      <c r="B5232">
        <v>139.80000000000001</v>
      </c>
    </row>
    <row r="5233" spans="1:2">
      <c r="A5233">
        <v>205.4</v>
      </c>
      <c r="B5233">
        <v>137.1</v>
      </c>
    </row>
    <row r="5234" spans="1:2">
      <c r="A5234">
        <v>203.8</v>
      </c>
      <c r="B5234">
        <v>137.4</v>
      </c>
    </row>
    <row r="5235" spans="1:2">
      <c r="A5235">
        <v>201.9</v>
      </c>
      <c r="B5235">
        <v>135.6</v>
      </c>
    </row>
    <row r="5236" spans="1:2">
      <c r="A5236">
        <v>198.1</v>
      </c>
      <c r="B5236">
        <v>137.69999999999999</v>
      </c>
    </row>
    <row r="5237" spans="1:2">
      <c r="A5237">
        <v>197.9</v>
      </c>
      <c r="B5237">
        <v>141.30000000000001</v>
      </c>
    </row>
    <row r="5238" spans="1:2">
      <c r="A5238">
        <v>203.9</v>
      </c>
      <c r="B5238">
        <v>139.6</v>
      </c>
    </row>
    <row r="5239" spans="1:2">
      <c r="A5239">
        <v>205</v>
      </c>
      <c r="B5239">
        <v>142</v>
      </c>
    </row>
    <row r="5240" spans="1:2">
      <c r="A5240">
        <v>205</v>
      </c>
      <c r="B5240">
        <v>139.80000000000001</v>
      </c>
    </row>
    <row r="5242" spans="1:2">
      <c r="A5242">
        <v>195.4</v>
      </c>
      <c r="B5242">
        <v>144.6</v>
      </c>
    </row>
    <row r="5243" spans="1:2">
      <c r="A5243">
        <v>196.3</v>
      </c>
      <c r="B5243">
        <v>142.80000000000001</v>
      </c>
    </row>
    <row r="5244" spans="1:2">
      <c r="A5244">
        <v>194.6</v>
      </c>
      <c r="B5244">
        <v>142.69999999999999</v>
      </c>
    </row>
    <row r="5245" spans="1:2">
      <c r="A5245">
        <v>196.9</v>
      </c>
      <c r="B5245">
        <v>142.6</v>
      </c>
    </row>
    <row r="5246" spans="1:2">
      <c r="A5246">
        <v>198.2</v>
      </c>
      <c r="B5246">
        <v>139.5</v>
      </c>
    </row>
    <row r="5247" spans="1:2">
      <c r="A5247">
        <v>191.9</v>
      </c>
      <c r="B5247">
        <v>138.69999999999999</v>
      </c>
    </row>
    <row r="5248" spans="1:2">
      <c r="A5248">
        <v>190.8</v>
      </c>
      <c r="B5248">
        <v>135.5</v>
      </c>
    </row>
    <row r="5249" spans="1:2">
      <c r="A5249">
        <v>189.7</v>
      </c>
      <c r="B5249">
        <v>135.9</v>
      </c>
    </row>
    <row r="5250" spans="1:2">
      <c r="A5250">
        <v>190.7</v>
      </c>
      <c r="B5250">
        <v>138.69999999999999</v>
      </c>
    </row>
    <row r="5251" spans="1:2">
      <c r="A5251">
        <v>188.1</v>
      </c>
      <c r="B5251">
        <v>138.5</v>
      </c>
    </row>
    <row r="5252" spans="1:2">
      <c r="A5252">
        <v>189.4</v>
      </c>
      <c r="B5252">
        <v>141.6</v>
      </c>
    </row>
    <row r="5253" spans="1:2">
      <c r="A5253">
        <v>191.5</v>
      </c>
      <c r="B5253">
        <v>144.1</v>
      </c>
    </row>
    <row r="5254" spans="1:2">
      <c r="A5254">
        <v>195.4</v>
      </c>
      <c r="B5254">
        <v>144.6</v>
      </c>
    </row>
    <row r="5256" spans="1:2">
      <c r="A5256">
        <v>213.8</v>
      </c>
      <c r="B5256">
        <v>147.1</v>
      </c>
    </row>
    <row r="5257" spans="1:2">
      <c r="A5257">
        <v>216.5</v>
      </c>
      <c r="B5257">
        <v>143.80000000000001</v>
      </c>
    </row>
    <row r="5258" spans="1:2">
      <c r="A5258">
        <v>215.4</v>
      </c>
      <c r="B5258">
        <v>140.80000000000001</v>
      </c>
    </row>
    <row r="5259" spans="1:2">
      <c r="A5259">
        <v>215.4</v>
      </c>
      <c r="B5259">
        <v>143.4</v>
      </c>
    </row>
    <row r="5260" spans="1:2">
      <c r="A5260">
        <v>214.1</v>
      </c>
      <c r="B5260">
        <v>142.19999999999999</v>
      </c>
    </row>
    <row r="5261" spans="1:2">
      <c r="A5261">
        <v>212</v>
      </c>
      <c r="B5261">
        <v>146.5</v>
      </c>
    </row>
    <row r="5262" spans="1:2">
      <c r="A5262">
        <v>213.8</v>
      </c>
      <c r="B5262">
        <v>147.1</v>
      </c>
    </row>
    <row r="5264" spans="1:2">
      <c r="A5264">
        <v>117.1</v>
      </c>
      <c r="B5264">
        <v>124</v>
      </c>
    </row>
    <row r="5265" spans="1:2">
      <c r="A5265">
        <v>118.6</v>
      </c>
      <c r="B5265">
        <v>123.3</v>
      </c>
    </row>
    <row r="5266" spans="1:2">
      <c r="A5266">
        <v>116.2</v>
      </c>
      <c r="B5266">
        <v>122.3</v>
      </c>
    </row>
    <row r="5267" spans="1:2">
      <c r="A5267">
        <v>117.1</v>
      </c>
      <c r="B5267">
        <v>124</v>
      </c>
    </row>
    <row r="5269" spans="1:2">
      <c r="A5269">
        <v>127.7</v>
      </c>
      <c r="B5269">
        <v>124.3</v>
      </c>
    </row>
    <row r="5270" spans="1:2">
      <c r="A5270">
        <v>127.6</v>
      </c>
      <c r="B5270">
        <v>121.7</v>
      </c>
    </row>
    <row r="5271" spans="1:2">
      <c r="A5271">
        <v>124.6</v>
      </c>
      <c r="B5271">
        <v>122.3</v>
      </c>
    </row>
    <row r="5272" spans="1:2">
      <c r="A5272">
        <v>126.8</v>
      </c>
      <c r="B5272">
        <v>123.3</v>
      </c>
    </row>
    <row r="5273" spans="1:2">
      <c r="A5273">
        <v>126.8</v>
      </c>
      <c r="B5273">
        <v>124.8</v>
      </c>
    </row>
    <row r="5274" spans="1:2">
      <c r="A5274">
        <v>127.7</v>
      </c>
      <c r="B5274">
        <v>124.3</v>
      </c>
    </row>
    <row r="5276" spans="1:2">
      <c r="A5276">
        <v>121.7</v>
      </c>
      <c r="B5276">
        <v>127.5</v>
      </c>
    </row>
    <row r="5277" spans="1:2">
      <c r="A5277">
        <v>121.9</v>
      </c>
      <c r="B5277">
        <v>125.9</v>
      </c>
    </row>
    <row r="5278" spans="1:2">
      <c r="A5278">
        <v>123.3</v>
      </c>
      <c r="B5278">
        <v>126</v>
      </c>
    </row>
    <row r="5279" spans="1:2">
      <c r="A5279">
        <v>122.8</v>
      </c>
      <c r="B5279">
        <v>124.6</v>
      </c>
    </row>
    <row r="5280" spans="1:2">
      <c r="A5280">
        <v>120.6</v>
      </c>
      <c r="B5280">
        <v>126.3</v>
      </c>
    </row>
    <row r="5281" spans="1:2">
      <c r="A5281">
        <v>121.7</v>
      </c>
      <c r="B5281">
        <v>127.5</v>
      </c>
    </row>
    <row r="5283" spans="1:2">
      <c r="A5283">
        <v>126.2</v>
      </c>
      <c r="B5283">
        <v>131.6</v>
      </c>
    </row>
    <row r="5284" spans="1:2">
      <c r="A5284">
        <v>127.2</v>
      </c>
      <c r="B5284">
        <v>130.19999999999999</v>
      </c>
    </row>
    <row r="5285" spans="1:2">
      <c r="A5285">
        <v>130.19999999999999</v>
      </c>
      <c r="B5285">
        <v>131</v>
      </c>
    </row>
    <row r="5286" spans="1:2">
      <c r="A5286">
        <v>130.80000000000001</v>
      </c>
      <c r="B5286">
        <v>127.1</v>
      </c>
    </row>
    <row r="5287" spans="1:2">
      <c r="A5287">
        <v>129.30000000000001</v>
      </c>
      <c r="B5287">
        <v>128.1</v>
      </c>
    </row>
    <row r="5288" spans="1:2">
      <c r="A5288">
        <v>128.4</v>
      </c>
      <c r="B5288">
        <v>126.9</v>
      </c>
    </row>
    <row r="5289" spans="1:2">
      <c r="A5289">
        <v>128.1</v>
      </c>
      <c r="B5289">
        <v>128.6</v>
      </c>
    </row>
    <row r="5290" spans="1:2">
      <c r="A5290">
        <v>127.3</v>
      </c>
      <c r="B5290">
        <v>127</v>
      </c>
    </row>
    <row r="5291" spans="1:2">
      <c r="A5291">
        <v>124.5</v>
      </c>
      <c r="B5291">
        <v>128.19999999999999</v>
      </c>
    </row>
    <row r="5292" spans="1:2">
      <c r="A5292">
        <v>124.6</v>
      </c>
      <c r="B5292">
        <v>131.1</v>
      </c>
    </row>
    <row r="5293" spans="1:2">
      <c r="A5293">
        <v>126.2</v>
      </c>
      <c r="B5293">
        <v>131.6</v>
      </c>
    </row>
    <row r="5295" spans="1:2">
      <c r="A5295">
        <v>124.8</v>
      </c>
      <c r="B5295">
        <v>134.4</v>
      </c>
    </row>
    <row r="5296" spans="1:2">
      <c r="A5296">
        <v>127.7</v>
      </c>
      <c r="B5296">
        <v>131.9</v>
      </c>
    </row>
    <row r="5297" spans="1:2">
      <c r="A5297">
        <v>125.7</v>
      </c>
      <c r="B5297">
        <v>133.1</v>
      </c>
    </row>
    <row r="5298" spans="1:2">
      <c r="A5298">
        <v>122.2</v>
      </c>
      <c r="B5298">
        <v>132.5</v>
      </c>
    </row>
    <row r="5299" spans="1:2">
      <c r="A5299">
        <v>122.2</v>
      </c>
      <c r="B5299">
        <v>134</v>
      </c>
    </row>
    <row r="5300" spans="1:2">
      <c r="A5300">
        <v>124.8</v>
      </c>
      <c r="B5300">
        <v>134.4</v>
      </c>
    </row>
    <row r="5302" spans="1:2">
      <c r="A5302">
        <v>127.6</v>
      </c>
      <c r="B5302">
        <v>150.69999999999999</v>
      </c>
    </row>
    <row r="5303" spans="1:2">
      <c r="A5303">
        <v>128.69999999999999</v>
      </c>
      <c r="B5303">
        <v>149.4</v>
      </c>
    </row>
    <row r="5304" spans="1:2">
      <c r="A5304">
        <v>125.7</v>
      </c>
      <c r="B5304">
        <v>147.19999999999999</v>
      </c>
    </row>
    <row r="5305" spans="1:2">
      <c r="A5305">
        <v>125.3</v>
      </c>
      <c r="B5305">
        <v>149.6</v>
      </c>
    </row>
    <row r="5306" spans="1:2">
      <c r="A5306">
        <v>127.6</v>
      </c>
      <c r="B5306">
        <v>150.69999999999999</v>
      </c>
    </row>
    <row r="5308" spans="1:2">
      <c r="A5308">
        <v>144.6</v>
      </c>
      <c r="B5308">
        <v>160.5</v>
      </c>
    </row>
    <row r="5309" spans="1:2">
      <c r="A5309">
        <v>149.1</v>
      </c>
      <c r="B5309">
        <v>159.1</v>
      </c>
    </row>
    <row r="5310" spans="1:2">
      <c r="A5310">
        <v>150</v>
      </c>
      <c r="B5310">
        <v>156.1</v>
      </c>
    </row>
    <row r="5311" spans="1:2">
      <c r="A5311">
        <v>152.19999999999999</v>
      </c>
      <c r="B5311">
        <v>157</v>
      </c>
    </row>
    <row r="5312" spans="1:2">
      <c r="A5312">
        <v>155.5</v>
      </c>
      <c r="B5312">
        <v>152.80000000000001</v>
      </c>
    </row>
    <row r="5313" spans="1:2">
      <c r="A5313">
        <v>156.19999999999999</v>
      </c>
      <c r="B5313">
        <v>149.30000000000001</v>
      </c>
    </row>
    <row r="5314" spans="1:2">
      <c r="A5314">
        <v>153.80000000000001</v>
      </c>
      <c r="B5314">
        <v>149.30000000000001</v>
      </c>
    </row>
    <row r="5315" spans="1:2">
      <c r="A5315">
        <v>155.1</v>
      </c>
      <c r="B5315">
        <v>148.19999999999999</v>
      </c>
    </row>
    <row r="5316" spans="1:2">
      <c r="A5316">
        <v>153.9</v>
      </c>
      <c r="B5316">
        <v>146.80000000000001</v>
      </c>
    </row>
    <row r="5317" spans="1:2">
      <c r="A5317">
        <v>154.5</v>
      </c>
      <c r="B5317">
        <v>145.30000000000001</v>
      </c>
    </row>
    <row r="5318" spans="1:2">
      <c r="A5318">
        <v>151.30000000000001</v>
      </c>
      <c r="B5318">
        <v>140</v>
      </c>
    </row>
    <row r="5319" spans="1:2">
      <c r="A5319">
        <v>150.5</v>
      </c>
      <c r="B5319">
        <v>143.30000000000001</v>
      </c>
    </row>
    <row r="5320" spans="1:2">
      <c r="A5320">
        <v>150</v>
      </c>
      <c r="B5320">
        <v>140.6</v>
      </c>
    </row>
    <row r="5321" spans="1:2">
      <c r="A5321">
        <v>149</v>
      </c>
      <c r="B5321">
        <v>142.1</v>
      </c>
    </row>
    <row r="5322" spans="1:2">
      <c r="A5322">
        <v>149.30000000000001</v>
      </c>
      <c r="B5322">
        <v>140.80000000000001</v>
      </c>
    </row>
    <row r="5323" spans="1:2">
      <c r="A5323">
        <v>148.1</v>
      </c>
      <c r="B5323">
        <v>141.6</v>
      </c>
    </row>
    <row r="5324" spans="1:2">
      <c r="A5324">
        <v>147.80000000000001</v>
      </c>
      <c r="B5324">
        <v>140</v>
      </c>
    </row>
    <row r="5325" spans="1:2">
      <c r="A5325">
        <v>149.6</v>
      </c>
      <c r="B5325">
        <v>138.6</v>
      </c>
    </row>
    <row r="5326" spans="1:2">
      <c r="A5326">
        <v>147.69999999999999</v>
      </c>
      <c r="B5326">
        <v>136.69999999999999</v>
      </c>
    </row>
    <row r="5327" spans="1:2">
      <c r="A5327">
        <v>148</v>
      </c>
      <c r="B5327">
        <v>139.69999999999999</v>
      </c>
    </row>
    <row r="5328" spans="1:2">
      <c r="A5328">
        <v>145.69999999999999</v>
      </c>
      <c r="B5328">
        <v>140.30000000000001</v>
      </c>
    </row>
    <row r="5329" spans="1:2">
      <c r="A5329">
        <v>145.9</v>
      </c>
      <c r="B5329">
        <v>138.19999999999999</v>
      </c>
    </row>
    <row r="5330" spans="1:2">
      <c r="A5330">
        <v>140.19999999999999</v>
      </c>
      <c r="B5330">
        <v>137.5</v>
      </c>
    </row>
    <row r="5331" spans="1:2">
      <c r="A5331">
        <v>141.19999999999999</v>
      </c>
      <c r="B5331">
        <v>136.30000000000001</v>
      </c>
    </row>
    <row r="5332" spans="1:2">
      <c r="A5332">
        <v>138.30000000000001</v>
      </c>
      <c r="B5332">
        <v>135.1</v>
      </c>
    </row>
    <row r="5333" spans="1:2">
      <c r="A5333">
        <v>138.4</v>
      </c>
      <c r="B5333">
        <v>136.19999999999999</v>
      </c>
    </row>
    <row r="5334" spans="1:2">
      <c r="A5334">
        <v>136.19999999999999</v>
      </c>
      <c r="B5334">
        <v>135.9</v>
      </c>
    </row>
    <row r="5335" spans="1:2">
      <c r="A5335">
        <v>136.6</v>
      </c>
      <c r="B5335">
        <v>136.80000000000001</v>
      </c>
    </row>
    <row r="5336" spans="1:2">
      <c r="A5336">
        <v>133.9</v>
      </c>
      <c r="B5336">
        <v>136.19999999999999</v>
      </c>
    </row>
    <row r="5337" spans="1:2">
      <c r="A5337">
        <v>135</v>
      </c>
      <c r="B5337">
        <v>139</v>
      </c>
    </row>
    <row r="5338" spans="1:2">
      <c r="A5338">
        <v>132.5</v>
      </c>
      <c r="B5338">
        <v>138.6</v>
      </c>
    </row>
    <row r="5339" spans="1:2">
      <c r="A5339">
        <v>130.30000000000001</v>
      </c>
      <c r="B5339">
        <v>142.6</v>
      </c>
    </row>
    <row r="5340" spans="1:2">
      <c r="A5340">
        <v>130.9</v>
      </c>
      <c r="B5340">
        <v>144.5</v>
      </c>
    </row>
    <row r="5341" spans="1:2">
      <c r="A5341">
        <v>133.69999999999999</v>
      </c>
      <c r="B5341">
        <v>145.30000000000001</v>
      </c>
    </row>
    <row r="5342" spans="1:2">
      <c r="A5342">
        <v>132.69999999999999</v>
      </c>
      <c r="B5342">
        <v>147.1</v>
      </c>
    </row>
    <row r="5343" spans="1:2">
      <c r="A5343">
        <v>137.6</v>
      </c>
      <c r="B5343">
        <v>149.80000000000001</v>
      </c>
    </row>
    <row r="5344" spans="1:2">
      <c r="A5344">
        <v>139.19999999999999</v>
      </c>
      <c r="B5344">
        <v>153</v>
      </c>
    </row>
    <row r="5345" spans="1:2">
      <c r="A5345">
        <v>139</v>
      </c>
      <c r="B5345">
        <v>151</v>
      </c>
    </row>
    <row r="5346" spans="1:2">
      <c r="A5346">
        <v>140.4</v>
      </c>
      <c r="B5346">
        <v>151</v>
      </c>
    </row>
    <row r="5347" spans="1:2">
      <c r="A5347">
        <v>139.9</v>
      </c>
      <c r="B5347">
        <v>152.5</v>
      </c>
    </row>
    <row r="5348" spans="1:2">
      <c r="A5348">
        <v>142</v>
      </c>
      <c r="B5348">
        <v>153.19999999999999</v>
      </c>
    </row>
    <row r="5349" spans="1:2">
      <c r="A5349">
        <v>141</v>
      </c>
      <c r="B5349">
        <v>154.30000000000001</v>
      </c>
    </row>
    <row r="5350" spans="1:2">
      <c r="A5350">
        <v>143.1</v>
      </c>
      <c r="B5350">
        <v>155.4</v>
      </c>
    </row>
    <row r="5351" spans="1:2">
      <c r="A5351">
        <v>144.5</v>
      </c>
      <c r="B5351">
        <v>158.19999999999999</v>
      </c>
    </row>
    <row r="5352" spans="1:2">
      <c r="A5352">
        <v>143.4</v>
      </c>
      <c r="B5352">
        <v>160.5</v>
      </c>
    </row>
    <row r="5353" spans="1:2">
      <c r="A5353">
        <v>144.6</v>
      </c>
      <c r="B5353">
        <v>160.5</v>
      </c>
    </row>
    <row r="5355" spans="1:2">
      <c r="A5355">
        <v>43.7</v>
      </c>
      <c r="B5355">
        <v>107.7</v>
      </c>
    </row>
    <row r="5356" spans="1:2">
      <c r="A5356">
        <v>45.8</v>
      </c>
      <c r="B5356">
        <v>106.8</v>
      </c>
    </row>
    <row r="5357" spans="1:2">
      <c r="A5357">
        <v>47.5</v>
      </c>
      <c r="B5357">
        <v>102.7</v>
      </c>
    </row>
    <row r="5358" spans="1:2">
      <c r="A5358">
        <v>45.6</v>
      </c>
      <c r="B5358">
        <v>102.5</v>
      </c>
    </row>
    <row r="5359" spans="1:2">
      <c r="A5359">
        <v>42.5</v>
      </c>
      <c r="B5359">
        <v>105.4</v>
      </c>
    </row>
    <row r="5360" spans="1:2">
      <c r="A5360">
        <v>43.7</v>
      </c>
      <c r="B5360">
        <v>107.7</v>
      </c>
    </row>
    <row r="5362" spans="1:2">
      <c r="A5362">
        <v>127.6</v>
      </c>
      <c r="B5362">
        <v>165.3</v>
      </c>
    </row>
    <row r="5363" spans="1:2">
      <c r="A5363">
        <v>132.19999999999999</v>
      </c>
      <c r="B5363">
        <v>161</v>
      </c>
    </row>
    <row r="5364" spans="1:2">
      <c r="A5364">
        <v>130.5</v>
      </c>
      <c r="B5364">
        <v>158.9</v>
      </c>
    </row>
    <row r="5365" spans="1:2">
      <c r="A5365">
        <v>131.19999999999999</v>
      </c>
      <c r="B5365">
        <v>157.1</v>
      </c>
    </row>
    <row r="5366" spans="1:2">
      <c r="A5366">
        <v>125.2</v>
      </c>
      <c r="B5366">
        <v>154.80000000000001</v>
      </c>
    </row>
    <row r="5367" spans="1:2">
      <c r="A5367">
        <v>125.1</v>
      </c>
      <c r="B5367">
        <v>156.19999999999999</v>
      </c>
    </row>
    <row r="5368" spans="1:2">
      <c r="A5368">
        <v>126.4</v>
      </c>
      <c r="B5368">
        <v>155.5</v>
      </c>
    </row>
    <row r="5369" spans="1:2">
      <c r="A5369">
        <v>127.8</v>
      </c>
      <c r="B5369">
        <v>156.69999999999999</v>
      </c>
    </row>
    <row r="5370" spans="1:2">
      <c r="A5370">
        <v>124.9</v>
      </c>
      <c r="B5370">
        <v>157.1</v>
      </c>
    </row>
    <row r="5371" spans="1:2">
      <c r="A5371">
        <v>125.2</v>
      </c>
      <c r="B5371">
        <v>158</v>
      </c>
    </row>
    <row r="5372" spans="1:2">
      <c r="A5372">
        <v>128.1</v>
      </c>
      <c r="B5372">
        <v>157.80000000000001</v>
      </c>
    </row>
    <row r="5373" spans="1:2">
      <c r="A5373">
        <v>130.1</v>
      </c>
      <c r="B5373">
        <v>160.6</v>
      </c>
    </row>
    <row r="5374" spans="1:2">
      <c r="A5374">
        <v>126.6</v>
      </c>
      <c r="B5374">
        <v>163.30000000000001</v>
      </c>
    </row>
    <row r="5375" spans="1:2">
      <c r="A5375">
        <v>127.6</v>
      </c>
      <c r="B5375">
        <v>165.3</v>
      </c>
    </row>
    <row r="5377" spans="1:2">
      <c r="A5377">
        <v>122</v>
      </c>
      <c r="B5377">
        <v>165.2</v>
      </c>
    </row>
    <row r="5378" spans="1:2">
      <c r="A5378">
        <v>123.3</v>
      </c>
      <c r="B5378">
        <v>164.4</v>
      </c>
    </row>
    <row r="5379" spans="1:2">
      <c r="A5379">
        <v>122.2</v>
      </c>
      <c r="B5379">
        <v>162.9</v>
      </c>
    </row>
    <row r="5380" spans="1:2">
      <c r="A5380">
        <v>122</v>
      </c>
      <c r="B5380">
        <v>165.2</v>
      </c>
    </row>
    <row r="5382" spans="1:2">
      <c r="A5382">
        <v>109.9</v>
      </c>
      <c r="B5382">
        <v>165.5</v>
      </c>
    </row>
    <row r="5383" spans="1:2">
      <c r="A5383">
        <v>110.3</v>
      </c>
      <c r="B5383">
        <v>162.69999999999999</v>
      </c>
    </row>
    <row r="5384" spans="1:2">
      <c r="A5384">
        <v>106</v>
      </c>
      <c r="B5384">
        <v>161.9</v>
      </c>
    </row>
    <row r="5385" spans="1:2">
      <c r="A5385">
        <v>107.5</v>
      </c>
      <c r="B5385">
        <v>163.19999999999999</v>
      </c>
    </row>
    <row r="5386" spans="1:2">
      <c r="A5386">
        <v>105.3</v>
      </c>
      <c r="B5386">
        <v>164.7</v>
      </c>
    </row>
    <row r="5387" spans="1:2">
      <c r="A5387">
        <v>106.9</v>
      </c>
      <c r="B5387">
        <v>163.80000000000001</v>
      </c>
    </row>
    <row r="5388" spans="1:2">
      <c r="A5388">
        <v>109.9</v>
      </c>
      <c r="B5388">
        <v>165.5</v>
      </c>
    </row>
    <row r="5390" spans="1:2">
      <c r="A5390">
        <v>124</v>
      </c>
      <c r="B5390">
        <v>166.1</v>
      </c>
    </row>
    <row r="5391" spans="1:2">
      <c r="A5391">
        <v>125.9</v>
      </c>
      <c r="B5391">
        <v>165.5</v>
      </c>
    </row>
    <row r="5392" spans="1:2">
      <c r="A5392">
        <v>125.4</v>
      </c>
      <c r="B5392">
        <v>163.4</v>
      </c>
    </row>
    <row r="5393" spans="1:2">
      <c r="A5393">
        <v>127.4</v>
      </c>
      <c r="B5393">
        <v>162.5</v>
      </c>
    </row>
    <row r="5394" spans="1:2">
      <c r="A5394">
        <v>127.4</v>
      </c>
      <c r="B5394">
        <v>158.80000000000001</v>
      </c>
    </row>
    <row r="5395" spans="1:2">
      <c r="A5395">
        <v>124.2</v>
      </c>
      <c r="B5395">
        <v>158.4</v>
      </c>
    </row>
    <row r="5396" spans="1:2">
      <c r="A5396">
        <v>124</v>
      </c>
      <c r="B5396">
        <v>166.1</v>
      </c>
    </row>
    <row r="5398" spans="1:2">
      <c r="A5398">
        <v>119.8</v>
      </c>
      <c r="B5398">
        <v>166.3</v>
      </c>
    </row>
    <row r="5399" spans="1:2">
      <c r="A5399">
        <v>120.5</v>
      </c>
      <c r="B5399">
        <v>164.3</v>
      </c>
    </row>
    <row r="5400" spans="1:2">
      <c r="A5400">
        <v>117.8</v>
      </c>
      <c r="B5400">
        <v>166</v>
      </c>
    </row>
    <row r="5401" spans="1:2">
      <c r="A5401">
        <v>119</v>
      </c>
      <c r="B5401">
        <v>167.1</v>
      </c>
    </row>
    <row r="5402" spans="1:2">
      <c r="A5402">
        <v>119.8</v>
      </c>
      <c r="B5402">
        <v>166.3</v>
      </c>
    </row>
    <row r="5404" spans="1:2">
      <c r="A5404">
        <v>136.5</v>
      </c>
      <c r="B5404">
        <v>169.7</v>
      </c>
    </row>
    <row r="5405" spans="1:2">
      <c r="A5405">
        <v>140.1</v>
      </c>
      <c r="B5405">
        <v>166.1</v>
      </c>
    </row>
    <row r="5406" spans="1:2">
      <c r="A5406">
        <v>133.19999999999999</v>
      </c>
      <c r="B5406">
        <v>163.9</v>
      </c>
    </row>
    <row r="5407" spans="1:2">
      <c r="A5407">
        <v>134.1</v>
      </c>
      <c r="B5407">
        <v>166.7</v>
      </c>
    </row>
    <row r="5408" spans="1:2">
      <c r="A5408">
        <v>132.1</v>
      </c>
      <c r="B5408">
        <v>167.5</v>
      </c>
    </row>
    <row r="5409" spans="1:2">
      <c r="A5409">
        <v>136.5</v>
      </c>
      <c r="B5409">
        <v>169.7</v>
      </c>
    </row>
    <row r="5411" spans="1:2">
      <c r="A5411">
        <v>69</v>
      </c>
      <c r="B5411">
        <v>172.7</v>
      </c>
    </row>
    <row r="5412" spans="1:2">
      <c r="A5412">
        <v>67.3</v>
      </c>
      <c r="B5412">
        <v>169.4</v>
      </c>
    </row>
    <row r="5413" spans="1:2">
      <c r="A5413">
        <v>66.599999999999994</v>
      </c>
      <c r="B5413">
        <v>170.4</v>
      </c>
    </row>
    <row r="5414" spans="1:2">
      <c r="A5414">
        <v>69</v>
      </c>
      <c r="B5414">
        <v>172.7</v>
      </c>
    </row>
    <row r="5416" spans="1:2">
      <c r="A5416">
        <v>139.6</v>
      </c>
      <c r="B5416">
        <v>173.4</v>
      </c>
    </row>
    <row r="5417" spans="1:2">
      <c r="A5417">
        <v>139.1</v>
      </c>
      <c r="B5417">
        <v>170.9</v>
      </c>
    </row>
    <row r="5418" spans="1:2">
      <c r="A5418">
        <v>136.9</v>
      </c>
      <c r="B5418">
        <v>171.3</v>
      </c>
    </row>
    <row r="5419" spans="1:2">
      <c r="A5419">
        <v>139.6</v>
      </c>
      <c r="B5419">
        <v>173.4</v>
      </c>
    </row>
    <row r="5421" spans="1:2">
      <c r="A5421">
        <v>72.2</v>
      </c>
      <c r="B5421">
        <v>172.7</v>
      </c>
    </row>
    <row r="5422" spans="1:2">
      <c r="A5422">
        <v>72.599999999999994</v>
      </c>
      <c r="B5422">
        <v>171.4</v>
      </c>
    </row>
    <row r="5423" spans="1:2">
      <c r="A5423">
        <v>74.7</v>
      </c>
      <c r="B5423">
        <v>172.6</v>
      </c>
    </row>
    <row r="5424" spans="1:2">
      <c r="A5424">
        <v>75.599999999999994</v>
      </c>
      <c r="B5424">
        <v>171.7</v>
      </c>
    </row>
    <row r="5425" spans="1:2">
      <c r="A5425">
        <v>72</v>
      </c>
      <c r="B5425">
        <v>168.8</v>
      </c>
    </row>
    <row r="5426" spans="1:2">
      <c r="A5426">
        <v>72.400000000000006</v>
      </c>
      <c r="B5426">
        <v>167.2</v>
      </c>
    </row>
    <row r="5427" spans="1:2">
      <c r="A5427">
        <v>70.099999999999994</v>
      </c>
      <c r="B5427">
        <v>164.9</v>
      </c>
    </row>
    <row r="5428" spans="1:2">
      <c r="A5428">
        <v>68.8</v>
      </c>
      <c r="B5428">
        <v>168.4</v>
      </c>
    </row>
    <row r="5429" spans="1:2">
      <c r="A5429">
        <v>71.099999999999994</v>
      </c>
      <c r="B5429">
        <v>172.7</v>
      </c>
    </row>
    <row r="5430" spans="1:2">
      <c r="A5430">
        <v>72.2</v>
      </c>
      <c r="B5430">
        <v>172.7</v>
      </c>
    </row>
    <row r="5432" spans="1:2">
      <c r="A5432">
        <v>53.4</v>
      </c>
      <c r="B5432">
        <v>173.9</v>
      </c>
    </row>
    <row r="5433" spans="1:2">
      <c r="A5433">
        <v>51</v>
      </c>
      <c r="B5433">
        <v>169.5</v>
      </c>
    </row>
    <row r="5434" spans="1:2">
      <c r="A5434">
        <v>50.6</v>
      </c>
      <c r="B5434">
        <v>171.1</v>
      </c>
    </row>
    <row r="5435" spans="1:2">
      <c r="A5435">
        <v>53.4</v>
      </c>
      <c r="B5435">
        <v>173.9</v>
      </c>
    </row>
    <row r="5437" spans="1:2">
      <c r="A5437">
        <v>119.9</v>
      </c>
      <c r="B5437">
        <v>175.8</v>
      </c>
    </row>
    <row r="5438" spans="1:2">
      <c r="A5438">
        <v>123.7</v>
      </c>
      <c r="B5438">
        <v>173.2</v>
      </c>
    </row>
    <row r="5439" spans="1:2">
      <c r="A5439">
        <v>119.5</v>
      </c>
      <c r="B5439">
        <v>168.3</v>
      </c>
    </row>
    <row r="5440" spans="1:2">
      <c r="A5440">
        <v>118.5</v>
      </c>
      <c r="B5440">
        <v>170.1</v>
      </c>
    </row>
    <row r="5441" spans="1:2">
      <c r="A5441">
        <v>115.6</v>
      </c>
      <c r="B5441">
        <v>170</v>
      </c>
    </row>
    <row r="5442" spans="1:2">
      <c r="A5442">
        <v>115</v>
      </c>
      <c r="B5442">
        <v>172.7</v>
      </c>
    </row>
    <row r="5443" spans="1:2">
      <c r="A5443">
        <v>115.1</v>
      </c>
      <c r="B5443">
        <v>174.3</v>
      </c>
    </row>
    <row r="5444" spans="1:2">
      <c r="A5444">
        <v>117.8</v>
      </c>
      <c r="B5444">
        <v>174.6</v>
      </c>
    </row>
    <row r="5445" spans="1:2">
      <c r="A5445">
        <v>119.1</v>
      </c>
      <c r="B5445">
        <v>177.1</v>
      </c>
    </row>
    <row r="5446" spans="1:2">
      <c r="A5446">
        <v>119.9</v>
      </c>
      <c r="B5446">
        <v>175.8</v>
      </c>
    </row>
    <row r="5448" spans="1:2">
      <c r="A5448">
        <v>75.2</v>
      </c>
      <c r="B5448">
        <v>177.4</v>
      </c>
    </row>
    <row r="5449" spans="1:2">
      <c r="A5449">
        <v>76.7</v>
      </c>
      <c r="B5449">
        <v>176.4</v>
      </c>
    </row>
    <row r="5450" spans="1:2">
      <c r="A5450">
        <v>75.599999999999994</v>
      </c>
      <c r="B5450">
        <v>174.6</v>
      </c>
    </row>
    <row r="5451" spans="1:2">
      <c r="A5451">
        <v>74.400000000000006</v>
      </c>
      <c r="B5451">
        <v>175.7</v>
      </c>
    </row>
    <row r="5452" spans="1:2">
      <c r="A5452">
        <v>75.2</v>
      </c>
      <c r="B5452">
        <v>177.4</v>
      </c>
    </row>
    <row r="5454" spans="1:2">
      <c r="A5454">
        <v>124.2</v>
      </c>
      <c r="B5454">
        <v>180.2</v>
      </c>
    </row>
    <row r="5455" spans="1:2">
      <c r="A5455">
        <v>125</v>
      </c>
      <c r="B5455">
        <v>175.5</v>
      </c>
    </row>
    <row r="5456" spans="1:2">
      <c r="A5456">
        <v>123.5</v>
      </c>
      <c r="B5456">
        <v>177.9</v>
      </c>
    </row>
    <row r="5457" spans="1:2">
      <c r="A5457">
        <v>124.2</v>
      </c>
      <c r="B5457">
        <v>180.2</v>
      </c>
    </row>
    <row r="5459" spans="1:2">
      <c r="A5459">
        <v>135.19999999999999</v>
      </c>
      <c r="B5459">
        <v>173.2</v>
      </c>
    </row>
    <row r="5460" spans="1:2">
      <c r="A5460">
        <v>134.5</v>
      </c>
      <c r="B5460">
        <v>176.1</v>
      </c>
    </row>
    <row r="5461" spans="1:2">
      <c r="A5461">
        <v>129</v>
      </c>
      <c r="B5461">
        <v>174</v>
      </c>
    </row>
    <row r="5462" spans="1:2">
      <c r="A5462">
        <v>129.69999999999999</v>
      </c>
      <c r="B5462">
        <v>178.5</v>
      </c>
    </row>
    <row r="5463" spans="1:2">
      <c r="A5463">
        <v>128.19999999999999</v>
      </c>
      <c r="B5463">
        <v>180.5</v>
      </c>
    </row>
    <row r="5464" spans="1:2">
      <c r="A5464">
        <v>133.4</v>
      </c>
      <c r="B5464">
        <v>180.7</v>
      </c>
    </row>
    <row r="5465" spans="1:2">
      <c r="A5465">
        <v>135.1</v>
      </c>
      <c r="B5465">
        <v>178.7</v>
      </c>
    </row>
    <row r="5466" spans="1:2">
      <c r="A5466">
        <v>137.69999999999999</v>
      </c>
      <c r="B5466">
        <v>178.8</v>
      </c>
    </row>
    <row r="5467" spans="1:2">
      <c r="A5467">
        <v>138.1</v>
      </c>
      <c r="B5467">
        <v>173.7</v>
      </c>
    </row>
    <row r="5468" spans="1:2">
      <c r="A5468">
        <v>135.19999999999999</v>
      </c>
      <c r="B5468">
        <v>173.2</v>
      </c>
    </row>
    <row r="5470" spans="1:2">
      <c r="A5470">
        <v>121.9</v>
      </c>
      <c r="B5470">
        <v>184.6</v>
      </c>
    </row>
    <row r="5471" spans="1:2">
      <c r="A5471">
        <v>122.5</v>
      </c>
      <c r="B5471">
        <v>182.7</v>
      </c>
    </row>
    <row r="5472" spans="1:2">
      <c r="A5472">
        <v>121.2</v>
      </c>
      <c r="B5472">
        <v>181.1</v>
      </c>
    </row>
    <row r="5473" spans="1:2">
      <c r="A5473">
        <v>122.4</v>
      </c>
      <c r="B5473">
        <v>179.7</v>
      </c>
    </row>
    <row r="5474" spans="1:2">
      <c r="A5474">
        <v>119.1</v>
      </c>
      <c r="B5474">
        <v>178.2</v>
      </c>
    </row>
    <row r="5475" spans="1:2">
      <c r="A5475">
        <v>118.5</v>
      </c>
      <c r="B5475">
        <v>180.3</v>
      </c>
    </row>
    <row r="5476" spans="1:2">
      <c r="A5476">
        <v>118.7</v>
      </c>
      <c r="B5476">
        <v>178.8</v>
      </c>
    </row>
    <row r="5477" spans="1:2">
      <c r="A5477">
        <v>116.4</v>
      </c>
      <c r="B5477">
        <v>178.9</v>
      </c>
    </row>
    <row r="5478" spans="1:2">
      <c r="A5478">
        <v>118.1</v>
      </c>
      <c r="B5478">
        <v>176.7</v>
      </c>
    </row>
    <row r="5479" spans="1:2">
      <c r="A5479">
        <v>116.9</v>
      </c>
      <c r="B5479">
        <v>175.2</v>
      </c>
    </row>
    <row r="5480" spans="1:2">
      <c r="A5480">
        <v>113.1</v>
      </c>
      <c r="B5480">
        <v>176.1</v>
      </c>
    </row>
    <row r="5481" spans="1:2">
      <c r="A5481">
        <v>113.8</v>
      </c>
      <c r="B5481">
        <v>181.7</v>
      </c>
    </row>
    <row r="5482" spans="1:2">
      <c r="A5482">
        <v>117</v>
      </c>
      <c r="B5482">
        <v>181.4</v>
      </c>
    </row>
    <row r="5483" spans="1:2">
      <c r="A5483">
        <v>121.9</v>
      </c>
      <c r="B5483">
        <v>184.6</v>
      </c>
    </row>
    <row r="5485" spans="1:2">
      <c r="A5485">
        <v>136.4</v>
      </c>
      <c r="B5485">
        <v>186.2</v>
      </c>
    </row>
    <row r="5486" spans="1:2">
      <c r="A5486">
        <v>135.80000000000001</v>
      </c>
      <c r="B5486">
        <v>184</v>
      </c>
    </row>
    <row r="5487" spans="1:2">
      <c r="A5487">
        <v>137.80000000000001</v>
      </c>
      <c r="B5487">
        <v>182.2</v>
      </c>
    </row>
    <row r="5488" spans="1:2">
      <c r="A5488">
        <v>136.4</v>
      </c>
      <c r="B5488">
        <v>182.5</v>
      </c>
    </row>
    <row r="5489" spans="1:2">
      <c r="A5489">
        <v>136.9</v>
      </c>
      <c r="B5489">
        <v>180.1</v>
      </c>
    </row>
    <row r="5490" spans="1:2">
      <c r="A5490">
        <v>134.80000000000001</v>
      </c>
      <c r="B5490">
        <v>179.6</v>
      </c>
    </row>
    <row r="5491" spans="1:2">
      <c r="A5491">
        <v>133.6</v>
      </c>
      <c r="B5491">
        <v>181.8</v>
      </c>
    </row>
    <row r="5492" spans="1:2">
      <c r="A5492">
        <v>129.69999999999999</v>
      </c>
      <c r="B5492">
        <v>182.6</v>
      </c>
    </row>
    <row r="5493" spans="1:2">
      <c r="A5493">
        <v>135.4</v>
      </c>
      <c r="B5493">
        <v>183.6</v>
      </c>
    </row>
    <row r="5494" spans="1:2">
      <c r="A5494">
        <v>136.4</v>
      </c>
      <c r="B5494">
        <v>186.2</v>
      </c>
    </row>
    <row r="5496" spans="1:2">
      <c r="A5496">
        <v>132.6</v>
      </c>
      <c r="B5496">
        <v>192.7</v>
      </c>
    </row>
    <row r="5497" spans="1:2">
      <c r="A5497">
        <v>136</v>
      </c>
      <c r="B5497">
        <v>191.4</v>
      </c>
    </row>
    <row r="5498" spans="1:2">
      <c r="A5498">
        <v>136.19999999999999</v>
      </c>
      <c r="B5498">
        <v>190.4</v>
      </c>
    </row>
    <row r="5499" spans="1:2">
      <c r="A5499">
        <v>134.1</v>
      </c>
      <c r="B5499">
        <v>190.3</v>
      </c>
    </row>
    <row r="5500" spans="1:2">
      <c r="A5500">
        <v>135.69999999999999</v>
      </c>
      <c r="B5500">
        <v>188.5</v>
      </c>
    </row>
    <row r="5501" spans="1:2">
      <c r="A5501">
        <v>134.9</v>
      </c>
      <c r="B5501">
        <v>186.8</v>
      </c>
    </row>
    <row r="5502" spans="1:2">
      <c r="A5502">
        <v>133</v>
      </c>
      <c r="B5502">
        <v>187.6</v>
      </c>
    </row>
    <row r="5503" spans="1:2">
      <c r="A5503">
        <v>132.9</v>
      </c>
      <c r="B5503">
        <v>183.9</v>
      </c>
    </row>
    <row r="5504" spans="1:2">
      <c r="A5504">
        <v>130.69999999999999</v>
      </c>
      <c r="B5504">
        <v>183.6</v>
      </c>
    </row>
    <row r="5505" spans="1:2">
      <c r="A5505">
        <v>130.30000000000001</v>
      </c>
      <c r="B5505">
        <v>185.7</v>
      </c>
    </row>
    <row r="5506" spans="1:2">
      <c r="A5506">
        <v>128.69999999999999</v>
      </c>
      <c r="B5506">
        <v>185.3</v>
      </c>
    </row>
    <row r="5507" spans="1:2">
      <c r="A5507">
        <v>129.1</v>
      </c>
      <c r="B5507">
        <v>183.2</v>
      </c>
    </row>
    <row r="5508" spans="1:2">
      <c r="A5508">
        <v>126.3</v>
      </c>
      <c r="B5508">
        <v>186.7</v>
      </c>
    </row>
    <row r="5509" spans="1:2">
      <c r="A5509">
        <v>129.5</v>
      </c>
      <c r="B5509">
        <v>185.9</v>
      </c>
    </row>
    <row r="5510" spans="1:2">
      <c r="A5510">
        <v>127.7</v>
      </c>
      <c r="B5510">
        <v>189</v>
      </c>
    </row>
    <row r="5511" spans="1:2">
      <c r="A5511">
        <v>129.69999999999999</v>
      </c>
      <c r="B5511">
        <v>190.3</v>
      </c>
    </row>
    <row r="5512" spans="1:2">
      <c r="A5512">
        <v>132.6</v>
      </c>
      <c r="B5512">
        <v>189.4</v>
      </c>
    </row>
    <row r="5513" spans="1:2">
      <c r="A5513">
        <v>132.6</v>
      </c>
      <c r="B5513">
        <v>192.7</v>
      </c>
    </row>
    <row r="5515" spans="1:2">
      <c r="A5515">
        <v>148.30000000000001</v>
      </c>
      <c r="B5515">
        <v>189.3</v>
      </c>
    </row>
    <row r="5516" spans="1:2">
      <c r="A5516">
        <v>146.69999999999999</v>
      </c>
      <c r="B5516">
        <v>189.9</v>
      </c>
    </row>
    <row r="5517" spans="1:2">
      <c r="A5517">
        <v>145.5</v>
      </c>
      <c r="B5517">
        <v>188.2</v>
      </c>
    </row>
    <row r="5518" spans="1:2">
      <c r="A5518">
        <v>142.30000000000001</v>
      </c>
      <c r="B5518">
        <v>189.2</v>
      </c>
    </row>
    <row r="5519" spans="1:2">
      <c r="A5519">
        <v>142.9</v>
      </c>
      <c r="B5519">
        <v>190.9</v>
      </c>
    </row>
    <row r="5520" spans="1:2">
      <c r="A5520">
        <v>145.19999999999999</v>
      </c>
      <c r="B5520">
        <v>190.2</v>
      </c>
    </row>
    <row r="5521" spans="1:2">
      <c r="A5521">
        <v>146.1</v>
      </c>
      <c r="B5521">
        <v>191.7</v>
      </c>
    </row>
    <row r="5522" spans="1:2">
      <c r="A5522">
        <v>146.9</v>
      </c>
      <c r="B5522">
        <v>190.7</v>
      </c>
    </row>
    <row r="5523" spans="1:2">
      <c r="A5523">
        <v>147.1</v>
      </c>
      <c r="B5523">
        <v>193.3</v>
      </c>
    </row>
    <row r="5524" spans="1:2">
      <c r="A5524">
        <v>149</v>
      </c>
      <c r="B5524">
        <v>193.3</v>
      </c>
    </row>
    <row r="5525" spans="1:2">
      <c r="A5525">
        <v>147</v>
      </c>
      <c r="B5525">
        <v>195.7</v>
      </c>
    </row>
    <row r="5526" spans="1:2">
      <c r="A5526">
        <v>148.5</v>
      </c>
      <c r="B5526">
        <v>197.1</v>
      </c>
    </row>
    <row r="5527" spans="1:2">
      <c r="A5527">
        <v>153.19999999999999</v>
      </c>
      <c r="B5527">
        <v>194.5</v>
      </c>
    </row>
    <row r="5528" spans="1:2">
      <c r="A5528">
        <v>153.1</v>
      </c>
      <c r="B5528">
        <v>193.3</v>
      </c>
    </row>
    <row r="5529" spans="1:2">
      <c r="A5529">
        <v>151.1</v>
      </c>
      <c r="B5529">
        <v>193.8</v>
      </c>
    </row>
    <row r="5530" spans="1:2">
      <c r="A5530">
        <v>150</v>
      </c>
      <c r="B5530">
        <v>191.1</v>
      </c>
    </row>
    <row r="5531" spans="1:2">
      <c r="A5531">
        <v>153.69999999999999</v>
      </c>
      <c r="B5531">
        <v>190.8</v>
      </c>
    </row>
    <row r="5532" spans="1:2">
      <c r="A5532">
        <v>155.1</v>
      </c>
      <c r="B5532">
        <v>187.4</v>
      </c>
    </row>
    <row r="5533" spans="1:2">
      <c r="A5533">
        <v>153.1</v>
      </c>
      <c r="B5533">
        <v>185.3</v>
      </c>
    </row>
    <row r="5534" spans="1:2">
      <c r="A5534">
        <v>151.1</v>
      </c>
      <c r="B5534">
        <v>186.3</v>
      </c>
    </row>
    <row r="5535" spans="1:2">
      <c r="A5535">
        <v>152.80000000000001</v>
      </c>
      <c r="B5535">
        <v>187.7</v>
      </c>
    </row>
    <row r="5536" spans="1:2">
      <c r="A5536">
        <v>151.80000000000001</v>
      </c>
      <c r="B5536">
        <v>189.1</v>
      </c>
    </row>
    <row r="5537" spans="1:2">
      <c r="A5537">
        <v>148.30000000000001</v>
      </c>
      <c r="B5537">
        <v>189.3</v>
      </c>
    </row>
    <row r="5539" spans="1:2">
      <c r="A5539">
        <v>144.30000000000001</v>
      </c>
      <c r="B5539">
        <v>199.1</v>
      </c>
    </row>
    <row r="5540" spans="1:2">
      <c r="A5540">
        <v>144.80000000000001</v>
      </c>
      <c r="B5540">
        <v>196.1</v>
      </c>
    </row>
    <row r="5541" spans="1:2">
      <c r="A5541">
        <v>143</v>
      </c>
      <c r="B5541">
        <v>195.7</v>
      </c>
    </row>
    <row r="5542" spans="1:2">
      <c r="A5542">
        <v>141.69999999999999</v>
      </c>
      <c r="B5542">
        <v>197.3</v>
      </c>
    </row>
    <row r="5543" spans="1:2">
      <c r="A5543">
        <v>144.30000000000001</v>
      </c>
      <c r="B5543">
        <v>199.1</v>
      </c>
    </row>
    <row r="5545" spans="1:2">
      <c r="A5545">
        <v>128</v>
      </c>
      <c r="B5545">
        <v>198.2</v>
      </c>
    </row>
    <row r="5546" spans="1:2">
      <c r="A5546">
        <v>131.1</v>
      </c>
      <c r="B5546">
        <v>195.7</v>
      </c>
    </row>
    <row r="5547" spans="1:2">
      <c r="A5547">
        <v>129.80000000000001</v>
      </c>
      <c r="B5547">
        <v>194.2</v>
      </c>
    </row>
    <row r="5548" spans="1:2">
      <c r="A5548">
        <v>131.19999999999999</v>
      </c>
      <c r="B5548">
        <v>193.5</v>
      </c>
    </row>
    <row r="5549" spans="1:2">
      <c r="A5549">
        <v>130.80000000000001</v>
      </c>
      <c r="B5549">
        <v>192.1</v>
      </c>
    </row>
    <row r="5550" spans="1:2">
      <c r="A5550">
        <v>129.4</v>
      </c>
      <c r="B5550">
        <v>192.6</v>
      </c>
    </row>
    <row r="5551" spans="1:2">
      <c r="A5551">
        <v>129.9</v>
      </c>
      <c r="B5551">
        <v>190.8</v>
      </c>
    </row>
    <row r="5552" spans="1:2">
      <c r="A5552">
        <v>126.2</v>
      </c>
      <c r="B5552">
        <v>188.7</v>
      </c>
    </row>
    <row r="5553" spans="1:2">
      <c r="A5553">
        <v>124.7</v>
      </c>
      <c r="B5553">
        <v>191.7</v>
      </c>
    </row>
    <row r="5554" spans="1:2">
      <c r="A5554">
        <v>123.2</v>
      </c>
      <c r="B5554">
        <v>190.3</v>
      </c>
    </row>
    <row r="5555" spans="1:2">
      <c r="A5555">
        <v>119.7</v>
      </c>
      <c r="B5555">
        <v>191.6</v>
      </c>
    </row>
    <row r="5556" spans="1:2">
      <c r="A5556">
        <v>121.6</v>
      </c>
      <c r="B5556">
        <v>192.2</v>
      </c>
    </row>
    <row r="5557" spans="1:2">
      <c r="A5557">
        <v>123.7</v>
      </c>
      <c r="B5557">
        <v>196</v>
      </c>
    </row>
    <row r="5558" spans="1:2">
      <c r="A5558">
        <v>127.3</v>
      </c>
      <c r="B5558">
        <v>196</v>
      </c>
    </row>
    <row r="5559" spans="1:2">
      <c r="A5559">
        <v>128</v>
      </c>
      <c r="B5559">
        <v>198.2</v>
      </c>
    </row>
    <row r="5561" spans="1:2">
      <c r="A5561">
        <v>146.5</v>
      </c>
      <c r="B5561">
        <v>202.2</v>
      </c>
    </row>
    <row r="5562" spans="1:2">
      <c r="A5562">
        <v>148.4</v>
      </c>
      <c r="B5562">
        <v>198.3</v>
      </c>
    </row>
    <row r="5563" spans="1:2">
      <c r="A5563">
        <v>145.1</v>
      </c>
      <c r="B5563">
        <v>200.8</v>
      </c>
    </row>
    <row r="5564" spans="1:2">
      <c r="A5564">
        <v>146.5</v>
      </c>
      <c r="B5564">
        <v>202.2</v>
      </c>
    </row>
    <row r="5566" spans="1:2">
      <c r="A5566">
        <v>139.69999999999999</v>
      </c>
      <c r="B5566">
        <v>197</v>
      </c>
    </row>
    <row r="5567" spans="1:2">
      <c r="A5567">
        <v>139</v>
      </c>
      <c r="B5567">
        <v>199.7</v>
      </c>
    </row>
    <row r="5568" spans="1:2">
      <c r="A5568">
        <v>140.4</v>
      </c>
      <c r="B5568">
        <v>199.8</v>
      </c>
    </row>
    <row r="5569" spans="1:2">
      <c r="A5569">
        <v>139.6</v>
      </c>
      <c r="B5569">
        <v>201.6</v>
      </c>
    </row>
    <row r="5570" spans="1:2">
      <c r="A5570">
        <v>141.4</v>
      </c>
      <c r="B5570">
        <v>203.9</v>
      </c>
    </row>
    <row r="5571" spans="1:2">
      <c r="A5571">
        <v>139.69999999999999</v>
      </c>
      <c r="B5571">
        <v>197</v>
      </c>
    </row>
    <row r="5573" spans="1:2">
      <c r="A5573">
        <v>144.5</v>
      </c>
      <c r="B5573">
        <v>206.2</v>
      </c>
    </row>
    <row r="5574" spans="1:2">
      <c r="A5574">
        <v>146.19999999999999</v>
      </c>
      <c r="B5574">
        <v>202.9</v>
      </c>
    </row>
    <row r="5575" spans="1:2">
      <c r="A5575">
        <v>143.9</v>
      </c>
      <c r="B5575">
        <v>202.8</v>
      </c>
    </row>
    <row r="5576" spans="1:2">
      <c r="A5576">
        <v>144.5</v>
      </c>
      <c r="B5576">
        <v>206.2</v>
      </c>
    </row>
    <row r="5578" spans="1:2">
      <c r="A5578">
        <v>136.80000000000001</v>
      </c>
      <c r="B5578">
        <v>201.5</v>
      </c>
    </row>
    <row r="5579" spans="1:2">
      <c r="A5579">
        <v>135.1</v>
      </c>
      <c r="B5579">
        <v>202.1</v>
      </c>
    </row>
    <row r="5580" spans="1:2">
      <c r="A5580">
        <v>133.30000000000001</v>
      </c>
      <c r="B5580">
        <v>199.8</v>
      </c>
    </row>
    <row r="5581" spans="1:2">
      <c r="A5581">
        <v>134.30000000000001</v>
      </c>
      <c r="B5581">
        <v>204.6</v>
      </c>
    </row>
    <row r="5582" spans="1:2">
      <c r="A5582">
        <v>135.19999999999999</v>
      </c>
      <c r="B5582">
        <v>204.3</v>
      </c>
    </row>
    <row r="5583" spans="1:2">
      <c r="A5583">
        <v>134.1</v>
      </c>
      <c r="B5583">
        <v>205.7</v>
      </c>
    </row>
    <row r="5584" spans="1:2">
      <c r="A5584">
        <v>131.1</v>
      </c>
      <c r="B5584">
        <v>205.8</v>
      </c>
    </row>
    <row r="5585" spans="1:2">
      <c r="A5585">
        <v>133.6</v>
      </c>
      <c r="B5585">
        <v>208.3</v>
      </c>
    </row>
    <row r="5586" spans="1:2">
      <c r="A5586">
        <v>137</v>
      </c>
      <c r="B5586">
        <v>207.7</v>
      </c>
    </row>
    <row r="5587" spans="1:2">
      <c r="A5587">
        <v>138.19999999999999</v>
      </c>
      <c r="B5587">
        <v>202.8</v>
      </c>
    </row>
    <row r="5588" spans="1:2">
      <c r="A5588">
        <v>136.80000000000001</v>
      </c>
      <c r="B5588">
        <v>201.5</v>
      </c>
    </row>
    <row r="5590" spans="1:2">
      <c r="A5590">
        <v>135.19999999999999</v>
      </c>
      <c r="B5590">
        <v>211.9</v>
      </c>
    </row>
    <row r="5591" spans="1:2">
      <c r="A5591">
        <v>140.1</v>
      </c>
      <c r="B5591">
        <v>209.7</v>
      </c>
    </row>
    <row r="5592" spans="1:2">
      <c r="A5592">
        <v>139.19999999999999</v>
      </c>
      <c r="B5592">
        <v>206.3</v>
      </c>
    </row>
    <row r="5593" spans="1:2">
      <c r="A5593">
        <v>138.5</v>
      </c>
      <c r="B5593">
        <v>208.4</v>
      </c>
    </row>
    <row r="5594" spans="1:2">
      <c r="A5594">
        <v>133.69999999999999</v>
      </c>
      <c r="B5594">
        <v>210.7</v>
      </c>
    </row>
    <row r="5595" spans="1:2">
      <c r="A5595">
        <v>135.19999999999999</v>
      </c>
      <c r="B5595">
        <v>211.9</v>
      </c>
    </row>
    <row r="5597" spans="1:2">
      <c r="A5597">
        <v>124.4</v>
      </c>
      <c r="B5597">
        <v>216.3</v>
      </c>
    </row>
    <row r="5598" spans="1:2">
      <c r="A5598">
        <v>124.9</v>
      </c>
      <c r="B5598">
        <v>213.8</v>
      </c>
    </row>
    <row r="5599" spans="1:2">
      <c r="A5599">
        <v>123.4</v>
      </c>
      <c r="B5599">
        <v>215.6</v>
      </c>
    </row>
    <row r="5600" spans="1:2">
      <c r="A5600">
        <v>124.4</v>
      </c>
      <c r="B5600">
        <v>216.3</v>
      </c>
    </row>
    <row r="5602" spans="1:2">
      <c r="A5602">
        <v>140.30000000000001</v>
      </c>
      <c r="B5602">
        <v>217</v>
      </c>
    </row>
    <row r="5603" spans="1:2">
      <c r="A5603">
        <v>144.19999999999999</v>
      </c>
      <c r="B5603">
        <v>216</v>
      </c>
    </row>
    <row r="5604" spans="1:2">
      <c r="A5604">
        <v>143.9</v>
      </c>
      <c r="B5604">
        <v>213.8</v>
      </c>
    </row>
    <row r="5605" spans="1:2">
      <c r="A5605">
        <v>146.5</v>
      </c>
      <c r="B5605">
        <v>209.2</v>
      </c>
    </row>
    <row r="5606" spans="1:2">
      <c r="A5606">
        <v>144.80000000000001</v>
      </c>
      <c r="B5606">
        <v>206.9</v>
      </c>
    </row>
    <row r="5607" spans="1:2">
      <c r="A5607">
        <v>143.80000000000001</v>
      </c>
      <c r="B5607">
        <v>208.5</v>
      </c>
    </row>
    <row r="5608" spans="1:2">
      <c r="A5608">
        <v>142.4</v>
      </c>
      <c r="B5608">
        <v>207.6</v>
      </c>
    </row>
    <row r="5609" spans="1:2">
      <c r="A5609">
        <v>142.9</v>
      </c>
      <c r="B5609">
        <v>211.2</v>
      </c>
    </row>
    <row r="5610" spans="1:2">
      <c r="A5610">
        <v>136.6</v>
      </c>
      <c r="B5610">
        <v>212.7</v>
      </c>
    </row>
    <row r="5611" spans="1:2">
      <c r="A5611">
        <v>136.4</v>
      </c>
      <c r="B5611">
        <v>216.2</v>
      </c>
    </row>
    <row r="5612" spans="1:2">
      <c r="A5612">
        <v>139.19999999999999</v>
      </c>
      <c r="B5612">
        <v>217.7</v>
      </c>
    </row>
    <row r="5613" spans="1:2">
      <c r="A5613">
        <v>140.30000000000001</v>
      </c>
      <c r="B5613">
        <v>217</v>
      </c>
    </row>
    <row r="5615" spans="1:2">
      <c r="A5615">
        <v>127.4</v>
      </c>
      <c r="B5615">
        <v>213.6</v>
      </c>
    </row>
    <row r="5616" spans="1:2">
      <c r="A5616">
        <v>126.2</v>
      </c>
      <c r="B5616">
        <v>214.6</v>
      </c>
    </row>
    <row r="5617" spans="1:2">
      <c r="A5617">
        <v>126.8</v>
      </c>
      <c r="B5617">
        <v>216.6</v>
      </c>
    </row>
    <row r="5618" spans="1:2">
      <c r="A5618">
        <v>129.6</v>
      </c>
      <c r="B5618">
        <v>217.1</v>
      </c>
    </row>
    <row r="5619" spans="1:2">
      <c r="A5619">
        <v>132.5</v>
      </c>
      <c r="B5619">
        <v>221</v>
      </c>
    </row>
    <row r="5620" spans="1:2">
      <c r="A5620">
        <v>136.80000000000001</v>
      </c>
      <c r="B5620">
        <v>221.3</v>
      </c>
    </row>
    <row r="5621" spans="1:2">
      <c r="A5621">
        <v>133.4</v>
      </c>
      <c r="B5621">
        <v>220.1</v>
      </c>
    </row>
    <row r="5622" spans="1:2">
      <c r="A5622">
        <v>133.30000000000001</v>
      </c>
      <c r="B5622">
        <v>214.3</v>
      </c>
    </row>
    <row r="5623" spans="1:2">
      <c r="A5623">
        <v>131.4</v>
      </c>
      <c r="B5623">
        <v>215</v>
      </c>
    </row>
    <row r="5624" spans="1:2">
      <c r="A5624">
        <v>133.19999999999999</v>
      </c>
      <c r="B5624">
        <v>213.8</v>
      </c>
    </row>
    <row r="5625" spans="1:2">
      <c r="A5625">
        <v>131.4</v>
      </c>
      <c r="B5625">
        <v>210.7</v>
      </c>
    </row>
    <row r="5626" spans="1:2">
      <c r="A5626">
        <v>129</v>
      </c>
      <c r="B5626">
        <v>211.9</v>
      </c>
    </row>
    <row r="5627" spans="1:2">
      <c r="A5627">
        <v>129.30000000000001</v>
      </c>
      <c r="B5627">
        <v>213</v>
      </c>
    </row>
    <row r="5628" spans="1:2">
      <c r="A5628">
        <v>127.8</v>
      </c>
      <c r="B5628">
        <v>212.9</v>
      </c>
    </row>
    <row r="5629" spans="1:2">
      <c r="A5629">
        <v>128</v>
      </c>
      <c r="B5629">
        <v>211.5</v>
      </c>
    </row>
    <row r="5630" spans="1:2">
      <c r="A5630">
        <v>125.8</v>
      </c>
      <c r="B5630">
        <v>212.6</v>
      </c>
    </row>
    <row r="5631" spans="1:2">
      <c r="A5631">
        <v>127.4</v>
      </c>
      <c r="B5631">
        <v>213.6</v>
      </c>
    </row>
    <row r="5633" spans="1:2">
      <c r="A5633">
        <v>420.1</v>
      </c>
      <c r="B5633">
        <v>317.89999999999998</v>
      </c>
    </row>
    <row r="5634" spans="1:2">
      <c r="A5634">
        <v>422.8</v>
      </c>
      <c r="B5634">
        <v>316.60000000000002</v>
      </c>
    </row>
    <row r="5635" spans="1:2">
      <c r="A5635">
        <v>419.6</v>
      </c>
      <c r="B5635">
        <v>315.60000000000002</v>
      </c>
    </row>
    <row r="5636" spans="1:2">
      <c r="A5636">
        <v>420.6</v>
      </c>
      <c r="B5636">
        <v>314.60000000000002</v>
      </c>
    </row>
    <row r="5637" spans="1:2">
      <c r="A5637">
        <v>422.1</v>
      </c>
      <c r="B5637">
        <v>316.10000000000002</v>
      </c>
    </row>
    <row r="5638" spans="1:2">
      <c r="A5638">
        <v>421.2</v>
      </c>
      <c r="B5638">
        <v>314.10000000000002</v>
      </c>
    </row>
    <row r="5639" spans="1:2">
      <c r="A5639">
        <v>424.5</v>
      </c>
      <c r="B5639">
        <v>312.7</v>
      </c>
    </row>
    <row r="5640" spans="1:2">
      <c r="A5640">
        <v>429</v>
      </c>
      <c r="B5640">
        <v>316.39999999999998</v>
      </c>
    </row>
    <row r="5641" spans="1:2">
      <c r="A5641">
        <v>432.9</v>
      </c>
      <c r="B5641">
        <v>322.8</v>
      </c>
    </row>
    <row r="5642" spans="1:2">
      <c r="A5642">
        <v>434.9</v>
      </c>
      <c r="B5642">
        <v>322.10000000000002</v>
      </c>
    </row>
    <row r="5643" spans="1:2">
      <c r="A5643">
        <v>436.1</v>
      </c>
      <c r="B5643">
        <v>315.39999999999998</v>
      </c>
    </row>
    <row r="5644" spans="1:2">
      <c r="A5644">
        <v>430.4</v>
      </c>
      <c r="B5644">
        <v>306</v>
      </c>
    </row>
    <row r="5645" spans="1:2">
      <c r="A5645">
        <v>431.7</v>
      </c>
      <c r="B5645">
        <v>302.89999999999998</v>
      </c>
    </row>
    <row r="5646" spans="1:2">
      <c r="A5646">
        <v>430.4</v>
      </c>
      <c r="B5646">
        <v>300</v>
      </c>
    </row>
    <row r="5647" spans="1:2">
      <c r="A5647">
        <v>431.8</v>
      </c>
      <c r="B5647">
        <v>299.39999999999998</v>
      </c>
    </row>
    <row r="5648" spans="1:2">
      <c r="A5648">
        <v>429.7</v>
      </c>
      <c r="B5648">
        <v>296.2</v>
      </c>
    </row>
    <row r="5649" spans="1:2">
      <c r="A5649">
        <v>427</v>
      </c>
      <c r="B5649">
        <v>297.8</v>
      </c>
    </row>
    <row r="5650" spans="1:2">
      <c r="A5650">
        <v>424.6</v>
      </c>
      <c r="B5650">
        <v>297.2</v>
      </c>
    </row>
    <row r="5651" spans="1:2">
      <c r="A5651">
        <v>422.3</v>
      </c>
      <c r="B5651">
        <v>301.10000000000002</v>
      </c>
    </row>
    <row r="5652" spans="1:2">
      <c r="A5652">
        <v>420.6</v>
      </c>
      <c r="B5652">
        <v>298.3</v>
      </c>
    </row>
    <row r="5653" spans="1:2">
      <c r="A5653">
        <v>417.5</v>
      </c>
      <c r="B5653">
        <v>298.60000000000002</v>
      </c>
    </row>
    <row r="5654" spans="1:2">
      <c r="A5654">
        <v>416.1</v>
      </c>
      <c r="B5654">
        <v>299.89999999999998</v>
      </c>
    </row>
    <row r="5655" spans="1:2">
      <c r="A5655">
        <v>416.7</v>
      </c>
      <c r="B5655">
        <v>301.60000000000002</v>
      </c>
    </row>
    <row r="5656" spans="1:2">
      <c r="A5656">
        <v>414.5</v>
      </c>
      <c r="B5656">
        <v>302</v>
      </c>
    </row>
    <row r="5657" spans="1:2">
      <c r="A5657">
        <v>411.6</v>
      </c>
      <c r="B5657">
        <v>313.10000000000002</v>
      </c>
    </row>
    <row r="5658" spans="1:2">
      <c r="A5658">
        <v>409.3</v>
      </c>
      <c r="B5658">
        <v>316.60000000000002</v>
      </c>
    </row>
    <row r="5659" spans="1:2">
      <c r="A5659">
        <v>409.6</v>
      </c>
      <c r="B5659">
        <v>320</v>
      </c>
    </row>
    <row r="5660" spans="1:2">
      <c r="A5660">
        <v>414.2</v>
      </c>
      <c r="B5660">
        <v>318.10000000000002</v>
      </c>
    </row>
    <row r="5661" spans="1:2">
      <c r="A5661">
        <v>415.7</v>
      </c>
      <c r="B5661">
        <v>315.2</v>
      </c>
    </row>
    <row r="5662" spans="1:2">
      <c r="A5662">
        <v>417.6</v>
      </c>
      <c r="B5662">
        <v>319</v>
      </c>
    </row>
    <row r="5663" spans="1:2">
      <c r="A5663">
        <v>418.8</v>
      </c>
      <c r="B5663">
        <v>316.7</v>
      </c>
    </row>
    <row r="5664" spans="1:2">
      <c r="A5664">
        <v>420.1</v>
      </c>
      <c r="B5664">
        <v>317.89999999999998</v>
      </c>
    </row>
    <row r="5666" spans="1:2">
      <c r="A5666">
        <v>422.5</v>
      </c>
      <c r="B5666">
        <v>323.8</v>
      </c>
    </row>
    <row r="5667" spans="1:2">
      <c r="A5667">
        <v>421.6</v>
      </c>
      <c r="B5667">
        <v>321.60000000000002</v>
      </c>
    </row>
    <row r="5668" spans="1:2">
      <c r="A5668">
        <v>418.3</v>
      </c>
      <c r="B5668">
        <v>320.2</v>
      </c>
    </row>
    <row r="5669" spans="1:2">
      <c r="A5669">
        <v>415.7</v>
      </c>
      <c r="B5669">
        <v>315.2</v>
      </c>
    </row>
    <row r="5670" spans="1:2">
      <c r="A5670">
        <v>414.3</v>
      </c>
      <c r="B5670">
        <v>318.10000000000002</v>
      </c>
    </row>
    <row r="5671" spans="1:2">
      <c r="A5671">
        <v>411.8</v>
      </c>
      <c r="B5671">
        <v>318.39999999999998</v>
      </c>
    </row>
    <row r="5672" spans="1:2">
      <c r="A5672">
        <v>409</v>
      </c>
      <c r="B5672">
        <v>322.3</v>
      </c>
    </row>
    <row r="5673" spans="1:2">
      <c r="A5673">
        <v>406.6</v>
      </c>
      <c r="B5673">
        <v>321.8</v>
      </c>
    </row>
    <row r="5674" spans="1:2">
      <c r="A5674">
        <v>405.8</v>
      </c>
      <c r="B5674">
        <v>319.3</v>
      </c>
    </row>
    <row r="5675" spans="1:2">
      <c r="A5675">
        <v>400.6</v>
      </c>
      <c r="B5675">
        <v>316.60000000000002</v>
      </c>
    </row>
    <row r="5676" spans="1:2">
      <c r="A5676">
        <v>399.9</v>
      </c>
      <c r="B5676">
        <v>319.39999999999998</v>
      </c>
    </row>
    <row r="5677" spans="1:2">
      <c r="A5677">
        <v>397.3</v>
      </c>
      <c r="B5677">
        <v>320</v>
      </c>
    </row>
    <row r="5678" spans="1:2">
      <c r="A5678">
        <v>396.2</v>
      </c>
      <c r="B5678">
        <v>322.39999999999998</v>
      </c>
    </row>
    <row r="5679" spans="1:2">
      <c r="A5679">
        <v>393.6</v>
      </c>
      <c r="B5679">
        <v>323.7</v>
      </c>
    </row>
    <row r="5680" spans="1:2">
      <c r="A5680">
        <v>393.6</v>
      </c>
      <c r="B5680">
        <v>326.8</v>
      </c>
    </row>
    <row r="5681" spans="1:2">
      <c r="A5681">
        <v>391.4</v>
      </c>
      <c r="B5681">
        <v>326</v>
      </c>
    </row>
    <row r="5682" spans="1:2">
      <c r="A5682">
        <v>390.5</v>
      </c>
      <c r="B5682">
        <v>329.2</v>
      </c>
    </row>
    <row r="5683" spans="1:2">
      <c r="A5683">
        <v>384.2</v>
      </c>
      <c r="B5683">
        <v>332.6</v>
      </c>
    </row>
    <row r="5684" spans="1:2">
      <c r="A5684">
        <v>387.3</v>
      </c>
      <c r="B5684">
        <v>333.5</v>
      </c>
    </row>
    <row r="5685" spans="1:2">
      <c r="A5685">
        <v>388.7</v>
      </c>
      <c r="B5685">
        <v>337.7</v>
      </c>
    </row>
    <row r="5686" spans="1:2">
      <c r="A5686">
        <v>390.7</v>
      </c>
      <c r="B5686">
        <v>337.4</v>
      </c>
    </row>
    <row r="5687" spans="1:2">
      <c r="A5687">
        <v>392.2</v>
      </c>
      <c r="B5687">
        <v>339.1</v>
      </c>
    </row>
    <row r="5688" spans="1:2">
      <c r="A5688">
        <v>389.7</v>
      </c>
      <c r="B5688">
        <v>341.7</v>
      </c>
    </row>
    <row r="5689" spans="1:2">
      <c r="A5689">
        <v>390.2</v>
      </c>
      <c r="B5689">
        <v>342.9</v>
      </c>
    </row>
    <row r="5690" spans="1:2">
      <c r="A5690">
        <v>392</v>
      </c>
      <c r="B5690">
        <v>343.6</v>
      </c>
    </row>
    <row r="5691" spans="1:2">
      <c r="A5691">
        <v>396.6</v>
      </c>
      <c r="B5691">
        <v>342</v>
      </c>
    </row>
    <row r="5692" spans="1:2">
      <c r="A5692">
        <v>400</v>
      </c>
      <c r="B5692">
        <v>338</v>
      </c>
    </row>
    <row r="5693" spans="1:2">
      <c r="A5693">
        <v>404.8</v>
      </c>
      <c r="B5693">
        <v>343.6</v>
      </c>
    </row>
    <row r="5694" spans="1:2">
      <c r="A5694">
        <v>405.3</v>
      </c>
      <c r="B5694">
        <v>347.5</v>
      </c>
    </row>
    <row r="5695" spans="1:2">
      <c r="A5695">
        <v>410.1</v>
      </c>
      <c r="B5695">
        <v>349.7</v>
      </c>
    </row>
    <row r="5696" spans="1:2">
      <c r="A5696">
        <v>411.1</v>
      </c>
      <c r="B5696">
        <v>348.2</v>
      </c>
    </row>
    <row r="5697" spans="1:2">
      <c r="A5697">
        <v>410.1</v>
      </c>
      <c r="B5697">
        <v>344.6</v>
      </c>
    </row>
    <row r="5698" spans="1:2">
      <c r="A5698">
        <v>411.6</v>
      </c>
      <c r="B5698">
        <v>342.6</v>
      </c>
    </row>
    <row r="5699" spans="1:2">
      <c r="A5699">
        <v>417.9</v>
      </c>
      <c r="B5699">
        <v>342.7</v>
      </c>
    </row>
    <row r="5700" spans="1:2">
      <c r="A5700">
        <v>418.8</v>
      </c>
      <c r="B5700">
        <v>337.2</v>
      </c>
    </row>
    <row r="5701" spans="1:2">
      <c r="A5701">
        <v>417.6</v>
      </c>
      <c r="B5701">
        <v>335</v>
      </c>
    </row>
    <row r="5702" spans="1:2">
      <c r="A5702">
        <v>419.4</v>
      </c>
      <c r="B5702">
        <v>333.3</v>
      </c>
    </row>
    <row r="5703" spans="1:2">
      <c r="A5703">
        <v>419.8</v>
      </c>
      <c r="B5703">
        <v>328.2</v>
      </c>
    </row>
    <row r="5704" spans="1:2">
      <c r="A5704">
        <v>423.5</v>
      </c>
      <c r="B5704">
        <v>325.8</v>
      </c>
    </row>
    <row r="5705" spans="1:2">
      <c r="A5705">
        <v>422.5</v>
      </c>
      <c r="B5705">
        <v>323.8</v>
      </c>
    </row>
    <row r="5707" spans="1:2">
      <c r="A5707">
        <v>426.7</v>
      </c>
      <c r="B5707">
        <v>280.39999999999998</v>
      </c>
    </row>
    <row r="5708" spans="1:2">
      <c r="A5708">
        <v>424.3</v>
      </c>
      <c r="B5708">
        <v>275.89999999999998</v>
      </c>
    </row>
    <row r="5709" spans="1:2">
      <c r="A5709">
        <v>415.9</v>
      </c>
      <c r="B5709">
        <v>279</v>
      </c>
    </row>
    <row r="5710" spans="1:2">
      <c r="A5710">
        <v>410.9</v>
      </c>
      <c r="B5710">
        <v>275.10000000000002</v>
      </c>
    </row>
    <row r="5711" spans="1:2">
      <c r="A5711">
        <v>407.4</v>
      </c>
      <c r="B5711">
        <v>276.89999999999998</v>
      </c>
    </row>
    <row r="5712" spans="1:2">
      <c r="A5712">
        <v>407.5</v>
      </c>
      <c r="B5712">
        <v>281.3</v>
      </c>
    </row>
    <row r="5713" spans="1:2">
      <c r="A5713">
        <v>403.3</v>
      </c>
      <c r="B5713">
        <v>283.5</v>
      </c>
    </row>
    <row r="5714" spans="1:2">
      <c r="A5714">
        <v>399</v>
      </c>
      <c r="B5714">
        <v>282.8</v>
      </c>
    </row>
    <row r="5715" spans="1:2">
      <c r="A5715">
        <v>397.6</v>
      </c>
      <c r="B5715">
        <v>283.89999999999998</v>
      </c>
    </row>
    <row r="5716" spans="1:2">
      <c r="A5716">
        <v>391.8</v>
      </c>
      <c r="B5716">
        <v>280.39999999999998</v>
      </c>
    </row>
    <row r="5717" spans="1:2">
      <c r="A5717">
        <v>391.6</v>
      </c>
      <c r="B5717">
        <v>274.8</v>
      </c>
    </row>
    <row r="5718" spans="1:2">
      <c r="A5718">
        <v>388.8</v>
      </c>
      <c r="B5718">
        <v>276.39999999999998</v>
      </c>
    </row>
    <row r="5719" spans="1:2">
      <c r="A5719">
        <v>388.3</v>
      </c>
      <c r="B5719">
        <v>280.7</v>
      </c>
    </row>
    <row r="5720" spans="1:2">
      <c r="A5720">
        <v>385.3</v>
      </c>
      <c r="B5720">
        <v>280.60000000000002</v>
      </c>
    </row>
    <row r="5721" spans="1:2">
      <c r="A5721">
        <v>382.4</v>
      </c>
      <c r="B5721">
        <v>287.10000000000002</v>
      </c>
    </row>
    <row r="5722" spans="1:2">
      <c r="A5722">
        <v>382.8</v>
      </c>
      <c r="B5722">
        <v>289</v>
      </c>
    </row>
    <row r="5723" spans="1:2">
      <c r="A5723">
        <v>384.7</v>
      </c>
      <c r="B5723">
        <v>289.7</v>
      </c>
    </row>
    <row r="5724" spans="1:2">
      <c r="A5724">
        <v>384.2</v>
      </c>
      <c r="B5724">
        <v>292</v>
      </c>
    </row>
    <row r="5725" spans="1:2">
      <c r="A5725">
        <v>387.9</v>
      </c>
      <c r="B5725">
        <v>299.7</v>
      </c>
    </row>
    <row r="5726" spans="1:2">
      <c r="A5726">
        <v>387.4</v>
      </c>
      <c r="B5726">
        <v>303.39999999999998</v>
      </c>
    </row>
    <row r="5727" spans="1:2">
      <c r="A5727">
        <v>390.8</v>
      </c>
      <c r="B5727">
        <v>307.39999999999998</v>
      </c>
    </row>
    <row r="5728" spans="1:2">
      <c r="A5728">
        <v>393.6</v>
      </c>
      <c r="B5728">
        <v>307</v>
      </c>
    </row>
    <row r="5729" spans="1:2">
      <c r="A5729">
        <v>395.1</v>
      </c>
      <c r="B5729">
        <v>304.7</v>
      </c>
    </row>
    <row r="5730" spans="1:2">
      <c r="A5730">
        <v>396.7</v>
      </c>
      <c r="B5730">
        <v>305.8</v>
      </c>
    </row>
    <row r="5731" spans="1:2">
      <c r="A5731">
        <v>394.7</v>
      </c>
      <c r="B5731">
        <v>314.3</v>
      </c>
    </row>
    <row r="5732" spans="1:2">
      <c r="A5732">
        <v>397.6</v>
      </c>
      <c r="B5732">
        <v>314.8</v>
      </c>
    </row>
    <row r="5733" spans="1:2">
      <c r="A5733">
        <v>396.7</v>
      </c>
      <c r="B5733">
        <v>317.39999999999998</v>
      </c>
    </row>
    <row r="5734" spans="1:2">
      <c r="A5734">
        <v>398.2</v>
      </c>
      <c r="B5734">
        <v>319.60000000000002</v>
      </c>
    </row>
    <row r="5735" spans="1:2">
      <c r="A5735">
        <v>400.4</v>
      </c>
      <c r="B5735">
        <v>318.8</v>
      </c>
    </row>
    <row r="5736" spans="1:2">
      <c r="A5736">
        <v>400.9</v>
      </c>
      <c r="B5736">
        <v>316.60000000000002</v>
      </c>
    </row>
    <row r="5737" spans="1:2">
      <c r="A5737">
        <v>405.8</v>
      </c>
      <c r="B5737">
        <v>319.3</v>
      </c>
    </row>
    <row r="5738" spans="1:2">
      <c r="A5738">
        <v>406.6</v>
      </c>
      <c r="B5738">
        <v>321.8</v>
      </c>
    </row>
    <row r="5739" spans="1:2">
      <c r="A5739">
        <v>409.2</v>
      </c>
      <c r="B5739">
        <v>322.2</v>
      </c>
    </row>
    <row r="5740" spans="1:2">
      <c r="A5740">
        <v>409.3</v>
      </c>
      <c r="B5740">
        <v>316.60000000000002</v>
      </c>
    </row>
    <row r="5741" spans="1:2">
      <c r="A5741">
        <v>411.6</v>
      </c>
      <c r="B5741">
        <v>313.10000000000002</v>
      </c>
    </row>
    <row r="5742" spans="1:2">
      <c r="A5742">
        <v>414.5</v>
      </c>
      <c r="B5742">
        <v>302</v>
      </c>
    </row>
    <row r="5743" spans="1:2">
      <c r="A5743">
        <v>416.7</v>
      </c>
      <c r="B5743">
        <v>301.5</v>
      </c>
    </row>
    <row r="5744" spans="1:2">
      <c r="A5744">
        <v>416.6</v>
      </c>
      <c r="B5744">
        <v>299</v>
      </c>
    </row>
    <row r="5745" spans="1:2">
      <c r="A5745">
        <v>420.6</v>
      </c>
      <c r="B5745">
        <v>298.3</v>
      </c>
    </row>
    <row r="5746" spans="1:2">
      <c r="A5746">
        <v>422.3</v>
      </c>
      <c r="B5746">
        <v>301.10000000000002</v>
      </c>
    </row>
    <row r="5747" spans="1:2">
      <c r="A5747">
        <v>424.6</v>
      </c>
      <c r="B5747">
        <v>297.2</v>
      </c>
    </row>
    <row r="5748" spans="1:2">
      <c r="A5748">
        <v>430.3</v>
      </c>
      <c r="B5748">
        <v>296.60000000000002</v>
      </c>
    </row>
    <row r="5749" spans="1:2">
      <c r="A5749">
        <v>429.8</v>
      </c>
      <c r="B5749">
        <v>292.7</v>
      </c>
    </row>
    <row r="5750" spans="1:2">
      <c r="A5750">
        <v>428</v>
      </c>
      <c r="B5750">
        <v>290.7</v>
      </c>
    </row>
    <row r="5751" spans="1:2">
      <c r="A5751">
        <v>426.7</v>
      </c>
      <c r="B5751">
        <v>280.39999999999998</v>
      </c>
    </row>
    <row r="5753" spans="1:2">
      <c r="A5753">
        <v>310.60000000000002</v>
      </c>
      <c r="B5753">
        <v>341.4</v>
      </c>
    </row>
    <row r="5754" spans="1:2">
      <c r="A5754">
        <v>318</v>
      </c>
      <c r="B5754">
        <v>338.2</v>
      </c>
    </row>
    <row r="5755" spans="1:2">
      <c r="A5755">
        <v>318</v>
      </c>
      <c r="B5755">
        <v>335.4</v>
      </c>
    </row>
    <row r="5756" spans="1:2">
      <c r="A5756">
        <v>321.2</v>
      </c>
      <c r="B5756">
        <v>334.8</v>
      </c>
    </row>
    <row r="5757" spans="1:2">
      <c r="A5757">
        <v>321.2</v>
      </c>
      <c r="B5757">
        <v>332.5</v>
      </c>
    </row>
    <row r="5758" spans="1:2">
      <c r="A5758">
        <v>323.3</v>
      </c>
      <c r="B5758">
        <v>331.8</v>
      </c>
    </row>
    <row r="5759" spans="1:2">
      <c r="A5759">
        <v>322.39999999999998</v>
      </c>
      <c r="B5759">
        <v>328.8</v>
      </c>
    </row>
    <row r="5760" spans="1:2">
      <c r="A5760">
        <v>323.39999999999998</v>
      </c>
      <c r="B5760">
        <v>328</v>
      </c>
    </row>
    <row r="5761" spans="1:2">
      <c r="A5761">
        <v>321.5</v>
      </c>
      <c r="B5761">
        <v>325</v>
      </c>
    </row>
    <row r="5762" spans="1:2">
      <c r="A5762">
        <v>323</v>
      </c>
      <c r="B5762">
        <v>323.89999999999998</v>
      </c>
    </row>
    <row r="5763" spans="1:2">
      <c r="A5763">
        <v>323.7</v>
      </c>
      <c r="B5763">
        <v>319.2</v>
      </c>
    </row>
    <row r="5764" spans="1:2">
      <c r="A5764">
        <v>322.8</v>
      </c>
      <c r="B5764">
        <v>318.3</v>
      </c>
    </row>
    <row r="5765" spans="1:2">
      <c r="A5765">
        <v>317</v>
      </c>
      <c r="B5765">
        <v>319.60000000000002</v>
      </c>
    </row>
    <row r="5766" spans="1:2">
      <c r="A5766">
        <v>314.5</v>
      </c>
      <c r="B5766">
        <v>318.5</v>
      </c>
    </row>
    <row r="5767" spans="1:2">
      <c r="A5767">
        <v>314.5</v>
      </c>
      <c r="B5767">
        <v>317.10000000000002</v>
      </c>
    </row>
    <row r="5768" spans="1:2">
      <c r="A5768">
        <v>311.89999999999998</v>
      </c>
      <c r="B5768">
        <v>317.2</v>
      </c>
    </row>
    <row r="5769" spans="1:2">
      <c r="A5769">
        <v>312.39999999999998</v>
      </c>
      <c r="B5769">
        <v>312.89999999999998</v>
      </c>
    </row>
    <row r="5770" spans="1:2">
      <c r="A5770">
        <v>310.7</v>
      </c>
      <c r="B5770">
        <v>310</v>
      </c>
    </row>
    <row r="5771" spans="1:2">
      <c r="A5771">
        <v>305.89999999999998</v>
      </c>
      <c r="B5771">
        <v>308.7</v>
      </c>
    </row>
    <row r="5772" spans="1:2">
      <c r="A5772">
        <v>305.2</v>
      </c>
      <c r="B5772">
        <v>305.2</v>
      </c>
    </row>
    <row r="5773" spans="1:2">
      <c r="A5773">
        <v>302.39999999999998</v>
      </c>
      <c r="B5773">
        <v>307.39999999999998</v>
      </c>
    </row>
    <row r="5774" spans="1:2">
      <c r="A5774">
        <v>301.60000000000002</v>
      </c>
      <c r="B5774">
        <v>306.3</v>
      </c>
    </row>
    <row r="5775" spans="1:2">
      <c r="A5775">
        <v>305.10000000000002</v>
      </c>
      <c r="B5775">
        <v>299.89999999999998</v>
      </c>
    </row>
    <row r="5776" spans="1:2">
      <c r="A5776">
        <v>304.3</v>
      </c>
      <c r="B5776">
        <v>296.3</v>
      </c>
    </row>
    <row r="5777" spans="1:2">
      <c r="A5777">
        <v>298.5</v>
      </c>
      <c r="B5777">
        <v>295.2</v>
      </c>
    </row>
    <row r="5778" spans="1:2">
      <c r="A5778">
        <v>295.89999999999998</v>
      </c>
      <c r="B5778">
        <v>298.39999999999998</v>
      </c>
    </row>
    <row r="5779" spans="1:2">
      <c r="A5779">
        <v>291</v>
      </c>
      <c r="B5779">
        <v>298</v>
      </c>
    </row>
    <row r="5780" spans="1:2">
      <c r="A5780">
        <v>290.5</v>
      </c>
      <c r="B5780">
        <v>302.10000000000002</v>
      </c>
    </row>
    <row r="5781" spans="1:2">
      <c r="A5781">
        <v>287.39999999999998</v>
      </c>
      <c r="B5781">
        <v>302.10000000000002</v>
      </c>
    </row>
    <row r="5782" spans="1:2">
      <c r="A5782">
        <v>287.2</v>
      </c>
      <c r="B5782">
        <v>306</v>
      </c>
    </row>
    <row r="5783" spans="1:2">
      <c r="A5783">
        <v>289.7</v>
      </c>
      <c r="B5783">
        <v>308.2</v>
      </c>
    </row>
    <row r="5784" spans="1:2">
      <c r="A5784">
        <v>286.60000000000002</v>
      </c>
      <c r="B5784">
        <v>313.3</v>
      </c>
    </row>
    <row r="5785" spans="1:2">
      <c r="A5785">
        <v>286.7</v>
      </c>
      <c r="B5785">
        <v>316.10000000000002</v>
      </c>
    </row>
    <row r="5786" spans="1:2">
      <c r="A5786">
        <v>294.10000000000002</v>
      </c>
      <c r="B5786">
        <v>321.3</v>
      </c>
    </row>
    <row r="5787" spans="1:2">
      <c r="A5787">
        <v>294.60000000000002</v>
      </c>
      <c r="B5787">
        <v>326.39999999999998</v>
      </c>
    </row>
    <row r="5788" spans="1:2">
      <c r="A5788">
        <v>297.3</v>
      </c>
      <c r="B5788">
        <v>330.5</v>
      </c>
    </row>
    <row r="5789" spans="1:2">
      <c r="A5789">
        <v>295.60000000000002</v>
      </c>
      <c r="B5789">
        <v>335.1</v>
      </c>
    </row>
    <row r="5790" spans="1:2">
      <c r="A5790">
        <v>298.39999999999998</v>
      </c>
      <c r="B5790">
        <v>336.3</v>
      </c>
    </row>
    <row r="5791" spans="1:2">
      <c r="A5791">
        <v>300.89999999999998</v>
      </c>
      <c r="B5791">
        <v>334.7</v>
      </c>
    </row>
    <row r="5792" spans="1:2">
      <c r="A5792">
        <v>302.60000000000002</v>
      </c>
      <c r="B5792">
        <v>335.4</v>
      </c>
    </row>
    <row r="5793" spans="1:2">
      <c r="A5793">
        <v>300.10000000000002</v>
      </c>
      <c r="B5793">
        <v>339.6</v>
      </c>
    </row>
    <row r="5794" spans="1:2">
      <c r="A5794">
        <v>301</v>
      </c>
      <c r="B5794">
        <v>340.9</v>
      </c>
    </row>
    <row r="5795" spans="1:2">
      <c r="A5795">
        <v>304.2</v>
      </c>
      <c r="B5795">
        <v>339.8</v>
      </c>
    </row>
    <row r="5796" spans="1:2">
      <c r="A5796">
        <v>306</v>
      </c>
      <c r="B5796">
        <v>340.9</v>
      </c>
    </row>
    <row r="5797" spans="1:2">
      <c r="A5797">
        <v>307</v>
      </c>
      <c r="B5797">
        <v>339.3</v>
      </c>
    </row>
    <row r="5798" spans="1:2">
      <c r="A5798">
        <v>308.10000000000002</v>
      </c>
      <c r="B5798">
        <v>341</v>
      </c>
    </row>
    <row r="5799" spans="1:2">
      <c r="A5799">
        <v>310.60000000000002</v>
      </c>
      <c r="B5799">
        <v>341.4</v>
      </c>
    </row>
    <row r="5801" spans="1:2">
      <c r="A5801">
        <v>367.9</v>
      </c>
      <c r="B5801">
        <v>401.7</v>
      </c>
    </row>
    <row r="5802" spans="1:2">
      <c r="A5802">
        <v>368.5</v>
      </c>
      <c r="B5802">
        <v>399.7</v>
      </c>
    </row>
    <row r="5803" spans="1:2">
      <c r="A5803">
        <v>369.4</v>
      </c>
      <c r="B5803">
        <v>401.3</v>
      </c>
    </row>
    <row r="5804" spans="1:2">
      <c r="A5804">
        <v>371</v>
      </c>
      <c r="B5804">
        <v>401.2</v>
      </c>
    </row>
    <row r="5805" spans="1:2">
      <c r="A5805">
        <v>375.4</v>
      </c>
      <c r="B5805">
        <v>397.2</v>
      </c>
    </row>
    <row r="5806" spans="1:2">
      <c r="A5806">
        <v>381</v>
      </c>
      <c r="B5806">
        <v>397</v>
      </c>
    </row>
    <row r="5807" spans="1:2">
      <c r="A5807">
        <v>381.9</v>
      </c>
      <c r="B5807">
        <v>395</v>
      </c>
    </row>
    <row r="5808" spans="1:2">
      <c r="A5808">
        <v>384.2</v>
      </c>
      <c r="B5808">
        <v>394.5</v>
      </c>
    </row>
    <row r="5809" spans="1:2">
      <c r="A5809">
        <v>385</v>
      </c>
      <c r="B5809">
        <v>391.4</v>
      </c>
    </row>
    <row r="5810" spans="1:2">
      <c r="A5810">
        <v>384.1</v>
      </c>
      <c r="B5810">
        <v>386.6</v>
      </c>
    </row>
    <row r="5811" spans="1:2">
      <c r="A5811">
        <v>385.1</v>
      </c>
      <c r="B5811">
        <v>377.3</v>
      </c>
    </row>
    <row r="5812" spans="1:2">
      <c r="A5812">
        <v>382.6</v>
      </c>
      <c r="B5812">
        <v>371.2</v>
      </c>
    </row>
    <row r="5813" spans="1:2">
      <c r="A5813">
        <v>384.7</v>
      </c>
      <c r="B5813">
        <v>368.5</v>
      </c>
    </row>
    <row r="5814" spans="1:2">
      <c r="A5814">
        <v>382.8</v>
      </c>
      <c r="B5814">
        <v>366</v>
      </c>
    </row>
    <row r="5815" spans="1:2">
      <c r="A5815">
        <v>383.7</v>
      </c>
      <c r="B5815">
        <v>363.8</v>
      </c>
    </row>
    <row r="5816" spans="1:2">
      <c r="A5816">
        <v>382.2</v>
      </c>
      <c r="B5816">
        <v>363.6</v>
      </c>
    </row>
    <row r="5817" spans="1:2">
      <c r="A5817">
        <v>383.6</v>
      </c>
      <c r="B5817">
        <v>357.4</v>
      </c>
    </row>
    <row r="5818" spans="1:2">
      <c r="A5818">
        <v>381.7</v>
      </c>
      <c r="B5818">
        <v>350.3</v>
      </c>
    </row>
    <row r="5819" spans="1:2">
      <c r="A5819">
        <v>376.7</v>
      </c>
      <c r="B5819">
        <v>345.7</v>
      </c>
    </row>
    <row r="5820" spans="1:2">
      <c r="A5820">
        <v>375.3</v>
      </c>
      <c r="B5820">
        <v>345.8</v>
      </c>
    </row>
    <row r="5821" spans="1:2">
      <c r="A5821">
        <v>374.3</v>
      </c>
      <c r="B5821">
        <v>354.3</v>
      </c>
    </row>
    <row r="5822" spans="1:2">
      <c r="A5822">
        <v>371.9</v>
      </c>
      <c r="B5822">
        <v>355.6</v>
      </c>
    </row>
    <row r="5823" spans="1:2">
      <c r="A5823">
        <v>370.2</v>
      </c>
      <c r="B5823">
        <v>362.6</v>
      </c>
    </row>
    <row r="5824" spans="1:2">
      <c r="A5824">
        <v>362.9</v>
      </c>
      <c r="B5824">
        <v>366.5</v>
      </c>
    </row>
    <row r="5825" spans="1:2">
      <c r="A5825">
        <v>359.6</v>
      </c>
      <c r="B5825">
        <v>365.2</v>
      </c>
    </row>
    <row r="5826" spans="1:2">
      <c r="A5826">
        <v>359.3</v>
      </c>
      <c r="B5826">
        <v>362.1</v>
      </c>
    </row>
    <row r="5827" spans="1:2">
      <c r="A5827">
        <v>352.6</v>
      </c>
      <c r="B5827">
        <v>359.8</v>
      </c>
    </row>
    <row r="5828" spans="1:2">
      <c r="A5828">
        <v>350.3</v>
      </c>
      <c r="B5828">
        <v>357.5</v>
      </c>
    </row>
    <row r="5829" spans="1:2">
      <c r="A5829">
        <v>345.6</v>
      </c>
      <c r="B5829">
        <v>366.7</v>
      </c>
    </row>
    <row r="5830" spans="1:2">
      <c r="A5830">
        <v>341.8</v>
      </c>
      <c r="B5830">
        <v>367.7</v>
      </c>
    </row>
    <row r="5831" spans="1:2">
      <c r="A5831">
        <v>340.5</v>
      </c>
      <c r="B5831">
        <v>369.6</v>
      </c>
    </row>
    <row r="5832" spans="1:2">
      <c r="A5832">
        <v>337.2</v>
      </c>
      <c r="B5832">
        <v>366.8</v>
      </c>
    </row>
    <row r="5833" spans="1:2">
      <c r="A5833">
        <v>335</v>
      </c>
      <c r="B5833">
        <v>369.9</v>
      </c>
    </row>
    <row r="5834" spans="1:2">
      <c r="A5834">
        <v>338.2</v>
      </c>
      <c r="B5834">
        <v>371.9</v>
      </c>
    </row>
    <row r="5835" spans="1:2">
      <c r="A5835">
        <v>337.4</v>
      </c>
      <c r="B5835">
        <v>373.6</v>
      </c>
    </row>
    <row r="5836" spans="1:2">
      <c r="A5836">
        <v>340.6</v>
      </c>
      <c r="B5836">
        <v>375.3</v>
      </c>
    </row>
    <row r="5837" spans="1:2">
      <c r="A5837">
        <v>341</v>
      </c>
      <c r="B5837">
        <v>378.9</v>
      </c>
    </row>
    <row r="5838" spans="1:2">
      <c r="A5838">
        <v>343.8</v>
      </c>
      <c r="B5838">
        <v>378.7</v>
      </c>
    </row>
    <row r="5839" spans="1:2">
      <c r="A5839">
        <v>343.4</v>
      </c>
      <c r="B5839">
        <v>381.6</v>
      </c>
    </row>
    <row r="5840" spans="1:2">
      <c r="A5840">
        <v>350.4</v>
      </c>
      <c r="B5840">
        <v>384.2</v>
      </c>
    </row>
    <row r="5841" spans="1:2">
      <c r="A5841">
        <v>349.8</v>
      </c>
      <c r="B5841">
        <v>391</v>
      </c>
    </row>
    <row r="5842" spans="1:2">
      <c r="A5842">
        <v>353.2</v>
      </c>
      <c r="B5842">
        <v>391.4</v>
      </c>
    </row>
    <row r="5843" spans="1:2">
      <c r="A5843">
        <v>357.1</v>
      </c>
      <c r="B5843">
        <v>389.4</v>
      </c>
    </row>
    <row r="5844" spans="1:2">
      <c r="A5844">
        <v>362</v>
      </c>
      <c r="B5844">
        <v>389.1</v>
      </c>
    </row>
    <row r="5845" spans="1:2">
      <c r="A5845">
        <v>362</v>
      </c>
      <c r="B5845">
        <v>399.2</v>
      </c>
    </row>
    <row r="5846" spans="1:2">
      <c r="A5846">
        <v>363</v>
      </c>
      <c r="B5846">
        <v>401.2</v>
      </c>
    </row>
    <row r="5847" spans="1:2">
      <c r="A5847">
        <v>364.4</v>
      </c>
      <c r="B5847">
        <v>400.4</v>
      </c>
    </row>
    <row r="5848" spans="1:2">
      <c r="A5848">
        <v>367.8</v>
      </c>
      <c r="B5848">
        <v>402.7</v>
      </c>
    </row>
    <row r="5849" spans="1:2">
      <c r="A5849">
        <v>367.9</v>
      </c>
      <c r="B5849">
        <v>401.7</v>
      </c>
    </row>
    <row r="5851" spans="1:2">
      <c r="A5851">
        <v>320.8</v>
      </c>
      <c r="B5851">
        <v>352.7</v>
      </c>
    </row>
    <row r="5852" spans="1:2">
      <c r="A5852">
        <v>324.39999999999998</v>
      </c>
      <c r="B5852">
        <v>349.4</v>
      </c>
    </row>
    <row r="5853" spans="1:2">
      <c r="A5853">
        <v>326.8</v>
      </c>
      <c r="B5853">
        <v>351.4</v>
      </c>
    </row>
    <row r="5854" spans="1:2">
      <c r="A5854">
        <v>329.5</v>
      </c>
      <c r="B5854">
        <v>350.2</v>
      </c>
    </row>
    <row r="5855" spans="1:2">
      <c r="A5855">
        <v>332.1</v>
      </c>
      <c r="B5855">
        <v>345.3</v>
      </c>
    </row>
    <row r="5856" spans="1:2">
      <c r="A5856">
        <v>334.8</v>
      </c>
      <c r="B5856">
        <v>343.4</v>
      </c>
    </row>
    <row r="5857" spans="1:2">
      <c r="A5857">
        <v>334</v>
      </c>
      <c r="B5857">
        <v>340.2</v>
      </c>
    </row>
    <row r="5858" spans="1:2">
      <c r="A5858">
        <v>336.1</v>
      </c>
      <c r="B5858">
        <v>337.3</v>
      </c>
    </row>
    <row r="5859" spans="1:2">
      <c r="A5859">
        <v>339.9</v>
      </c>
      <c r="B5859">
        <v>338.9</v>
      </c>
    </row>
    <row r="5860" spans="1:2">
      <c r="A5860">
        <v>341.5</v>
      </c>
      <c r="B5860">
        <v>333.6</v>
      </c>
    </row>
    <row r="5861" spans="1:2">
      <c r="A5861">
        <v>342.8</v>
      </c>
      <c r="B5861">
        <v>335.3</v>
      </c>
    </row>
    <row r="5862" spans="1:2">
      <c r="A5862">
        <v>344.5</v>
      </c>
      <c r="B5862">
        <v>334.7</v>
      </c>
    </row>
    <row r="5863" spans="1:2">
      <c r="A5863">
        <v>346.2</v>
      </c>
      <c r="B5863">
        <v>332.8</v>
      </c>
    </row>
    <row r="5864" spans="1:2">
      <c r="A5864">
        <v>344.8</v>
      </c>
      <c r="B5864">
        <v>331.1</v>
      </c>
    </row>
    <row r="5865" spans="1:2">
      <c r="A5865">
        <v>346.7</v>
      </c>
      <c r="B5865">
        <v>325.7</v>
      </c>
    </row>
    <row r="5866" spans="1:2">
      <c r="A5866">
        <v>341.2</v>
      </c>
      <c r="B5866">
        <v>325.8</v>
      </c>
    </row>
    <row r="5867" spans="1:2">
      <c r="A5867">
        <v>340.6</v>
      </c>
      <c r="B5867">
        <v>327.2</v>
      </c>
    </row>
    <row r="5868" spans="1:2">
      <c r="A5868">
        <v>338.6</v>
      </c>
      <c r="B5868">
        <v>321.5</v>
      </c>
    </row>
    <row r="5869" spans="1:2">
      <c r="A5869">
        <v>332.8</v>
      </c>
      <c r="B5869">
        <v>323.60000000000002</v>
      </c>
    </row>
    <row r="5870" spans="1:2">
      <c r="A5870">
        <v>329.1</v>
      </c>
      <c r="B5870">
        <v>320.2</v>
      </c>
    </row>
    <row r="5871" spans="1:2">
      <c r="A5871">
        <v>326.39999999999998</v>
      </c>
      <c r="B5871">
        <v>323.5</v>
      </c>
    </row>
    <row r="5872" spans="1:2">
      <c r="A5872">
        <v>323</v>
      </c>
      <c r="B5872">
        <v>323.2</v>
      </c>
    </row>
    <row r="5873" spans="1:2">
      <c r="A5873">
        <v>321.5</v>
      </c>
      <c r="B5873">
        <v>325</v>
      </c>
    </row>
    <row r="5874" spans="1:2">
      <c r="A5874">
        <v>323.39999999999998</v>
      </c>
      <c r="B5874">
        <v>328</v>
      </c>
    </row>
    <row r="5875" spans="1:2">
      <c r="A5875">
        <v>322.39999999999998</v>
      </c>
      <c r="B5875">
        <v>328.8</v>
      </c>
    </row>
    <row r="5876" spans="1:2">
      <c r="A5876">
        <v>323.39999999999998</v>
      </c>
      <c r="B5876">
        <v>331.6</v>
      </c>
    </row>
    <row r="5877" spans="1:2">
      <c r="A5877">
        <v>321.2</v>
      </c>
      <c r="B5877">
        <v>332.5</v>
      </c>
    </row>
    <row r="5878" spans="1:2">
      <c r="A5878">
        <v>321.2</v>
      </c>
      <c r="B5878">
        <v>334.8</v>
      </c>
    </row>
    <row r="5879" spans="1:2">
      <c r="A5879">
        <v>318</v>
      </c>
      <c r="B5879">
        <v>335.4</v>
      </c>
    </row>
    <row r="5880" spans="1:2">
      <c r="A5880">
        <v>318</v>
      </c>
      <c r="B5880">
        <v>338.2</v>
      </c>
    </row>
    <row r="5881" spans="1:2">
      <c r="A5881">
        <v>309.10000000000002</v>
      </c>
      <c r="B5881">
        <v>342.6</v>
      </c>
    </row>
    <row r="5882" spans="1:2">
      <c r="A5882">
        <v>311.39999999999998</v>
      </c>
      <c r="B5882">
        <v>345.8</v>
      </c>
    </row>
    <row r="5883" spans="1:2">
      <c r="A5883">
        <v>317.5</v>
      </c>
      <c r="B5883">
        <v>346.4</v>
      </c>
    </row>
    <row r="5884" spans="1:2">
      <c r="A5884">
        <v>317.89999999999998</v>
      </c>
      <c r="B5884">
        <v>349.7</v>
      </c>
    </row>
    <row r="5885" spans="1:2">
      <c r="A5885">
        <v>320.8</v>
      </c>
      <c r="B5885">
        <v>352.7</v>
      </c>
    </row>
    <row r="5887" spans="1:2">
      <c r="A5887">
        <v>355.1</v>
      </c>
      <c r="B5887">
        <v>428.4</v>
      </c>
    </row>
    <row r="5888" spans="1:2">
      <c r="A5888">
        <v>359.5</v>
      </c>
      <c r="B5888">
        <v>426.1</v>
      </c>
    </row>
    <row r="5889" spans="1:2">
      <c r="A5889">
        <v>358.1</v>
      </c>
      <c r="B5889">
        <v>419</v>
      </c>
    </row>
    <row r="5890" spans="1:2">
      <c r="A5890">
        <v>355.2</v>
      </c>
      <c r="B5890">
        <v>414.4</v>
      </c>
    </row>
    <row r="5891" spans="1:2">
      <c r="A5891">
        <v>356.2</v>
      </c>
      <c r="B5891">
        <v>413</v>
      </c>
    </row>
    <row r="5892" spans="1:2">
      <c r="A5892">
        <v>353.3</v>
      </c>
      <c r="B5892">
        <v>409.8</v>
      </c>
    </row>
    <row r="5893" spans="1:2">
      <c r="A5893">
        <v>354.9</v>
      </c>
      <c r="B5893">
        <v>407.8</v>
      </c>
    </row>
    <row r="5894" spans="1:2">
      <c r="A5894">
        <v>353.7</v>
      </c>
      <c r="B5894">
        <v>406.4</v>
      </c>
    </row>
    <row r="5895" spans="1:2">
      <c r="A5895">
        <v>356.5</v>
      </c>
      <c r="B5895">
        <v>404.8</v>
      </c>
    </row>
    <row r="5896" spans="1:2">
      <c r="A5896">
        <v>357.4</v>
      </c>
      <c r="B5896">
        <v>406.9</v>
      </c>
    </row>
    <row r="5897" spans="1:2">
      <c r="A5897">
        <v>361.1</v>
      </c>
      <c r="B5897">
        <v>407.3</v>
      </c>
    </row>
    <row r="5898" spans="1:2">
      <c r="A5898">
        <v>361.9</v>
      </c>
      <c r="B5898">
        <v>404.4</v>
      </c>
    </row>
    <row r="5899" spans="1:2">
      <c r="A5899">
        <v>359.9</v>
      </c>
      <c r="B5899">
        <v>402.6</v>
      </c>
    </row>
    <row r="5900" spans="1:2">
      <c r="A5900">
        <v>361.2</v>
      </c>
      <c r="B5900">
        <v>402.2</v>
      </c>
    </row>
    <row r="5901" spans="1:2">
      <c r="A5901">
        <v>361.2</v>
      </c>
      <c r="B5901">
        <v>399.1</v>
      </c>
    </row>
    <row r="5902" spans="1:2">
      <c r="A5902">
        <v>362.5</v>
      </c>
      <c r="B5902">
        <v>399.9</v>
      </c>
    </row>
    <row r="5903" spans="1:2">
      <c r="A5903">
        <v>361.7</v>
      </c>
      <c r="B5903">
        <v>389</v>
      </c>
    </row>
    <row r="5904" spans="1:2">
      <c r="A5904">
        <v>352.7</v>
      </c>
      <c r="B5904">
        <v>391.5</v>
      </c>
    </row>
    <row r="5905" spans="1:2">
      <c r="A5905">
        <v>349.8</v>
      </c>
      <c r="B5905">
        <v>391</v>
      </c>
    </row>
    <row r="5906" spans="1:2">
      <c r="A5906">
        <v>349.1</v>
      </c>
      <c r="B5906">
        <v>389.5</v>
      </c>
    </row>
    <row r="5907" spans="1:2">
      <c r="A5907">
        <v>345.8</v>
      </c>
      <c r="B5907">
        <v>396.7</v>
      </c>
    </row>
    <row r="5908" spans="1:2">
      <c r="A5908">
        <v>341.8</v>
      </c>
      <c r="B5908">
        <v>396.3</v>
      </c>
    </row>
    <row r="5909" spans="1:2">
      <c r="A5909">
        <v>339.1</v>
      </c>
      <c r="B5909">
        <v>397.7</v>
      </c>
    </row>
    <row r="5910" spans="1:2">
      <c r="A5910">
        <v>339.6</v>
      </c>
      <c r="B5910">
        <v>403.9</v>
      </c>
    </row>
    <row r="5911" spans="1:2">
      <c r="A5911">
        <v>334.6</v>
      </c>
      <c r="B5911">
        <v>408.5</v>
      </c>
    </row>
    <row r="5912" spans="1:2">
      <c r="A5912">
        <v>336.2</v>
      </c>
      <c r="B5912">
        <v>414</v>
      </c>
    </row>
    <row r="5913" spans="1:2">
      <c r="A5913">
        <v>342.6</v>
      </c>
      <c r="B5913">
        <v>420.4</v>
      </c>
    </row>
    <row r="5914" spans="1:2">
      <c r="A5914">
        <v>346</v>
      </c>
      <c r="B5914">
        <v>421.6</v>
      </c>
    </row>
    <row r="5915" spans="1:2">
      <c r="A5915">
        <v>347.2</v>
      </c>
      <c r="B5915">
        <v>425.5</v>
      </c>
    </row>
    <row r="5916" spans="1:2">
      <c r="A5916">
        <v>350.7</v>
      </c>
      <c r="B5916">
        <v>427.5</v>
      </c>
    </row>
    <row r="5917" spans="1:2">
      <c r="A5917">
        <v>352.9</v>
      </c>
      <c r="B5917">
        <v>426.2</v>
      </c>
    </row>
    <row r="5918" spans="1:2">
      <c r="A5918">
        <v>355.1</v>
      </c>
      <c r="B5918">
        <v>428.4</v>
      </c>
    </row>
    <row r="5920" spans="1:2">
      <c r="A5920">
        <v>378.5</v>
      </c>
      <c r="B5920">
        <v>333.2</v>
      </c>
    </row>
    <row r="5921" spans="1:2">
      <c r="A5921">
        <v>382.3</v>
      </c>
      <c r="B5921">
        <v>331.1</v>
      </c>
    </row>
    <row r="5922" spans="1:2">
      <c r="A5922">
        <v>384.5</v>
      </c>
      <c r="B5922">
        <v>331.8</v>
      </c>
    </row>
    <row r="5923" spans="1:2">
      <c r="A5923">
        <v>388.9</v>
      </c>
      <c r="B5923">
        <v>330.5</v>
      </c>
    </row>
    <row r="5924" spans="1:2">
      <c r="A5924">
        <v>391.2</v>
      </c>
      <c r="B5924">
        <v>326.10000000000002</v>
      </c>
    </row>
    <row r="5925" spans="1:2">
      <c r="A5925">
        <v>394.1</v>
      </c>
      <c r="B5925">
        <v>326.3</v>
      </c>
    </row>
    <row r="5926" spans="1:2">
      <c r="A5926">
        <v>393.3</v>
      </c>
      <c r="B5926">
        <v>324.10000000000002</v>
      </c>
    </row>
    <row r="5927" spans="1:2">
      <c r="A5927">
        <v>398.2</v>
      </c>
      <c r="B5927">
        <v>319.60000000000002</v>
      </c>
    </row>
    <row r="5928" spans="1:2">
      <c r="A5928">
        <v>396.7</v>
      </c>
      <c r="B5928">
        <v>317.39999999999998</v>
      </c>
    </row>
    <row r="5929" spans="1:2">
      <c r="A5929">
        <v>397.6</v>
      </c>
      <c r="B5929">
        <v>314.8</v>
      </c>
    </row>
    <row r="5930" spans="1:2">
      <c r="A5930">
        <v>394.7</v>
      </c>
      <c r="B5930">
        <v>314.3</v>
      </c>
    </row>
    <row r="5931" spans="1:2">
      <c r="A5931">
        <v>396.7</v>
      </c>
      <c r="B5931">
        <v>305.8</v>
      </c>
    </row>
    <row r="5932" spans="1:2">
      <c r="A5932">
        <v>395.1</v>
      </c>
      <c r="B5932">
        <v>304.7</v>
      </c>
    </row>
    <row r="5933" spans="1:2">
      <c r="A5933">
        <v>393.6</v>
      </c>
      <c r="B5933">
        <v>307</v>
      </c>
    </row>
    <row r="5934" spans="1:2">
      <c r="A5934">
        <v>390.7</v>
      </c>
      <c r="B5934">
        <v>307.3</v>
      </c>
    </row>
    <row r="5935" spans="1:2">
      <c r="A5935">
        <v>387.4</v>
      </c>
      <c r="B5935">
        <v>303.39999999999998</v>
      </c>
    </row>
    <row r="5936" spans="1:2">
      <c r="A5936">
        <v>387.9</v>
      </c>
      <c r="B5936">
        <v>299.7</v>
      </c>
    </row>
    <row r="5937" spans="1:2">
      <c r="A5937">
        <v>386.3</v>
      </c>
      <c r="B5937">
        <v>297</v>
      </c>
    </row>
    <row r="5938" spans="1:2">
      <c r="A5938">
        <v>383.3</v>
      </c>
      <c r="B5938">
        <v>295.60000000000002</v>
      </c>
    </row>
    <row r="5939" spans="1:2">
      <c r="A5939">
        <v>381.8</v>
      </c>
      <c r="B5939">
        <v>296.60000000000002</v>
      </c>
    </row>
    <row r="5940" spans="1:2">
      <c r="A5940">
        <v>377.1</v>
      </c>
      <c r="B5940">
        <v>295.39999999999998</v>
      </c>
    </row>
    <row r="5941" spans="1:2">
      <c r="A5941">
        <v>374.8</v>
      </c>
      <c r="B5941">
        <v>296.7</v>
      </c>
    </row>
    <row r="5942" spans="1:2">
      <c r="A5942">
        <v>372.7</v>
      </c>
      <c r="B5942">
        <v>300.39999999999998</v>
      </c>
    </row>
    <row r="5943" spans="1:2">
      <c r="A5943">
        <v>374</v>
      </c>
      <c r="B5943">
        <v>301.60000000000002</v>
      </c>
    </row>
    <row r="5944" spans="1:2">
      <c r="A5944">
        <v>372.3</v>
      </c>
      <c r="B5944">
        <v>302.8</v>
      </c>
    </row>
    <row r="5945" spans="1:2">
      <c r="A5945">
        <v>372.7</v>
      </c>
      <c r="B5945">
        <v>308.7</v>
      </c>
    </row>
    <row r="5946" spans="1:2">
      <c r="A5946">
        <v>368.7</v>
      </c>
      <c r="B5946">
        <v>309.89999999999998</v>
      </c>
    </row>
    <row r="5947" spans="1:2">
      <c r="A5947">
        <v>366.3</v>
      </c>
      <c r="B5947">
        <v>312.39999999999998</v>
      </c>
    </row>
    <row r="5948" spans="1:2">
      <c r="A5948">
        <v>361.8</v>
      </c>
      <c r="B5948">
        <v>312.89999999999998</v>
      </c>
    </row>
    <row r="5949" spans="1:2">
      <c r="A5949">
        <v>358.2</v>
      </c>
      <c r="B5949">
        <v>315.60000000000002</v>
      </c>
    </row>
    <row r="5950" spans="1:2">
      <c r="A5950">
        <v>359.1</v>
      </c>
      <c r="B5950">
        <v>319.89999999999998</v>
      </c>
    </row>
    <row r="5951" spans="1:2">
      <c r="A5951">
        <v>362.7</v>
      </c>
      <c r="B5951">
        <v>325.5</v>
      </c>
    </row>
    <row r="5952" spans="1:2">
      <c r="A5952">
        <v>363.4</v>
      </c>
      <c r="B5952">
        <v>323.5</v>
      </c>
    </row>
    <row r="5953" spans="1:2">
      <c r="A5953">
        <v>364.4</v>
      </c>
      <c r="B5953">
        <v>324.5</v>
      </c>
    </row>
    <row r="5954" spans="1:2">
      <c r="A5954">
        <v>368.4</v>
      </c>
      <c r="B5954">
        <v>323.3</v>
      </c>
    </row>
    <row r="5955" spans="1:2">
      <c r="A5955">
        <v>372</v>
      </c>
      <c r="B5955">
        <v>326.39999999999998</v>
      </c>
    </row>
    <row r="5956" spans="1:2">
      <c r="A5956">
        <v>372.6</v>
      </c>
      <c r="B5956">
        <v>329.3</v>
      </c>
    </row>
    <row r="5957" spans="1:2">
      <c r="A5957">
        <v>375.5</v>
      </c>
      <c r="B5957">
        <v>329.2</v>
      </c>
    </row>
    <row r="5958" spans="1:2">
      <c r="A5958">
        <v>376</v>
      </c>
      <c r="B5958">
        <v>332.8</v>
      </c>
    </row>
    <row r="5959" spans="1:2">
      <c r="A5959">
        <v>378.5</v>
      </c>
      <c r="B5959">
        <v>333.2</v>
      </c>
    </row>
    <row r="5961" spans="1:2">
      <c r="A5961">
        <v>287.7</v>
      </c>
      <c r="B5961">
        <v>382.3</v>
      </c>
    </row>
    <row r="5962" spans="1:2">
      <c r="A5962">
        <v>291.60000000000002</v>
      </c>
      <c r="B5962">
        <v>377.6</v>
      </c>
    </row>
    <row r="5963" spans="1:2">
      <c r="A5963">
        <v>291.5</v>
      </c>
      <c r="B5963">
        <v>371.2</v>
      </c>
    </row>
    <row r="5964" spans="1:2">
      <c r="A5964">
        <v>295.5</v>
      </c>
      <c r="B5964">
        <v>369.1</v>
      </c>
    </row>
    <row r="5965" spans="1:2">
      <c r="A5965">
        <v>295.60000000000002</v>
      </c>
      <c r="B5965">
        <v>372.4</v>
      </c>
    </row>
    <row r="5966" spans="1:2">
      <c r="A5966">
        <v>302.2</v>
      </c>
      <c r="B5966">
        <v>372.7</v>
      </c>
    </row>
    <row r="5967" spans="1:2">
      <c r="A5967">
        <v>303.8</v>
      </c>
      <c r="B5967">
        <v>379.1</v>
      </c>
    </row>
    <row r="5968" spans="1:2">
      <c r="A5968">
        <v>306.7</v>
      </c>
      <c r="B5968">
        <v>379.3</v>
      </c>
    </row>
    <row r="5969" spans="1:2">
      <c r="A5969">
        <v>308</v>
      </c>
      <c r="B5969">
        <v>380.9</v>
      </c>
    </row>
    <row r="5970" spans="1:2">
      <c r="A5970">
        <v>313</v>
      </c>
      <c r="B5970">
        <v>378.2</v>
      </c>
    </row>
    <row r="5971" spans="1:2">
      <c r="A5971">
        <v>313.39999999999998</v>
      </c>
      <c r="B5971">
        <v>376.6</v>
      </c>
    </row>
    <row r="5972" spans="1:2">
      <c r="A5972">
        <v>316.7</v>
      </c>
      <c r="B5972">
        <v>375.9</v>
      </c>
    </row>
    <row r="5973" spans="1:2">
      <c r="A5973">
        <v>317</v>
      </c>
      <c r="B5973">
        <v>371.5</v>
      </c>
    </row>
    <row r="5974" spans="1:2">
      <c r="A5974">
        <v>320.89999999999998</v>
      </c>
      <c r="B5974">
        <v>371.6</v>
      </c>
    </row>
    <row r="5975" spans="1:2">
      <c r="A5975">
        <v>320.39999999999998</v>
      </c>
      <c r="B5975">
        <v>365.2</v>
      </c>
    </row>
    <row r="5976" spans="1:2">
      <c r="A5976">
        <v>325.8</v>
      </c>
      <c r="B5976">
        <v>361.7</v>
      </c>
    </row>
    <row r="5977" spans="1:2">
      <c r="A5977">
        <v>327.2</v>
      </c>
      <c r="B5977">
        <v>357.4</v>
      </c>
    </row>
    <row r="5978" spans="1:2">
      <c r="A5978">
        <v>324.39999999999998</v>
      </c>
      <c r="B5978">
        <v>352.7</v>
      </c>
    </row>
    <row r="5979" spans="1:2">
      <c r="A5979">
        <v>322.7</v>
      </c>
      <c r="B5979">
        <v>351.1</v>
      </c>
    </row>
    <row r="5980" spans="1:2">
      <c r="A5980">
        <v>319.60000000000002</v>
      </c>
      <c r="B5980">
        <v>352.5</v>
      </c>
    </row>
    <row r="5981" spans="1:2">
      <c r="A5981">
        <v>317.5</v>
      </c>
      <c r="B5981">
        <v>346.4</v>
      </c>
    </row>
    <row r="5982" spans="1:2">
      <c r="A5982">
        <v>311</v>
      </c>
      <c r="B5982">
        <v>345.6</v>
      </c>
    </row>
    <row r="5983" spans="1:2">
      <c r="A5983">
        <v>309.5</v>
      </c>
      <c r="B5983">
        <v>344.2</v>
      </c>
    </row>
    <row r="5984" spans="1:2">
      <c r="A5984">
        <v>309.39999999999998</v>
      </c>
      <c r="B5984">
        <v>341.2</v>
      </c>
    </row>
    <row r="5985" spans="1:2">
      <c r="A5985">
        <v>307.10000000000002</v>
      </c>
      <c r="B5985">
        <v>339.3</v>
      </c>
    </row>
    <row r="5986" spans="1:2">
      <c r="A5986">
        <v>306</v>
      </c>
      <c r="B5986">
        <v>340.9</v>
      </c>
    </row>
    <row r="5987" spans="1:2">
      <c r="A5987">
        <v>301.89999999999998</v>
      </c>
      <c r="B5987">
        <v>340.1</v>
      </c>
    </row>
    <row r="5988" spans="1:2">
      <c r="A5988">
        <v>298.39999999999998</v>
      </c>
      <c r="B5988">
        <v>343.1</v>
      </c>
    </row>
    <row r="5989" spans="1:2">
      <c r="A5989">
        <v>294</v>
      </c>
      <c r="B5989">
        <v>340.9</v>
      </c>
    </row>
    <row r="5990" spans="1:2">
      <c r="A5990">
        <v>289.5</v>
      </c>
      <c r="B5990">
        <v>344.5</v>
      </c>
    </row>
    <row r="5991" spans="1:2">
      <c r="A5991">
        <v>289.10000000000002</v>
      </c>
      <c r="B5991">
        <v>346.3</v>
      </c>
    </row>
    <row r="5992" spans="1:2">
      <c r="A5992">
        <v>287.2</v>
      </c>
      <c r="B5992">
        <v>343.3</v>
      </c>
    </row>
    <row r="5993" spans="1:2">
      <c r="A5993">
        <v>284.60000000000002</v>
      </c>
      <c r="B5993">
        <v>343.3</v>
      </c>
    </row>
    <row r="5994" spans="1:2">
      <c r="A5994">
        <v>283.60000000000002</v>
      </c>
      <c r="B5994">
        <v>347.2</v>
      </c>
    </row>
    <row r="5995" spans="1:2">
      <c r="A5995">
        <v>288</v>
      </c>
      <c r="B5995">
        <v>352.6</v>
      </c>
    </row>
    <row r="5996" spans="1:2">
      <c r="A5996">
        <v>285.5</v>
      </c>
      <c r="B5996">
        <v>356.2</v>
      </c>
    </row>
    <row r="5997" spans="1:2">
      <c r="A5997">
        <v>287.2</v>
      </c>
      <c r="B5997">
        <v>359.3</v>
      </c>
    </row>
    <row r="5998" spans="1:2">
      <c r="A5998">
        <v>286.7</v>
      </c>
      <c r="B5998">
        <v>366.5</v>
      </c>
    </row>
    <row r="5999" spans="1:2">
      <c r="A5999">
        <v>289.3</v>
      </c>
      <c r="B5999">
        <v>368.5</v>
      </c>
    </row>
    <row r="6000" spans="1:2">
      <c r="A6000">
        <v>285.3</v>
      </c>
      <c r="B6000">
        <v>375.1</v>
      </c>
    </row>
    <row r="6001" spans="1:2">
      <c r="A6001">
        <v>282.10000000000002</v>
      </c>
      <c r="B6001">
        <v>375.4</v>
      </c>
    </row>
    <row r="6002" spans="1:2">
      <c r="A6002">
        <v>279.7</v>
      </c>
      <c r="B6002">
        <v>378</v>
      </c>
    </row>
    <row r="6003" spans="1:2">
      <c r="A6003">
        <v>281.8</v>
      </c>
      <c r="B6003">
        <v>380</v>
      </c>
    </row>
    <row r="6004" spans="1:2">
      <c r="A6004">
        <v>285.10000000000002</v>
      </c>
      <c r="B6004">
        <v>380</v>
      </c>
    </row>
    <row r="6005" spans="1:2">
      <c r="A6005">
        <v>284.10000000000002</v>
      </c>
      <c r="B6005">
        <v>382.2</v>
      </c>
    </row>
    <row r="6006" spans="1:2">
      <c r="A6006">
        <v>286.60000000000002</v>
      </c>
      <c r="B6006">
        <v>384.6</v>
      </c>
    </row>
    <row r="6007" spans="1:2">
      <c r="A6007">
        <v>287.7</v>
      </c>
      <c r="B6007">
        <v>382.3</v>
      </c>
    </row>
    <row r="6009" spans="1:2">
      <c r="A6009">
        <v>320.2</v>
      </c>
      <c r="B6009">
        <v>407.2</v>
      </c>
    </row>
    <row r="6010" spans="1:2">
      <c r="A6010">
        <v>325.2</v>
      </c>
      <c r="B6010">
        <v>402</v>
      </c>
    </row>
    <row r="6011" spans="1:2">
      <c r="A6011">
        <v>330</v>
      </c>
      <c r="B6011">
        <v>399.9</v>
      </c>
    </row>
    <row r="6012" spans="1:2">
      <c r="A6012">
        <v>329.8</v>
      </c>
      <c r="B6012">
        <v>394.9</v>
      </c>
    </row>
    <row r="6013" spans="1:2">
      <c r="A6013">
        <v>326.60000000000002</v>
      </c>
      <c r="B6013">
        <v>393.2</v>
      </c>
    </row>
    <row r="6014" spans="1:2">
      <c r="A6014">
        <v>327</v>
      </c>
      <c r="B6014">
        <v>388.7</v>
      </c>
    </row>
    <row r="6015" spans="1:2">
      <c r="A6015">
        <v>325.5</v>
      </c>
      <c r="B6015">
        <v>387</v>
      </c>
    </row>
    <row r="6016" spans="1:2">
      <c r="A6016">
        <v>327.9</v>
      </c>
      <c r="B6016">
        <v>383.6</v>
      </c>
    </row>
    <row r="6017" spans="1:2">
      <c r="A6017">
        <v>326.39999999999998</v>
      </c>
      <c r="B6017">
        <v>383.1</v>
      </c>
    </row>
    <row r="6018" spans="1:2">
      <c r="A6018">
        <v>324.5</v>
      </c>
      <c r="B6018">
        <v>384.6</v>
      </c>
    </row>
    <row r="6019" spans="1:2">
      <c r="A6019">
        <v>324.39999999999998</v>
      </c>
      <c r="B6019">
        <v>382.7</v>
      </c>
    </row>
    <row r="6020" spans="1:2">
      <c r="A6020">
        <v>320.39999999999998</v>
      </c>
      <c r="B6020">
        <v>379.8</v>
      </c>
    </row>
    <row r="6021" spans="1:2">
      <c r="A6021">
        <v>323.39999999999998</v>
      </c>
      <c r="B6021">
        <v>376.2</v>
      </c>
    </row>
    <row r="6022" spans="1:2">
      <c r="A6022">
        <v>323.5</v>
      </c>
      <c r="B6022">
        <v>373.5</v>
      </c>
    </row>
    <row r="6023" spans="1:2">
      <c r="A6023">
        <v>320.7</v>
      </c>
      <c r="B6023">
        <v>373.3</v>
      </c>
    </row>
    <row r="6024" spans="1:2">
      <c r="A6024">
        <v>320.8</v>
      </c>
      <c r="B6024">
        <v>371.2</v>
      </c>
    </row>
    <row r="6025" spans="1:2">
      <c r="A6025">
        <v>317.60000000000002</v>
      </c>
      <c r="B6025">
        <v>371.2</v>
      </c>
    </row>
    <row r="6026" spans="1:2">
      <c r="A6026">
        <v>316.5</v>
      </c>
      <c r="B6026">
        <v>372</v>
      </c>
    </row>
    <row r="6027" spans="1:2">
      <c r="A6027">
        <v>316.7</v>
      </c>
      <c r="B6027">
        <v>375.9</v>
      </c>
    </row>
    <row r="6028" spans="1:2">
      <c r="A6028">
        <v>313.39999999999998</v>
      </c>
      <c r="B6028">
        <v>376.6</v>
      </c>
    </row>
    <row r="6029" spans="1:2">
      <c r="A6029">
        <v>313</v>
      </c>
      <c r="B6029">
        <v>378.2</v>
      </c>
    </row>
    <row r="6030" spans="1:2">
      <c r="A6030">
        <v>308</v>
      </c>
      <c r="B6030">
        <v>380.9</v>
      </c>
    </row>
    <row r="6031" spans="1:2">
      <c r="A6031">
        <v>306.7</v>
      </c>
      <c r="B6031">
        <v>379.3</v>
      </c>
    </row>
    <row r="6032" spans="1:2">
      <c r="A6032">
        <v>303.8</v>
      </c>
      <c r="B6032">
        <v>379.1</v>
      </c>
    </row>
    <row r="6033" spans="1:2">
      <c r="A6033">
        <v>302.2</v>
      </c>
      <c r="B6033">
        <v>372.7</v>
      </c>
    </row>
    <row r="6034" spans="1:2">
      <c r="A6034">
        <v>295.89999999999998</v>
      </c>
      <c r="B6034">
        <v>372.6</v>
      </c>
    </row>
    <row r="6035" spans="1:2">
      <c r="A6035">
        <v>295.5</v>
      </c>
      <c r="B6035">
        <v>369.1</v>
      </c>
    </row>
    <row r="6036" spans="1:2">
      <c r="A6036">
        <v>291.89999999999998</v>
      </c>
      <c r="B6036">
        <v>370.8</v>
      </c>
    </row>
    <row r="6037" spans="1:2">
      <c r="A6037">
        <v>290.8</v>
      </c>
      <c r="B6037">
        <v>379.9</v>
      </c>
    </row>
    <row r="6038" spans="1:2">
      <c r="A6038">
        <v>292.2</v>
      </c>
      <c r="B6038">
        <v>384.3</v>
      </c>
    </row>
    <row r="6039" spans="1:2">
      <c r="A6039">
        <v>289.89999999999998</v>
      </c>
      <c r="B6039">
        <v>387</v>
      </c>
    </row>
    <row r="6040" spans="1:2">
      <c r="A6040">
        <v>286.5</v>
      </c>
      <c r="B6040">
        <v>387.5</v>
      </c>
    </row>
    <row r="6041" spans="1:2">
      <c r="A6041">
        <v>288.2</v>
      </c>
      <c r="B6041">
        <v>388.8</v>
      </c>
    </row>
    <row r="6042" spans="1:2">
      <c r="A6042">
        <v>291.3</v>
      </c>
      <c r="B6042">
        <v>388.4</v>
      </c>
    </row>
    <row r="6043" spans="1:2">
      <c r="A6043">
        <v>294</v>
      </c>
      <c r="B6043">
        <v>393.4</v>
      </c>
    </row>
    <row r="6044" spans="1:2">
      <c r="A6044">
        <v>296.3</v>
      </c>
      <c r="B6044">
        <v>391.3</v>
      </c>
    </row>
    <row r="6045" spans="1:2">
      <c r="A6045">
        <v>298.8</v>
      </c>
      <c r="B6045">
        <v>392.6</v>
      </c>
    </row>
    <row r="6046" spans="1:2">
      <c r="A6046">
        <v>303.7</v>
      </c>
      <c r="B6046">
        <v>390.2</v>
      </c>
    </row>
    <row r="6047" spans="1:2">
      <c r="A6047">
        <v>300.3</v>
      </c>
      <c r="B6047">
        <v>394.5</v>
      </c>
    </row>
    <row r="6048" spans="1:2">
      <c r="A6048">
        <v>302.7</v>
      </c>
      <c r="B6048">
        <v>402</v>
      </c>
    </row>
    <row r="6049" spans="1:2">
      <c r="A6049">
        <v>305.7</v>
      </c>
      <c r="B6049">
        <v>399.8</v>
      </c>
    </row>
    <row r="6050" spans="1:2">
      <c r="A6050">
        <v>307.10000000000002</v>
      </c>
      <c r="B6050">
        <v>402.5</v>
      </c>
    </row>
    <row r="6051" spans="1:2">
      <c r="A6051">
        <v>309.89999999999998</v>
      </c>
      <c r="B6051">
        <v>403.8</v>
      </c>
    </row>
    <row r="6052" spans="1:2">
      <c r="A6052">
        <v>316.2</v>
      </c>
      <c r="B6052">
        <v>401.4</v>
      </c>
    </row>
    <row r="6053" spans="1:2">
      <c r="A6053">
        <v>316.10000000000002</v>
      </c>
      <c r="B6053">
        <v>405.5</v>
      </c>
    </row>
    <row r="6054" spans="1:2">
      <c r="A6054">
        <v>318.2</v>
      </c>
      <c r="B6054">
        <v>405.1</v>
      </c>
    </row>
    <row r="6055" spans="1:2">
      <c r="A6055">
        <v>318.60000000000002</v>
      </c>
      <c r="B6055">
        <v>408</v>
      </c>
    </row>
    <row r="6056" spans="1:2">
      <c r="A6056">
        <v>320.2</v>
      </c>
      <c r="B6056">
        <v>407.2</v>
      </c>
    </row>
    <row r="6058" spans="1:2">
      <c r="A6058">
        <v>362.9</v>
      </c>
      <c r="B6058">
        <v>312.7</v>
      </c>
    </row>
    <row r="6059" spans="1:2">
      <c r="A6059">
        <v>366.3</v>
      </c>
      <c r="B6059">
        <v>312.39999999999998</v>
      </c>
    </row>
    <row r="6060" spans="1:2">
      <c r="A6060">
        <v>368.7</v>
      </c>
      <c r="B6060">
        <v>309.89999999999998</v>
      </c>
    </row>
    <row r="6061" spans="1:2">
      <c r="A6061">
        <v>372.7</v>
      </c>
      <c r="B6061">
        <v>308.7</v>
      </c>
    </row>
    <row r="6062" spans="1:2">
      <c r="A6062">
        <v>372.3</v>
      </c>
      <c r="B6062">
        <v>302.8</v>
      </c>
    </row>
    <row r="6063" spans="1:2">
      <c r="A6063">
        <v>374</v>
      </c>
      <c r="B6063">
        <v>301.60000000000002</v>
      </c>
    </row>
    <row r="6064" spans="1:2">
      <c r="A6064">
        <v>372.7</v>
      </c>
      <c r="B6064">
        <v>300.39999999999998</v>
      </c>
    </row>
    <row r="6065" spans="1:2">
      <c r="A6065">
        <v>374.8</v>
      </c>
      <c r="B6065">
        <v>296.7</v>
      </c>
    </row>
    <row r="6066" spans="1:2">
      <c r="A6066">
        <v>377.1</v>
      </c>
      <c r="B6066">
        <v>295.39999999999998</v>
      </c>
    </row>
    <row r="6067" spans="1:2">
      <c r="A6067">
        <v>382.5</v>
      </c>
      <c r="B6067">
        <v>296</v>
      </c>
    </row>
    <row r="6068" spans="1:2">
      <c r="A6068">
        <v>379</v>
      </c>
      <c r="B6068">
        <v>287.60000000000002</v>
      </c>
    </row>
    <row r="6069" spans="1:2">
      <c r="A6069">
        <v>376.6</v>
      </c>
      <c r="B6069">
        <v>286.2</v>
      </c>
    </row>
    <row r="6070" spans="1:2">
      <c r="A6070">
        <v>375.8</v>
      </c>
      <c r="B6070">
        <v>288.10000000000002</v>
      </c>
    </row>
    <row r="6071" spans="1:2">
      <c r="A6071">
        <v>374.2</v>
      </c>
      <c r="B6071">
        <v>286.39999999999998</v>
      </c>
    </row>
    <row r="6072" spans="1:2">
      <c r="A6072">
        <v>372.3</v>
      </c>
      <c r="B6072">
        <v>287.39999999999998</v>
      </c>
    </row>
    <row r="6073" spans="1:2">
      <c r="A6073">
        <v>371.9</v>
      </c>
      <c r="B6073">
        <v>285.7</v>
      </c>
    </row>
    <row r="6074" spans="1:2">
      <c r="A6074">
        <v>366.6</v>
      </c>
      <c r="B6074">
        <v>285.89999999999998</v>
      </c>
    </row>
    <row r="6075" spans="1:2">
      <c r="A6075">
        <v>363.9</v>
      </c>
      <c r="B6075">
        <v>281.3</v>
      </c>
    </row>
    <row r="6076" spans="1:2">
      <c r="A6076">
        <v>358.2</v>
      </c>
      <c r="B6076">
        <v>285.89999999999998</v>
      </c>
    </row>
    <row r="6077" spans="1:2">
      <c r="A6077">
        <v>357.1</v>
      </c>
      <c r="B6077">
        <v>290.39999999999998</v>
      </c>
    </row>
    <row r="6078" spans="1:2">
      <c r="A6078">
        <v>360.3</v>
      </c>
      <c r="B6078">
        <v>292.8</v>
      </c>
    </row>
    <row r="6079" spans="1:2">
      <c r="A6079">
        <v>359.5</v>
      </c>
      <c r="B6079">
        <v>294.89999999999998</v>
      </c>
    </row>
    <row r="6080" spans="1:2">
      <c r="A6080">
        <v>360.9</v>
      </c>
      <c r="B6080">
        <v>295.89999999999998</v>
      </c>
    </row>
    <row r="6081" spans="1:2">
      <c r="A6081">
        <v>360.7</v>
      </c>
      <c r="B6081">
        <v>298.2</v>
      </c>
    </row>
    <row r="6082" spans="1:2">
      <c r="A6082">
        <v>362.1</v>
      </c>
      <c r="B6082">
        <v>297.60000000000002</v>
      </c>
    </row>
    <row r="6083" spans="1:2">
      <c r="A6083">
        <v>364</v>
      </c>
      <c r="B6083">
        <v>299.2</v>
      </c>
    </row>
    <row r="6084" spans="1:2">
      <c r="A6084">
        <v>364</v>
      </c>
      <c r="B6084">
        <v>303.60000000000002</v>
      </c>
    </row>
    <row r="6085" spans="1:2">
      <c r="A6085">
        <v>362</v>
      </c>
      <c r="B6085">
        <v>306</v>
      </c>
    </row>
    <row r="6086" spans="1:2">
      <c r="A6086">
        <v>362.8</v>
      </c>
      <c r="B6086">
        <v>310.7</v>
      </c>
    </row>
    <row r="6087" spans="1:2">
      <c r="A6087">
        <v>361.5</v>
      </c>
      <c r="B6087">
        <v>312.10000000000002</v>
      </c>
    </row>
    <row r="6088" spans="1:2">
      <c r="A6088">
        <v>362.9</v>
      </c>
      <c r="B6088">
        <v>312.7</v>
      </c>
    </row>
    <row r="6090" spans="1:2">
      <c r="A6090">
        <v>339.8</v>
      </c>
      <c r="B6090">
        <v>346.9</v>
      </c>
    </row>
    <row r="6091" spans="1:2">
      <c r="A6091">
        <v>345.2</v>
      </c>
      <c r="B6091">
        <v>345.2</v>
      </c>
    </row>
    <row r="6092" spans="1:2">
      <c r="A6092">
        <v>345.9</v>
      </c>
      <c r="B6092">
        <v>343.3</v>
      </c>
    </row>
    <row r="6093" spans="1:2">
      <c r="A6093">
        <v>349.5</v>
      </c>
      <c r="B6093">
        <v>343.7</v>
      </c>
    </row>
    <row r="6094" spans="1:2">
      <c r="A6094">
        <v>353.2</v>
      </c>
      <c r="B6094">
        <v>341.9</v>
      </c>
    </row>
    <row r="6095" spans="1:2">
      <c r="A6095">
        <v>353.5</v>
      </c>
      <c r="B6095">
        <v>336.1</v>
      </c>
    </row>
    <row r="6096" spans="1:2">
      <c r="A6096">
        <v>355.2</v>
      </c>
      <c r="B6096">
        <v>337.6</v>
      </c>
    </row>
    <row r="6097" spans="1:2">
      <c r="A6097">
        <v>356.3</v>
      </c>
      <c r="B6097">
        <v>336.2</v>
      </c>
    </row>
    <row r="6098" spans="1:2">
      <c r="A6098">
        <v>358.2</v>
      </c>
      <c r="B6098">
        <v>336.8</v>
      </c>
    </row>
    <row r="6099" spans="1:2">
      <c r="A6099">
        <v>359.1</v>
      </c>
      <c r="B6099">
        <v>335.2</v>
      </c>
    </row>
    <row r="6100" spans="1:2">
      <c r="A6100">
        <v>363.8</v>
      </c>
      <c r="B6100">
        <v>335.6</v>
      </c>
    </row>
    <row r="6101" spans="1:2">
      <c r="A6101">
        <v>367</v>
      </c>
      <c r="B6101">
        <v>334.3</v>
      </c>
    </row>
    <row r="6102" spans="1:2">
      <c r="A6102">
        <v>369.8</v>
      </c>
      <c r="B6102">
        <v>337.3</v>
      </c>
    </row>
    <row r="6103" spans="1:2">
      <c r="A6103">
        <v>373.7</v>
      </c>
      <c r="B6103">
        <v>335.8</v>
      </c>
    </row>
    <row r="6104" spans="1:2">
      <c r="A6104">
        <v>376.3</v>
      </c>
      <c r="B6104">
        <v>331.2</v>
      </c>
    </row>
    <row r="6105" spans="1:2">
      <c r="A6105">
        <v>375.5</v>
      </c>
      <c r="B6105">
        <v>329.2</v>
      </c>
    </row>
    <row r="6106" spans="1:2">
      <c r="A6106">
        <v>372.6</v>
      </c>
      <c r="B6106">
        <v>329.3</v>
      </c>
    </row>
    <row r="6107" spans="1:2">
      <c r="A6107">
        <v>372</v>
      </c>
      <c r="B6107">
        <v>326.39999999999998</v>
      </c>
    </row>
    <row r="6108" spans="1:2">
      <c r="A6108">
        <v>367.7</v>
      </c>
      <c r="B6108">
        <v>323</v>
      </c>
    </row>
    <row r="6109" spans="1:2">
      <c r="A6109">
        <v>364.5</v>
      </c>
      <c r="B6109">
        <v>324.5</v>
      </c>
    </row>
    <row r="6110" spans="1:2">
      <c r="A6110">
        <v>363.2</v>
      </c>
      <c r="B6110">
        <v>323.60000000000002</v>
      </c>
    </row>
    <row r="6111" spans="1:2">
      <c r="A6111">
        <v>362.7</v>
      </c>
      <c r="B6111">
        <v>325.5</v>
      </c>
    </row>
    <row r="6112" spans="1:2">
      <c r="A6112">
        <v>359.1</v>
      </c>
      <c r="B6112">
        <v>319.89999999999998</v>
      </c>
    </row>
    <row r="6113" spans="1:2">
      <c r="A6113">
        <v>358.4</v>
      </c>
      <c r="B6113">
        <v>315.39999999999998</v>
      </c>
    </row>
    <row r="6114" spans="1:2">
      <c r="A6114">
        <v>353.6</v>
      </c>
      <c r="B6114">
        <v>314.8</v>
      </c>
    </row>
    <row r="6115" spans="1:2">
      <c r="A6115">
        <v>351.9</v>
      </c>
      <c r="B6115">
        <v>316.39999999999998</v>
      </c>
    </row>
    <row r="6116" spans="1:2">
      <c r="A6116">
        <v>352.5</v>
      </c>
      <c r="B6116">
        <v>322.2</v>
      </c>
    </row>
    <row r="6117" spans="1:2">
      <c r="A6117">
        <v>347.3</v>
      </c>
      <c r="B6117">
        <v>320</v>
      </c>
    </row>
    <row r="6118" spans="1:2">
      <c r="A6118">
        <v>346.9</v>
      </c>
      <c r="B6118">
        <v>326.2</v>
      </c>
    </row>
    <row r="6119" spans="1:2">
      <c r="A6119">
        <v>344.8</v>
      </c>
      <c r="B6119">
        <v>331.1</v>
      </c>
    </row>
    <row r="6120" spans="1:2">
      <c r="A6120">
        <v>346.2</v>
      </c>
      <c r="B6120">
        <v>332.8</v>
      </c>
    </row>
    <row r="6121" spans="1:2">
      <c r="A6121">
        <v>343.2</v>
      </c>
      <c r="B6121">
        <v>335.4</v>
      </c>
    </row>
    <row r="6122" spans="1:2">
      <c r="A6122">
        <v>341.5</v>
      </c>
      <c r="B6122">
        <v>333.6</v>
      </c>
    </row>
    <row r="6123" spans="1:2">
      <c r="A6123">
        <v>339.9</v>
      </c>
      <c r="B6123">
        <v>338.9</v>
      </c>
    </row>
    <row r="6124" spans="1:2">
      <c r="A6124">
        <v>336.1</v>
      </c>
      <c r="B6124">
        <v>337.3</v>
      </c>
    </row>
    <row r="6125" spans="1:2">
      <c r="A6125">
        <v>334</v>
      </c>
      <c r="B6125">
        <v>340.2</v>
      </c>
    </row>
    <row r="6126" spans="1:2">
      <c r="A6126">
        <v>333.9</v>
      </c>
      <c r="B6126">
        <v>346</v>
      </c>
    </row>
    <row r="6127" spans="1:2">
      <c r="A6127">
        <v>337</v>
      </c>
      <c r="B6127">
        <v>349</v>
      </c>
    </row>
    <row r="6128" spans="1:2">
      <c r="A6128">
        <v>339.8</v>
      </c>
      <c r="B6128">
        <v>346.9</v>
      </c>
    </row>
    <row r="6130" spans="1:2">
      <c r="A6130">
        <v>330.3</v>
      </c>
      <c r="B6130">
        <v>368.1</v>
      </c>
    </row>
    <row r="6131" spans="1:2">
      <c r="A6131">
        <v>334.2</v>
      </c>
      <c r="B6131">
        <v>370.2</v>
      </c>
    </row>
    <row r="6132" spans="1:2">
      <c r="A6132">
        <v>337.8</v>
      </c>
      <c r="B6132">
        <v>366.7</v>
      </c>
    </row>
    <row r="6133" spans="1:2">
      <c r="A6133">
        <v>339.2</v>
      </c>
      <c r="B6133">
        <v>369.3</v>
      </c>
    </row>
    <row r="6134" spans="1:2">
      <c r="A6134">
        <v>340.8</v>
      </c>
      <c r="B6134">
        <v>369.5</v>
      </c>
    </row>
    <row r="6135" spans="1:2">
      <c r="A6135">
        <v>341.8</v>
      </c>
      <c r="B6135">
        <v>367.7</v>
      </c>
    </row>
    <row r="6136" spans="1:2">
      <c r="A6136">
        <v>345.7</v>
      </c>
      <c r="B6136">
        <v>366.5</v>
      </c>
    </row>
    <row r="6137" spans="1:2">
      <c r="A6137">
        <v>350.3</v>
      </c>
      <c r="B6137">
        <v>357.5</v>
      </c>
    </row>
    <row r="6138" spans="1:2">
      <c r="A6138">
        <v>352.6</v>
      </c>
      <c r="B6138">
        <v>359.8</v>
      </c>
    </row>
    <row r="6139" spans="1:2">
      <c r="A6139">
        <v>359.3</v>
      </c>
      <c r="B6139">
        <v>362.1</v>
      </c>
    </row>
    <row r="6140" spans="1:2">
      <c r="A6140">
        <v>359.6</v>
      </c>
      <c r="B6140">
        <v>365.2</v>
      </c>
    </row>
    <row r="6141" spans="1:2">
      <c r="A6141">
        <v>362.9</v>
      </c>
      <c r="B6141">
        <v>366.5</v>
      </c>
    </row>
    <row r="6142" spans="1:2">
      <c r="A6142">
        <v>370.2</v>
      </c>
      <c r="B6142">
        <v>362.6</v>
      </c>
    </row>
    <row r="6143" spans="1:2">
      <c r="A6143">
        <v>371.9</v>
      </c>
      <c r="B6143">
        <v>355.6</v>
      </c>
    </row>
    <row r="6144" spans="1:2">
      <c r="A6144">
        <v>374.3</v>
      </c>
      <c r="B6144">
        <v>354.3</v>
      </c>
    </row>
    <row r="6145" spans="1:2">
      <c r="A6145">
        <v>375.6</v>
      </c>
      <c r="B6145">
        <v>348.7</v>
      </c>
    </row>
    <row r="6146" spans="1:2">
      <c r="A6146">
        <v>374.3</v>
      </c>
      <c r="B6146">
        <v>343.3</v>
      </c>
    </row>
    <row r="6147" spans="1:2">
      <c r="A6147">
        <v>371.6</v>
      </c>
      <c r="B6147">
        <v>341.9</v>
      </c>
    </row>
    <row r="6148" spans="1:2">
      <c r="A6148">
        <v>374.7</v>
      </c>
      <c r="B6148">
        <v>341</v>
      </c>
    </row>
    <row r="6149" spans="1:2">
      <c r="A6149">
        <v>373.5</v>
      </c>
      <c r="B6149">
        <v>338.8</v>
      </c>
    </row>
    <row r="6150" spans="1:2">
      <c r="A6150">
        <v>375.8</v>
      </c>
      <c r="B6150">
        <v>335.7</v>
      </c>
    </row>
    <row r="6151" spans="1:2">
      <c r="A6151">
        <v>374.2</v>
      </c>
      <c r="B6151">
        <v>335.1</v>
      </c>
    </row>
    <row r="6152" spans="1:2">
      <c r="A6152">
        <v>369.8</v>
      </c>
      <c r="B6152">
        <v>337.3</v>
      </c>
    </row>
    <row r="6153" spans="1:2">
      <c r="A6153">
        <v>367</v>
      </c>
      <c r="B6153">
        <v>334.3</v>
      </c>
    </row>
    <row r="6154" spans="1:2">
      <c r="A6154">
        <v>363.8</v>
      </c>
      <c r="B6154">
        <v>335.6</v>
      </c>
    </row>
    <row r="6155" spans="1:2">
      <c r="A6155">
        <v>359.1</v>
      </c>
      <c r="B6155">
        <v>335.2</v>
      </c>
    </row>
    <row r="6156" spans="1:2">
      <c r="A6156">
        <v>358.2</v>
      </c>
      <c r="B6156">
        <v>336.8</v>
      </c>
    </row>
    <row r="6157" spans="1:2">
      <c r="A6157">
        <v>356.3</v>
      </c>
      <c r="B6157">
        <v>336.2</v>
      </c>
    </row>
    <row r="6158" spans="1:2">
      <c r="A6158">
        <v>355.2</v>
      </c>
      <c r="B6158">
        <v>337.6</v>
      </c>
    </row>
    <row r="6159" spans="1:2">
      <c r="A6159">
        <v>353.5</v>
      </c>
      <c r="B6159">
        <v>336.1</v>
      </c>
    </row>
    <row r="6160" spans="1:2">
      <c r="A6160">
        <v>353.6</v>
      </c>
      <c r="B6160">
        <v>341.5</v>
      </c>
    </row>
    <row r="6161" spans="1:2">
      <c r="A6161">
        <v>352.1</v>
      </c>
      <c r="B6161">
        <v>342.5</v>
      </c>
    </row>
    <row r="6162" spans="1:2">
      <c r="A6162">
        <v>345.9</v>
      </c>
      <c r="B6162">
        <v>343.3</v>
      </c>
    </row>
    <row r="6163" spans="1:2">
      <c r="A6163">
        <v>345.2</v>
      </c>
      <c r="B6163">
        <v>345.2</v>
      </c>
    </row>
    <row r="6164" spans="1:2">
      <c r="A6164">
        <v>337.2</v>
      </c>
      <c r="B6164">
        <v>349</v>
      </c>
    </row>
    <row r="6165" spans="1:2">
      <c r="A6165">
        <v>333.3</v>
      </c>
      <c r="B6165">
        <v>344.7</v>
      </c>
    </row>
    <row r="6166" spans="1:2">
      <c r="A6166">
        <v>329.1</v>
      </c>
      <c r="B6166">
        <v>350.5</v>
      </c>
    </row>
    <row r="6167" spans="1:2">
      <c r="A6167">
        <v>326.8</v>
      </c>
      <c r="B6167">
        <v>351.4</v>
      </c>
    </row>
    <row r="6168" spans="1:2">
      <c r="A6168">
        <v>324.2</v>
      </c>
      <c r="B6168">
        <v>349.5</v>
      </c>
    </row>
    <row r="6169" spans="1:2">
      <c r="A6169">
        <v>322.7</v>
      </c>
      <c r="B6169">
        <v>351.1</v>
      </c>
    </row>
    <row r="6170" spans="1:2">
      <c r="A6170">
        <v>327.2</v>
      </c>
      <c r="B6170">
        <v>357.4</v>
      </c>
    </row>
    <row r="6171" spans="1:2">
      <c r="A6171">
        <v>324.5</v>
      </c>
      <c r="B6171">
        <v>363.9</v>
      </c>
    </row>
    <row r="6172" spans="1:2">
      <c r="A6172">
        <v>327.10000000000002</v>
      </c>
      <c r="B6172">
        <v>366.6</v>
      </c>
    </row>
    <row r="6173" spans="1:2">
      <c r="A6173">
        <v>327.39999999999998</v>
      </c>
      <c r="B6173">
        <v>370.4</v>
      </c>
    </row>
    <row r="6174" spans="1:2">
      <c r="A6174">
        <v>329.6</v>
      </c>
      <c r="B6174">
        <v>370.9</v>
      </c>
    </row>
    <row r="6175" spans="1:2">
      <c r="A6175">
        <v>330.3</v>
      </c>
      <c r="B6175">
        <v>368.1</v>
      </c>
    </row>
    <row r="6177" spans="1:2">
      <c r="A6177">
        <v>386.4</v>
      </c>
      <c r="B6177">
        <v>377.3</v>
      </c>
    </row>
    <row r="6178" spans="1:2">
      <c r="A6178">
        <v>389</v>
      </c>
      <c r="B6178">
        <v>376.4</v>
      </c>
    </row>
    <row r="6179" spans="1:2">
      <c r="A6179">
        <v>390.9</v>
      </c>
      <c r="B6179">
        <v>372.3</v>
      </c>
    </row>
    <row r="6180" spans="1:2">
      <c r="A6180">
        <v>394.4</v>
      </c>
      <c r="B6180">
        <v>372.7</v>
      </c>
    </row>
    <row r="6181" spans="1:2">
      <c r="A6181">
        <v>396.2</v>
      </c>
      <c r="B6181">
        <v>371.4</v>
      </c>
    </row>
    <row r="6182" spans="1:2">
      <c r="A6182">
        <v>396.3</v>
      </c>
      <c r="B6182">
        <v>368.1</v>
      </c>
    </row>
    <row r="6183" spans="1:2">
      <c r="A6183">
        <v>398.3</v>
      </c>
      <c r="B6183">
        <v>367.8</v>
      </c>
    </row>
    <row r="6184" spans="1:2">
      <c r="A6184">
        <v>398</v>
      </c>
      <c r="B6184">
        <v>365.2</v>
      </c>
    </row>
    <row r="6185" spans="1:2">
      <c r="A6185">
        <v>399.9</v>
      </c>
      <c r="B6185">
        <v>360.8</v>
      </c>
    </row>
    <row r="6186" spans="1:2">
      <c r="A6186">
        <v>402.7</v>
      </c>
      <c r="B6186">
        <v>360</v>
      </c>
    </row>
    <row r="6187" spans="1:2">
      <c r="A6187">
        <v>404.9</v>
      </c>
      <c r="B6187">
        <v>356.7</v>
      </c>
    </row>
    <row r="6188" spans="1:2">
      <c r="A6188">
        <v>404.6</v>
      </c>
      <c r="B6188">
        <v>351.1</v>
      </c>
    </row>
    <row r="6189" spans="1:2">
      <c r="A6189">
        <v>406.5</v>
      </c>
      <c r="B6189">
        <v>351</v>
      </c>
    </row>
    <row r="6190" spans="1:2">
      <c r="A6190">
        <v>407.2</v>
      </c>
      <c r="B6190">
        <v>349.3</v>
      </c>
    </row>
    <row r="6191" spans="1:2">
      <c r="A6191">
        <v>400.6</v>
      </c>
      <c r="B6191">
        <v>338.3</v>
      </c>
    </row>
    <row r="6192" spans="1:2">
      <c r="A6192">
        <v>397.9</v>
      </c>
      <c r="B6192">
        <v>339.5</v>
      </c>
    </row>
    <row r="6193" spans="1:2">
      <c r="A6193">
        <v>396.6</v>
      </c>
      <c r="B6193">
        <v>342</v>
      </c>
    </row>
    <row r="6194" spans="1:2">
      <c r="A6194">
        <v>391.9</v>
      </c>
      <c r="B6194">
        <v>343.6</v>
      </c>
    </row>
    <row r="6195" spans="1:2">
      <c r="A6195">
        <v>389.6</v>
      </c>
      <c r="B6195">
        <v>342</v>
      </c>
    </row>
    <row r="6196" spans="1:2">
      <c r="A6196">
        <v>392.2</v>
      </c>
      <c r="B6196">
        <v>339.1</v>
      </c>
    </row>
    <row r="6197" spans="1:2">
      <c r="A6197">
        <v>390.7</v>
      </c>
      <c r="B6197">
        <v>337.4</v>
      </c>
    </row>
    <row r="6198" spans="1:2">
      <c r="A6198">
        <v>388.7</v>
      </c>
      <c r="B6198">
        <v>337.7</v>
      </c>
    </row>
    <row r="6199" spans="1:2">
      <c r="A6199">
        <v>387.3</v>
      </c>
      <c r="B6199">
        <v>333.4</v>
      </c>
    </row>
    <row r="6200" spans="1:2">
      <c r="A6200">
        <v>382.3</v>
      </c>
      <c r="B6200">
        <v>331.1</v>
      </c>
    </row>
    <row r="6201" spans="1:2">
      <c r="A6201">
        <v>378</v>
      </c>
      <c r="B6201">
        <v>333.6</v>
      </c>
    </row>
    <row r="6202" spans="1:2">
      <c r="A6202">
        <v>375.5</v>
      </c>
      <c r="B6202">
        <v>332.6</v>
      </c>
    </row>
    <row r="6203" spans="1:2">
      <c r="A6203">
        <v>374.6</v>
      </c>
      <c r="B6203">
        <v>334.2</v>
      </c>
    </row>
    <row r="6204" spans="1:2">
      <c r="A6204">
        <v>375.9</v>
      </c>
      <c r="B6204">
        <v>336.7</v>
      </c>
    </row>
    <row r="6205" spans="1:2">
      <c r="A6205">
        <v>373.5</v>
      </c>
      <c r="B6205">
        <v>338.8</v>
      </c>
    </row>
    <row r="6206" spans="1:2">
      <c r="A6206">
        <v>374.7</v>
      </c>
      <c r="B6206">
        <v>341</v>
      </c>
    </row>
    <row r="6207" spans="1:2">
      <c r="A6207">
        <v>371.6</v>
      </c>
      <c r="B6207">
        <v>341.9</v>
      </c>
    </row>
    <row r="6208" spans="1:2">
      <c r="A6208">
        <v>374.3</v>
      </c>
      <c r="B6208">
        <v>343.3</v>
      </c>
    </row>
    <row r="6209" spans="1:2">
      <c r="A6209">
        <v>374.5</v>
      </c>
      <c r="B6209">
        <v>345.7</v>
      </c>
    </row>
    <row r="6210" spans="1:2">
      <c r="A6210">
        <v>379</v>
      </c>
      <c r="B6210">
        <v>346.8</v>
      </c>
    </row>
    <row r="6211" spans="1:2">
      <c r="A6211">
        <v>381.7</v>
      </c>
      <c r="B6211">
        <v>350.3</v>
      </c>
    </row>
    <row r="6212" spans="1:2">
      <c r="A6212">
        <v>383.6</v>
      </c>
      <c r="B6212">
        <v>357.7</v>
      </c>
    </row>
    <row r="6213" spans="1:2">
      <c r="A6213">
        <v>382.2</v>
      </c>
      <c r="B6213">
        <v>363.6</v>
      </c>
    </row>
    <row r="6214" spans="1:2">
      <c r="A6214">
        <v>383.7</v>
      </c>
      <c r="B6214">
        <v>363.8</v>
      </c>
    </row>
    <row r="6215" spans="1:2">
      <c r="A6215">
        <v>382.8</v>
      </c>
      <c r="B6215">
        <v>366</v>
      </c>
    </row>
    <row r="6216" spans="1:2">
      <c r="A6216">
        <v>384.7</v>
      </c>
      <c r="B6216">
        <v>368.5</v>
      </c>
    </row>
    <row r="6217" spans="1:2">
      <c r="A6217">
        <v>382.8</v>
      </c>
      <c r="B6217">
        <v>372.5</v>
      </c>
    </row>
    <row r="6218" spans="1:2">
      <c r="A6218">
        <v>384.3</v>
      </c>
      <c r="B6218">
        <v>373</v>
      </c>
    </row>
    <row r="6219" spans="1:2">
      <c r="A6219">
        <v>383.2</v>
      </c>
      <c r="B6219">
        <v>374.8</v>
      </c>
    </row>
    <row r="6220" spans="1:2">
      <c r="A6220">
        <v>385</v>
      </c>
      <c r="B6220">
        <v>377.9</v>
      </c>
    </row>
    <row r="6221" spans="1:2">
      <c r="A6221">
        <v>386.4</v>
      </c>
      <c r="B6221">
        <v>377.3</v>
      </c>
    </row>
    <row r="6223" spans="1:2">
      <c r="A6223">
        <v>400.9</v>
      </c>
      <c r="B6223">
        <v>408.7</v>
      </c>
    </row>
    <row r="6224" spans="1:2">
      <c r="A6224">
        <v>403</v>
      </c>
      <c r="B6224">
        <v>406.2</v>
      </c>
    </row>
    <row r="6225" spans="1:2">
      <c r="A6225">
        <v>405.3</v>
      </c>
      <c r="B6225">
        <v>407</v>
      </c>
    </row>
    <row r="6226" spans="1:2">
      <c r="A6226">
        <v>406</v>
      </c>
      <c r="B6226">
        <v>405.8</v>
      </c>
    </row>
    <row r="6227" spans="1:2">
      <c r="A6227">
        <v>407.5</v>
      </c>
      <c r="B6227">
        <v>408.1</v>
      </c>
    </row>
    <row r="6228" spans="1:2">
      <c r="A6228">
        <v>409.5</v>
      </c>
      <c r="B6228">
        <v>408.2</v>
      </c>
    </row>
    <row r="6229" spans="1:2">
      <c r="A6229">
        <v>408.9</v>
      </c>
      <c r="B6229">
        <v>403.8</v>
      </c>
    </row>
    <row r="6230" spans="1:2">
      <c r="A6230">
        <v>410.3</v>
      </c>
      <c r="B6230">
        <v>403.7</v>
      </c>
    </row>
    <row r="6231" spans="1:2">
      <c r="A6231">
        <v>410.2</v>
      </c>
      <c r="B6231">
        <v>401.1</v>
      </c>
    </row>
    <row r="6232" spans="1:2">
      <c r="A6232">
        <v>412.5</v>
      </c>
      <c r="B6232">
        <v>398.1</v>
      </c>
    </row>
    <row r="6233" spans="1:2">
      <c r="A6233">
        <v>408.8</v>
      </c>
      <c r="B6233">
        <v>394.2</v>
      </c>
    </row>
    <row r="6234" spans="1:2">
      <c r="A6234">
        <v>408.8</v>
      </c>
      <c r="B6234">
        <v>392.1</v>
      </c>
    </row>
    <row r="6235" spans="1:2">
      <c r="A6235">
        <v>410.8</v>
      </c>
      <c r="B6235">
        <v>391.4</v>
      </c>
    </row>
    <row r="6236" spans="1:2">
      <c r="A6236">
        <v>409.4</v>
      </c>
      <c r="B6236">
        <v>387.4</v>
      </c>
    </row>
    <row r="6237" spans="1:2">
      <c r="A6237">
        <v>405.3</v>
      </c>
      <c r="B6237">
        <v>385.1</v>
      </c>
    </row>
    <row r="6238" spans="1:2">
      <c r="A6238">
        <v>405.9</v>
      </c>
      <c r="B6238">
        <v>381</v>
      </c>
    </row>
    <row r="6239" spans="1:2">
      <c r="A6239">
        <v>404</v>
      </c>
      <c r="B6239">
        <v>377.4</v>
      </c>
    </row>
    <row r="6240" spans="1:2">
      <c r="A6240">
        <v>406.6</v>
      </c>
      <c r="B6240">
        <v>374.6</v>
      </c>
    </row>
    <row r="6241" spans="1:2">
      <c r="A6241">
        <v>405.6</v>
      </c>
      <c r="B6241">
        <v>371.4</v>
      </c>
    </row>
    <row r="6242" spans="1:2">
      <c r="A6242">
        <v>406.7</v>
      </c>
      <c r="B6242">
        <v>368.8</v>
      </c>
    </row>
    <row r="6243" spans="1:2">
      <c r="A6243">
        <v>404.8</v>
      </c>
      <c r="B6243">
        <v>369.3</v>
      </c>
    </row>
    <row r="6244" spans="1:2">
      <c r="A6244">
        <v>404.6</v>
      </c>
      <c r="B6244">
        <v>366.5</v>
      </c>
    </row>
    <row r="6245" spans="1:2">
      <c r="A6245">
        <v>400.8</v>
      </c>
      <c r="B6245">
        <v>368.6</v>
      </c>
    </row>
    <row r="6246" spans="1:2">
      <c r="A6246">
        <v>396.6</v>
      </c>
      <c r="B6246">
        <v>367.8</v>
      </c>
    </row>
    <row r="6247" spans="1:2">
      <c r="A6247">
        <v>396.2</v>
      </c>
      <c r="B6247">
        <v>371.4</v>
      </c>
    </row>
    <row r="6248" spans="1:2">
      <c r="A6248">
        <v>394.4</v>
      </c>
      <c r="B6248">
        <v>372.7</v>
      </c>
    </row>
    <row r="6249" spans="1:2">
      <c r="A6249">
        <v>390.9</v>
      </c>
      <c r="B6249">
        <v>372.3</v>
      </c>
    </row>
    <row r="6250" spans="1:2">
      <c r="A6250">
        <v>389</v>
      </c>
      <c r="B6250">
        <v>376.4</v>
      </c>
    </row>
    <row r="6251" spans="1:2">
      <c r="A6251">
        <v>385</v>
      </c>
      <c r="B6251">
        <v>377.9</v>
      </c>
    </row>
    <row r="6252" spans="1:2">
      <c r="A6252">
        <v>384.2</v>
      </c>
      <c r="B6252">
        <v>381.1</v>
      </c>
    </row>
    <row r="6253" spans="1:2">
      <c r="A6253">
        <v>385</v>
      </c>
      <c r="B6253">
        <v>391.2</v>
      </c>
    </row>
    <row r="6254" spans="1:2">
      <c r="A6254">
        <v>383.7</v>
      </c>
      <c r="B6254">
        <v>397.2</v>
      </c>
    </row>
    <row r="6255" spans="1:2">
      <c r="A6255">
        <v>393.7</v>
      </c>
      <c r="B6255">
        <v>403.2</v>
      </c>
    </row>
    <row r="6256" spans="1:2">
      <c r="A6256">
        <v>396.9</v>
      </c>
      <c r="B6256">
        <v>408.1</v>
      </c>
    </row>
    <row r="6257" spans="1:2">
      <c r="A6257">
        <v>400.9</v>
      </c>
      <c r="B6257">
        <v>408.7</v>
      </c>
    </row>
    <row r="6259" spans="1:2">
      <c r="A6259">
        <v>409.1</v>
      </c>
      <c r="B6259">
        <v>386.2</v>
      </c>
    </row>
    <row r="6260" spans="1:2">
      <c r="A6260">
        <v>413.6</v>
      </c>
      <c r="B6260">
        <v>385.8</v>
      </c>
    </row>
    <row r="6261" spans="1:2">
      <c r="A6261">
        <v>416</v>
      </c>
      <c r="B6261">
        <v>384.1</v>
      </c>
    </row>
    <row r="6262" spans="1:2">
      <c r="A6262">
        <v>418.6</v>
      </c>
      <c r="B6262">
        <v>386</v>
      </c>
    </row>
    <row r="6263" spans="1:2">
      <c r="A6263">
        <v>422</v>
      </c>
      <c r="B6263">
        <v>383.3</v>
      </c>
    </row>
    <row r="6264" spans="1:2">
      <c r="A6264">
        <v>420.9</v>
      </c>
      <c r="B6264">
        <v>377.6</v>
      </c>
    </row>
    <row r="6265" spans="1:2">
      <c r="A6265">
        <v>424.7</v>
      </c>
      <c r="B6265">
        <v>368.6</v>
      </c>
    </row>
    <row r="6266" spans="1:2">
      <c r="A6266">
        <v>422.9</v>
      </c>
      <c r="B6266">
        <v>365.7</v>
      </c>
    </row>
    <row r="6267" spans="1:2">
      <c r="A6267">
        <v>422.6</v>
      </c>
      <c r="B6267">
        <v>357.9</v>
      </c>
    </row>
    <row r="6268" spans="1:2">
      <c r="A6268">
        <v>418.2</v>
      </c>
      <c r="B6268">
        <v>349.7</v>
      </c>
    </row>
    <row r="6269" spans="1:2">
      <c r="A6269">
        <v>417.7</v>
      </c>
      <c r="B6269">
        <v>342.6</v>
      </c>
    </row>
    <row r="6270" spans="1:2">
      <c r="A6270">
        <v>411.6</v>
      </c>
      <c r="B6270">
        <v>342.6</v>
      </c>
    </row>
    <row r="6271" spans="1:2">
      <c r="A6271">
        <v>410.5</v>
      </c>
      <c r="B6271">
        <v>343.9</v>
      </c>
    </row>
    <row r="6272" spans="1:2">
      <c r="A6272">
        <v>411.1</v>
      </c>
      <c r="B6272">
        <v>348.7</v>
      </c>
    </row>
    <row r="6273" spans="1:2">
      <c r="A6273">
        <v>410</v>
      </c>
      <c r="B6273">
        <v>349.7</v>
      </c>
    </row>
    <row r="6274" spans="1:2">
      <c r="A6274">
        <v>407</v>
      </c>
      <c r="B6274">
        <v>348.4</v>
      </c>
    </row>
    <row r="6275" spans="1:2">
      <c r="A6275">
        <v>407.2</v>
      </c>
      <c r="B6275">
        <v>350.3</v>
      </c>
    </row>
    <row r="6276" spans="1:2">
      <c r="A6276">
        <v>404.6</v>
      </c>
      <c r="B6276">
        <v>351.1</v>
      </c>
    </row>
    <row r="6277" spans="1:2">
      <c r="A6277">
        <v>404.9</v>
      </c>
      <c r="B6277">
        <v>356.7</v>
      </c>
    </row>
    <row r="6278" spans="1:2">
      <c r="A6278">
        <v>402.7</v>
      </c>
      <c r="B6278">
        <v>360</v>
      </c>
    </row>
    <row r="6279" spans="1:2">
      <c r="A6279">
        <v>400</v>
      </c>
      <c r="B6279">
        <v>360.6</v>
      </c>
    </row>
    <row r="6280" spans="1:2">
      <c r="A6280">
        <v>397.9</v>
      </c>
      <c r="B6280">
        <v>365.3</v>
      </c>
    </row>
    <row r="6281" spans="1:2">
      <c r="A6281">
        <v>399.1</v>
      </c>
      <c r="B6281">
        <v>368.2</v>
      </c>
    </row>
    <row r="6282" spans="1:2">
      <c r="A6282">
        <v>402.9</v>
      </c>
      <c r="B6282">
        <v>368</v>
      </c>
    </row>
    <row r="6283" spans="1:2">
      <c r="A6283">
        <v>404.6</v>
      </c>
      <c r="B6283">
        <v>366.5</v>
      </c>
    </row>
    <row r="6284" spans="1:2">
      <c r="A6284">
        <v>404.8</v>
      </c>
      <c r="B6284">
        <v>369.3</v>
      </c>
    </row>
    <row r="6285" spans="1:2">
      <c r="A6285">
        <v>406.7</v>
      </c>
      <c r="B6285">
        <v>368.8</v>
      </c>
    </row>
    <row r="6286" spans="1:2">
      <c r="A6286">
        <v>405.6</v>
      </c>
      <c r="B6286">
        <v>371.4</v>
      </c>
    </row>
    <row r="6287" spans="1:2">
      <c r="A6287">
        <v>406.6</v>
      </c>
      <c r="B6287">
        <v>374.6</v>
      </c>
    </row>
    <row r="6288" spans="1:2">
      <c r="A6288">
        <v>404</v>
      </c>
      <c r="B6288">
        <v>377.4</v>
      </c>
    </row>
    <row r="6289" spans="1:2">
      <c r="A6289">
        <v>405.9</v>
      </c>
      <c r="B6289">
        <v>381</v>
      </c>
    </row>
    <row r="6290" spans="1:2">
      <c r="A6290">
        <v>405.4</v>
      </c>
      <c r="B6290">
        <v>385.2</v>
      </c>
    </row>
    <row r="6291" spans="1:2">
      <c r="A6291">
        <v>409.1</v>
      </c>
      <c r="B6291">
        <v>386.2</v>
      </c>
    </row>
    <row r="6293" spans="1:2">
      <c r="A6293">
        <v>386.4</v>
      </c>
      <c r="B6293">
        <v>296.60000000000002</v>
      </c>
    </row>
    <row r="6294" spans="1:2">
      <c r="A6294">
        <v>384.2</v>
      </c>
      <c r="B6294">
        <v>292</v>
      </c>
    </row>
    <row r="6295" spans="1:2">
      <c r="A6295">
        <v>384.7</v>
      </c>
      <c r="B6295">
        <v>289.7</v>
      </c>
    </row>
    <row r="6296" spans="1:2">
      <c r="A6296">
        <v>382.8</v>
      </c>
      <c r="B6296">
        <v>289</v>
      </c>
    </row>
    <row r="6297" spans="1:2">
      <c r="A6297">
        <v>382.6</v>
      </c>
      <c r="B6297">
        <v>285.3</v>
      </c>
    </row>
    <row r="6298" spans="1:2">
      <c r="A6298">
        <v>385.3</v>
      </c>
      <c r="B6298">
        <v>280.60000000000002</v>
      </c>
    </row>
    <row r="6299" spans="1:2">
      <c r="A6299">
        <v>388.3</v>
      </c>
      <c r="B6299">
        <v>280.7</v>
      </c>
    </row>
    <row r="6300" spans="1:2">
      <c r="A6300">
        <v>389.1</v>
      </c>
      <c r="B6300">
        <v>275.89999999999998</v>
      </c>
    </row>
    <row r="6301" spans="1:2">
      <c r="A6301">
        <v>388.2</v>
      </c>
      <c r="B6301">
        <v>273.89999999999998</v>
      </c>
    </row>
    <row r="6302" spans="1:2">
      <c r="A6302">
        <v>386.8</v>
      </c>
      <c r="B6302">
        <v>274.2</v>
      </c>
    </row>
    <row r="6303" spans="1:2">
      <c r="A6303">
        <v>383.8</v>
      </c>
      <c r="B6303">
        <v>271.39999999999998</v>
      </c>
    </row>
    <row r="6304" spans="1:2">
      <c r="A6304">
        <v>379.9</v>
      </c>
      <c r="B6304">
        <v>274.2</v>
      </c>
    </row>
    <row r="6305" spans="1:2">
      <c r="A6305">
        <v>374.6</v>
      </c>
      <c r="B6305">
        <v>274.2</v>
      </c>
    </row>
    <row r="6306" spans="1:2">
      <c r="A6306">
        <v>371.4</v>
      </c>
      <c r="B6306">
        <v>269.3</v>
      </c>
    </row>
    <row r="6307" spans="1:2">
      <c r="A6307">
        <v>369.8</v>
      </c>
      <c r="B6307">
        <v>270</v>
      </c>
    </row>
    <row r="6308" spans="1:2">
      <c r="A6308">
        <v>366.4</v>
      </c>
      <c r="B6308">
        <v>266.89999999999998</v>
      </c>
    </row>
    <row r="6309" spans="1:2">
      <c r="A6309">
        <v>363.8</v>
      </c>
      <c r="B6309">
        <v>266.89999999999998</v>
      </c>
    </row>
    <row r="6310" spans="1:2">
      <c r="A6310">
        <v>354.9</v>
      </c>
      <c r="B6310">
        <v>270.2</v>
      </c>
    </row>
    <row r="6311" spans="1:2">
      <c r="A6311">
        <v>350.2</v>
      </c>
      <c r="B6311">
        <v>268.2</v>
      </c>
    </row>
    <row r="6312" spans="1:2">
      <c r="A6312">
        <v>344.5</v>
      </c>
      <c r="B6312">
        <v>273</v>
      </c>
    </row>
    <row r="6313" spans="1:2">
      <c r="A6313">
        <v>343.7</v>
      </c>
      <c r="B6313">
        <v>282.60000000000002</v>
      </c>
    </row>
    <row r="6314" spans="1:2">
      <c r="A6314">
        <v>346.9</v>
      </c>
      <c r="B6314">
        <v>285.2</v>
      </c>
    </row>
    <row r="6315" spans="1:2">
      <c r="A6315">
        <v>351.1</v>
      </c>
      <c r="B6315">
        <v>285.39999999999998</v>
      </c>
    </row>
    <row r="6316" spans="1:2">
      <c r="A6316">
        <v>352.1</v>
      </c>
      <c r="B6316">
        <v>281.5</v>
      </c>
    </row>
    <row r="6317" spans="1:2">
      <c r="A6317">
        <v>357.3</v>
      </c>
      <c r="B6317">
        <v>283.5</v>
      </c>
    </row>
    <row r="6318" spans="1:2">
      <c r="A6318">
        <v>359</v>
      </c>
      <c r="B6318">
        <v>285.89999999999998</v>
      </c>
    </row>
    <row r="6319" spans="1:2">
      <c r="A6319">
        <v>360.1</v>
      </c>
      <c r="B6319">
        <v>283.5</v>
      </c>
    </row>
    <row r="6320" spans="1:2">
      <c r="A6320">
        <v>364.5</v>
      </c>
      <c r="B6320">
        <v>281.39999999999998</v>
      </c>
    </row>
    <row r="6321" spans="1:2">
      <c r="A6321">
        <v>366.6</v>
      </c>
      <c r="B6321">
        <v>285.89999999999998</v>
      </c>
    </row>
    <row r="6322" spans="1:2">
      <c r="A6322">
        <v>371.9</v>
      </c>
      <c r="B6322">
        <v>285.7</v>
      </c>
    </row>
    <row r="6323" spans="1:2">
      <c r="A6323">
        <v>372.3</v>
      </c>
      <c r="B6323">
        <v>287.39999999999998</v>
      </c>
    </row>
    <row r="6324" spans="1:2">
      <c r="A6324">
        <v>374.2</v>
      </c>
      <c r="B6324">
        <v>286.39999999999998</v>
      </c>
    </row>
    <row r="6325" spans="1:2">
      <c r="A6325">
        <v>375.8</v>
      </c>
      <c r="B6325">
        <v>288.10000000000002</v>
      </c>
    </row>
    <row r="6326" spans="1:2">
      <c r="A6326">
        <v>376.6</v>
      </c>
      <c r="B6326">
        <v>286.2</v>
      </c>
    </row>
    <row r="6327" spans="1:2">
      <c r="A6327">
        <v>379</v>
      </c>
      <c r="B6327">
        <v>287.60000000000002</v>
      </c>
    </row>
    <row r="6328" spans="1:2">
      <c r="A6328">
        <v>382</v>
      </c>
      <c r="B6328">
        <v>295.8</v>
      </c>
    </row>
    <row r="6329" spans="1:2">
      <c r="A6329">
        <v>386.4</v>
      </c>
      <c r="B6329">
        <v>296.60000000000002</v>
      </c>
    </row>
    <row r="6331" spans="1:2">
      <c r="A6331">
        <v>331.4</v>
      </c>
      <c r="B6331">
        <v>297.7</v>
      </c>
    </row>
    <row r="6332" spans="1:2">
      <c r="A6332">
        <v>336.9</v>
      </c>
      <c r="B6332">
        <v>297.10000000000002</v>
      </c>
    </row>
    <row r="6333" spans="1:2">
      <c r="A6333">
        <v>339.8</v>
      </c>
      <c r="B6333">
        <v>294.3</v>
      </c>
    </row>
    <row r="6334" spans="1:2">
      <c r="A6334">
        <v>338.7</v>
      </c>
      <c r="B6334">
        <v>292.7</v>
      </c>
    </row>
    <row r="6335" spans="1:2">
      <c r="A6335">
        <v>334.3</v>
      </c>
      <c r="B6335">
        <v>293</v>
      </c>
    </row>
    <row r="6336" spans="1:2">
      <c r="A6336">
        <v>331.1</v>
      </c>
      <c r="B6336">
        <v>287.7</v>
      </c>
    </row>
    <row r="6337" spans="1:2">
      <c r="A6337">
        <v>335.3</v>
      </c>
      <c r="B6337">
        <v>284</v>
      </c>
    </row>
    <row r="6338" spans="1:2">
      <c r="A6338">
        <v>335.3</v>
      </c>
      <c r="B6338">
        <v>281.7</v>
      </c>
    </row>
    <row r="6339" spans="1:2">
      <c r="A6339">
        <v>333.6</v>
      </c>
      <c r="B6339">
        <v>280.8</v>
      </c>
    </row>
    <row r="6340" spans="1:2">
      <c r="A6340">
        <v>328.3</v>
      </c>
      <c r="B6340">
        <v>281.60000000000002</v>
      </c>
    </row>
    <row r="6341" spans="1:2">
      <c r="A6341">
        <v>329.2</v>
      </c>
      <c r="B6341">
        <v>278.60000000000002</v>
      </c>
    </row>
    <row r="6342" spans="1:2">
      <c r="A6342">
        <v>332.5</v>
      </c>
      <c r="B6342">
        <v>275.3</v>
      </c>
    </row>
    <row r="6343" spans="1:2">
      <c r="A6343">
        <v>331.5</v>
      </c>
      <c r="B6343">
        <v>272.3</v>
      </c>
    </row>
    <row r="6344" spans="1:2">
      <c r="A6344">
        <v>329.4</v>
      </c>
      <c r="B6344">
        <v>271.8</v>
      </c>
    </row>
    <row r="6345" spans="1:2">
      <c r="A6345">
        <v>328.3</v>
      </c>
      <c r="B6345">
        <v>275.2</v>
      </c>
    </row>
    <row r="6346" spans="1:2">
      <c r="A6346">
        <v>324.3</v>
      </c>
      <c r="B6346">
        <v>276.39999999999998</v>
      </c>
    </row>
    <row r="6347" spans="1:2">
      <c r="A6347">
        <v>320.5</v>
      </c>
      <c r="B6347">
        <v>275</v>
      </c>
    </row>
    <row r="6348" spans="1:2">
      <c r="A6348">
        <v>318.7</v>
      </c>
      <c r="B6348">
        <v>276.39999999999998</v>
      </c>
    </row>
    <row r="6349" spans="1:2">
      <c r="A6349">
        <v>317.60000000000002</v>
      </c>
      <c r="B6349">
        <v>274.7</v>
      </c>
    </row>
    <row r="6350" spans="1:2">
      <c r="A6350">
        <v>313.7</v>
      </c>
      <c r="B6350">
        <v>276.60000000000002</v>
      </c>
    </row>
    <row r="6351" spans="1:2">
      <c r="A6351">
        <v>311.60000000000002</v>
      </c>
      <c r="B6351">
        <v>276.2</v>
      </c>
    </row>
    <row r="6352" spans="1:2">
      <c r="A6352">
        <v>311.8</v>
      </c>
      <c r="B6352">
        <v>278.3</v>
      </c>
    </row>
    <row r="6353" spans="1:2">
      <c r="A6353">
        <v>315.39999999999998</v>
      </c>
      <c r="B6353">
        <v>279.5</v>
      </c>
    </row>
    <row r="6354" spans="1:2">
      <c r="A6354">
        <v>314.8</v>
      </c>
      <c r="B6354">
        <v>285.10000000000002</v>
      </c>
    </row>
    <row r="6355" spans="1:2">
      <c r="A6355">
        <v>311.60000000000002</v>
      </c>
      <c r="B6355">
        <v>288.8</v>
      </c>
    </row>
    <row r="6356" spans="1:2">
      <c r="A6356">
        <v>313.10000000000002</v>
      </c>
      <c r="B6356">
        <v>290.7</v>
      </c>
    </row>
    <row r="6357" spans="1:2">
      <c r="A6357">
        <v>311.89999999999998</v>
      </c>
      <c r="B6357">
        <v>293.39999999999998</v>
      </c>
    </row>
    <row r="6358" spans="1:2">
      <c r="A6358">
        <v>315.8</v>
      </c>
      <c r="B6358">
        <v>293.7</v>
      </c>
    </row>
    <row r="6359" spans="1:2">
      <c r="A6359">
        <v>316.5</v>
      </c>
      <c r="B6359">
        <v>291.2</v>
      </c>
    </row>
    <row r="6360" spans="1:2">
      <c r="A6360">
        <v>319.5</v>
      </c>
      <c r="B6360">
        <v>289.89999999999998</v>
      </c>
    </row>
    <row r="6361" spans="1:2">
      <c r="A6361">
        <v>319.39999999999998</v>
      </c>
      <c r="B6361">
        <v>290.89999999999998</v>
      </c>
    </row>
    <row r="6362" spans="1:2">
      <c r="A6362">
        <v>321.2</v>
      </c>
      <c r="B6362">
        <v>291.10000000000002</v>
      </c>
    </row>
    <row r="6363" spans="1:2">
      <c r="A6363">
        <v>322.2</v>
      </c>
      <c r="B6363">
        <v>295</v>
      </c>
    </row>
    <row r="6364" spans="1:2">
      <c r="A6364">
        <v>329.5</v>
      </c>
      <c r="B6364">
        <v>291.3</v>
      </c>
    </row>
    <row r="6365" spans="1:2">
      <c r="A6365">
        <v>331.4</v>
      </c>
      <c r="B6365">
        <v>297.7</v>
      </c>
    </row>
    <row r="6367" spans="1:2">
      <c r="A6367">
        <v>318.60000000000002</v>
      </c>
      <c r="B6367">
        <v>318.89999999999998</v>
      </c>
    </row>
    <row r="6368" spans="1:2">
      <c r="A6368">
        <v>322.89999999999998</v>
      </c>
      <c r="B6368">
        <v>318.39999999999998</v>
      </c>
    </row>
    <row r="6369" spans="1:2">
      <c r="A6369">
        <v>327.9</v>
      </c>
      <c r="B6369">
        <v>308.8</v>
      </c>
    </row>
    <row r="6370" spans="1:2">
      <c r="A6370">
        <v>332.1</v>
      </c>
      <c r="B6370">
        <v>307.3</v>
      </c>
    </row>
    <row r="6371" spans="1:2">
      <c r="A6371">
        <v>331.9</v>
      </c>
      <c r="B6371">
        <v>296.2</v>
      </c>
    </row>
    <row r="6372" spans="1:2">
      <c r="A6372">
        <v>330.2</v>
      </c>
      <c r="B6372">
        <v>295.8</v>
      </c>
    </row>
    <row r="6373" spans="1:2">
      <c r="A6373">
        <v>329.5</v>
      </c>
      <c r="B6373">
        <v>291.3</v>
      </c>
    </row>
    <row r="6374" spans="1:2">
      <c r="A6374">
        <v>321.60000000000002</v>
      </c>
      <c r="B6374">
        <v>294.89999999999998</v>
      </c>
    </row>
    <row r="6375" spans="1:2">
      <c r="A6375">
        <v>321.39999999999998</v>
      </c>
      <c r="B6375">
        <v>291.60000000000002</v>
      </c>
    </row>
    <row r="6376" spans="1:2">
      <c r="A6376">
        <v>319.5</v>
      </c>
      <c r="B6376">
        <v>289.89999999999998</v>
      </c>
    </row>
    <row r="6377" spans="1:2">
      <c r="A6377">
        <v>316.5</v>
      </c>
      <c r="B6377">
        <v>291.2</v>
      </c>
    </row>
    <row r="6378" spans="1:2">
      <c r="A6378">
        <v>315.8</v>
      </c>
      <c r="B6378">
        <v>293.7</v>
      </c>
    </row>
    <row r="6379" spans="1:2">
      <c r="A6379">
        <v>312.3</v>
      </c>
      <c r="B6379">
        <v>293.7</v>
      </c>
    </row>
    <row r="6380" spans="1:2">
      <c r="A6380">
        <v>313.10000000000002</v>
      </c>
      <c r="B6380">
        <v>290.7</v>
      </c>
    </row>
    <row r="6381" spans="1:2">
      <c r="A6381">
        <v>311.8</v>
      </c>
      <c r="B6381">
        <v>289.60000000000002</v>
      </c>
    </row>
    <row r="6382" spans="1:2">
      <c r="A6382">
        <v>308.8</v>
      </c>
      <c r="B6382">
        <v>290.89999999999998</v>
      </c>
    </row>
    <row r="6383" spans="1:2">
      <c r="A6383">
        <v>308.3</v>
      </c>
      <c r="B6383">
        <v>294.39999999999998</v>
      </c>
    </row>
    <row r="6384" spans="1:2">
      <c r="A6384">
        <v>304.3</v>
      </c>
      <c r="B6384">
        <v>296.3</v>
      </c>
    </row>
    <row r="6385" spans="1:2">
      <c r="A6385">
        <v>305.10000000000002</v>
      </c>
      <c r="B6385">
        <v>299.89999999999998</v>
      </c>
    </row>
    <row r="6386" spans="1:2">
      <c r="A6386">
        <v>301.60000000000002</v>
      </c>
      <c r="B6386">
        <v>306.3</v>
      </c>
    </row>
    <row r="6387" spans="1:2">
      <c r="A6387">
        <v>302.39999999999998</v>
      </c>
      <c r="B6387">
        <v>307.39999999999998</v>
      </c>
    </row>
    <row r="6388" spans="1:2">
      <c r="A6388">
        <v>305.2</v>
      </c>
      <c r="B6388">
        <v>305.2</v>
      </c>
    </row>
    <row r="6389" spans="1:2">
      <c r="A6389">
        <v>305.5</v>
      </c>
      <c r="B6389">
        <v>308.3</v>
      </c>
    </row>
    <row r="6390" spans="1:2">
      <c r="A6390">
        <v>307.2</v>
      </c>
      <c r="B6390">
        <v>309.8</v>
      </c>
    </row>
    <row r="6391" spans="1:2">
      <c r="A6391">
        <v>310.7</v>
      </c>
      <c r="B6391">
        <v>310</v>
      </c>
    </row>
    <row r="6392" spans="1:2">
      <c r="A6392">
        <v>312.3</v>
      </c>
      <c r="B6392">
        <v>312.60000000000002</v>
      </c>
    </row>
    <row r="6393" spans="1:2">
      <c r="A6393">
        <v>311.89999999999998</v>
      </c>
      <c r="B6393">
        <v>317.2</v>
      </c>
    </row>
    <row r="6394" spans="1:2">
      <c r="A6394">
        <v>314.5</v>
      </c>
      <c r="B6394">
        <v>317.10000000000002</v>
      </c>
    </row>
    <row r="6395" spans="1:2">
      <c r="A6395">
        <v>314.5</v>
      </c>
      <c r="B6395">
        <v>318.5</v>
      </c>
    </row>
    <row r="6396" spans="1:2">
      <c r="A6396">
        <v>317</v>
      </c>
      <c r="B6396">
        <v>319.60000000000002</v>
      </c>
    </row>
    <row r="6397" spans="1:2">
      <c r="A6397">
        <v>318.60000000000002</v>
      </c>
      <c r="B6397">
        <v>318.89999999999998</v>
      </c>
    </row>
    <row r="6399" spans="1:2">
      <c r="A6399">
        <v>341.3</v>
      </c>
      <c r="B6399">
        <v>325.8</v>
      </c>
    </row>
    <row r="6400" spans="1:2">
      <c r="A6400">
        <v>347</v>
      </c>
      <c r="B6400">
        <v>325.5</v>
      </c>
    </row>
    <row r="6401" spans="1:2">
      <c r="A6401">
        <v>347.3</v>
      </c>
      <c r="B6401">
        <v>319.89999999999998</v>
      </c>
    </row>
    <row r="6402" spans="1:2">
      <c r="A6402">
        <v>352.7</v>
      </c>
      <c r="B6402">
        <v>322</v>
      </c>
    </row>
    <row r="6403" spans="1:2">
      <c r="A6403">
        <v>351.9</v>
      </c>
      <c r="B6403">
        <v>316.39999999999998</v>
      </c>
    </row>
    <row r="6404" spans="1:2">
      <c r="A6404">
        <v>353.6</v>
      </c>
      <c r="B6404">
        <v>314.8</v>
      </c>
    </row>
    <row r="6405" spans="1:2">
      <c r="A6405">
        <v>345.9</v>
      </c>
      <c r="B6405">
        <v>309.39999999999998</v>
      </c>
    </row>
    <row r="6406" spans="1:2">
      <c r="A6406">
        <v>343.8</v>
      </c>
      <c r="B6406">
        <v>311.5</v>
      </c>
    </row>
    <row r="6407" spans="1:2">
      <c r="A6407">
        <v>344.3</v>
      </c>
      <c r="B6407">
        <v>306.7</v>
      </c>
    </row>
    <row r="6408" spans="1:2">
      <c r="A6408">
        <v>341.4</v>
      </c>
      <c r="B6408">
        <v>301.39999999999998</v>
      </c>
    </row>
    <row r="6409" spans="1:2">
      <c r="A6409">
        <v>338.5</v>
      </c>
      <c r="B6409">
        <v>302.8</v>
      </c>
    </row>
    <row r="6410" spans="1:2">
      <c r="A6410">
        <v>339.2</v>
      </c>
      <c r="B6410">
        <v>306.60000000000002</v>
      </c>
    </row>
    <row r="6411" spans="1:2">
      <c r="A6411">
        <v>337.2</v>
      </c>
      <c r="B6411">
        <v>307.5</v>
      </c>
    </row>
    <row r="6412" spans="1:2">
      <c r="A6412">
        <v>332.4</v>
      </c>
      <c r="B6412">
        <v>302.7</v>
      </c>
    </row>
    <row r="6413" spans="1:2">
      <c r="A6413">
        <v>332.1</v>
      </c>
      <c r="B6413">
        <v>307.3</v>
      </c>
    </row>
    <row r="6414" spans="1:2">
      <c r="A6414">
        <v>329.8</v>
      </c>
      <c r="B6414">
        <v>307.39999999999998</v>
      </c>
    </row>
    <row r="6415" spans="1:2">
      <c r="A6415">
        <v>325.39999999999998</v>
      </c>
      <c r="B6415">
        <v>311.8</v>
      </c>
    </row>
    <row r="6416" spans="1:2">
      <c r="A6416">
        <v>325.3</v>
      </c>
      <c r="B6416">
        <v>315.7</v>
      </c>
    </row>
    <row r="6417" spans="1:2">
      <c r="A6417">
        <v>323</v>
      </c>
      <c r="B6417">
        <v>317.8</v>
      </c>
    </row>
    <row r="6418" spans="1:2">
      <c r="A6418">
        <v>323.8</v>
      </c>
      <c r="B6418">
        <v>320.39999999999998</v>
      </c>
    </row>
    <row r="6419" spans="1:2">
      <c r="A6419">
        <v>322.39999999999998</v>
      </c>
      <c r="B6419">
        <v>322.39999999999998</v>
      </c>
    </row>
    <row r="6420" spans="1:2">
      <c r="A6420">
        <v>326.39999999999998</v>
      </c>
      <c r="B6420">
        <v>323.5</v>
      </c>
    </row>
    <row r="6421" spans="1:2">
      <c r="A6421">
        <v>329.1</v>
      </c>
      <c r="B6421">
        <v>320.2</v>
      </c>
    </row>
    <row r="6422" spans="1:2">
      <c r="A6422">
        <v>332.9</v>
      </c>
      <c r="B6422">
        <v>323.60000000000002</v>
      </c>
    </row>
    <row r="6423" spans="1:2">
      <c r="A6423">
        <v>338</v>
      </c>
      <c r="B6423">
        <v>321.2</v>
      </c>
    </row>
    <row r="6424" spans="1:2">
      <c r="A6424">
        <v>340.5</v>
      </c>
      <c r="B6424">
        <v>327.10000000000002</v>
      </c>
    </row>
    <row r="6425" spans="1:2">
      <c r="A6425">
        <v>341.3</v>
      </c>
      <c r="B6425">
        <v>325.8</v>
      </c>
    </row>
    <row r="6427" spans="1:2">
      <c r="A6427">
        <v>337.5</v>
      </c>
      <c r="B6427">
        <v>405.2</v>
      </c>
    </row>
    <row r="6428" spans="1:2">
      <c r="A6428">
        <v>339.6</v>
      </c>
      <c r="B6428">
        <v>403.9</v>
      </c>
    </row>
    <row r="6429" spans="1:2">
      <c r="A6429">
        <v>339.1</v>
      </c>
      <c r="B6429">
        <v>397.7</v>
      </c>
    </row>
    <row r="6430" spans="1:2">
      <c r="A6430">
        <v>346.6</v>
      </c>
      <c r="B6430">
        <v>395.9</v>
      </c>
    </row>
    <row r="6431" spans="1:2">
      <c r="A6431">
        <v>349.2</v>
      </c>
      <c r="B6431">
        <v>389.2</v>
      </c>
    </row>
    <row r="6432" spans="1:2">
      <c r="A6432">
        <v>350.8</v>
      </c>
      <c r="B6432">
        <v>388.6</v>
      </c>
    </row>
    <row r="6433" spans="1:2">
      <c r="A6433">
        <v>350.4</v>
      </c>
      <c r="B6433">
        <v>384.2</v>
      </c>
    </row>
    <row r="6434" spans="1:2">
      <c r="A6434">
        <v>343.4</v>
      </c>
      <c r="B6434">
        <v>381.6</v>
      </c>
    </row>
    <row r="6435" spans="1:2">
      <c r="A6435">
        <v>343.8</v>
      </c>
      <c r="B6435">
        <v>378.7</v>
      </c>
    </row>
    <row r="6436" spans="1:2">
      <c r="A6436">
        <v>341</v>
      </c>
      <c r="B6436">
        <v>378.9</v>
      </c>
    </row>
    <row r="6437" spans="1:2">
      <c r="A6437">
        <v>340.6</v>
      </c>
      <c r="B6437">
        <v>375.3</v>
      </c>
    </row>
    <row r="6438" spans="1:2">
      <c r="A6438">
        <v>337.4</v>
      </c>
      <c r="B6438">
        <v>373.6</v>
      </c>
    </row>
    <row r="6439" spans="1:2">
      <c r="A6439">
        <v>338.2</v>
      </c>
      <c r="B6439">
        <v>371.9</v>
      </c>
    </row>
    <row r="6440" spans="1:2">
      <c r="A6440">
        <v>335.7</v>
      </c>
      <c r="B6440">
        <v>370.2</v>
      </c>
    </row>
    <row r="6441" spans="1:2">
      <c r="A6441">
        <v>330.4</v>
      </c>
      <c r="B6441">
        <v>368.1</v>
      </c>
    </row>
    <row r="6442" spans="1:2">
      <c r="A6442">
        <v>329.5</v>
      </c>
      <c r="B6442">
        <v>371</v>
      </c>
    </row>
    <row r="6443" spans="1:2">
      <c r="A6443">
        <v>327.39999999999998</v>
      </c>
      <c r="B6443">
        <v>370.4</v>
      </c>
    </row>
    <row r="6444" spans="1:2">
      <c r="A6444">
        <v>327.10000000000002</v>
      </c>
      <c r="B6444">
        <v>366.6</v>
      </c>
    </row>
    <row r="6445" spans="1:2">
      <c r="A6445">
        <v>324.5</v>
      </c>
      <c r="B6445">
        <v>362.8</v>
      </c>
    </row>
    <row r="6446" spans="1:2">
      <c r="A6446">
        <v>320.39999999999998</v>
      </c>
      <c r="B6446">
        <v>365.2</v>
      </c>
    </row>
    <row r="6447" spans="1:2">
      <c r="A6447">
        <v>320.5</v>
      </c>
      <c r="B6447">
        <v>373</v>
      </c>
    </row>
    <row r="6448" spans="1:2">
      <c r="A6448">
        <v>323.5</v>
      </c>
      <c r="B6448">
        <v>373.5</v>
      </c>
    </row>
    <row r="6449" spans="1:2">
      <c r="A6449">
        <v>323.39999999999998</v>
      </c>
      <c r="B6449">
        <v>376.2</v>
      </c>
    </row>
    <row r="6450" spans="1:2">
      <c r="A6450">
        <v>320.39999999999998</v>
      </c>
      <c r="B6450">
        <v>379.8</v>
      </c>
    </row>
    <row r="6451" spans="1:2">
      <c r="A6451">
        <v>324.39999999999998</v>
      </c>
      <c r="B6451">
        <v>382.7</v>
      </c>
    </row>
    <row r="6452" spans="1:2">
      <c r="A6452">
        <v>324.5</v>
      </c>
      <c r="B6452">
        <v>384.6</v>
      </c>
    </row>
    <row r="6453" spans="1:2">
      <c r="A6453">
        <v>326.39999999999998</v>
      </c>
      <c r="B6453">
        <v>383.1</v>
      </c>
    </row>
    <row r="6454" spans="1:2">
      <c r="A6454">
        <v>327.9</v>
      </c>
      <c r="B6454">
        <v>383.6</v>
      </c>
    </row>
    <row r="6455" spans="1:2">
      <c r="A6455">
        <v>325.5</v>
      </c>
      <c r="B6455">
        <v>387</v>
      </c>
    </row>
    <row r="6456" spans="1:2">
      <c r="A6456">
        <v>327</v>
      </c>
      <c r="B6456">
        <v>388.7</v>
      </c>
    </row>
    <row r="6457" spans="1:2">
      <c r="A6457">
        <v>326.60000000000002</v>
      </c>
      <c r="B6457">
        <v>393.2</v>
      </c>
    </row>
    <row r="6458" spans="1:2">
      <c r="A6458">
        <v>329.8</v>
      </c>
      <c r="B6458">
        <v>394.9</v>
      </c>
    </row>
    <row r="6459" spans="1:2">
      <c r="A6459">
        <v>329.7</v>
      </c>
      <c r="B6459">
        <v>400.4</v>
      </c>
    </row>
    <row r="6460" spans="1:2">
      <c r="A6460">
        <v>331</v>
      </c>
      <c r="B6460">
        <v>401.7</v>
      </c>
    </row>
    <row r="6461" spans="1:2">
      <c r="A6461">
        <v>334.4</v>
      </c>
      <c r="B6461">
        <v>401.5</v>
      </c>
    </row>
    <row r="6462" spans="1:2">
      <c r="A6462">
        <v>337.5</v>
      </c>
      <c r="B6462">
        <v>405.2</v>
      </c>
    </row>
    <row r="6464" spans="1:2">
      <c r="A6464">
        <v>393.5</v>
      </c>
      <c r="B6464">
        <v>432.6</v>
      </c>
    </row>
    <row r="6465" spans="1:2">
      <c r="A6465">
        <v>399.5</v>
      </c>
      <c r="B6465">
        <v>429.3</v>
      </c>
    </row>
    <row r="6466" spans="1:2">
      <c r="A6466">
        <v>401.2</v>
      </c>
      <c r="B6466">
        <v>426.8</v>
      </c>
    </row>
    <row r="6467" spans="1:2">
      <c r="A6467">
        <v>399.6</v>
      </c>
      <c r="B6467">
        <v>424.2</v>
      </c>
    </row>
    <row r="6468" spans="1:2">
      <c r="A6468">
        <v>396.6</v>
      </c>
      <c r="B6468">
        <v>425.5</v>
      </c>
    </row>
    <row r="6469" spans="1:2">
      <c r="A6469">
        <v>392.4</v>
      </c>
      <c r="B6469">
        <v>422.8</v>
      </c>
    </row>
    <row r="6470" spans="1:2">
      <c r="A6470">
        <v>393.3</v>
      </c>
      <c r="B6470">
        <v>419.1</v>
      </c>
    </row>
    <row r="6471" spans="1:2">
      <c r="A6471">
        <v>391.7</v>
      </c>
      <c r="B6471">
        <v>417</v>
      </c>
    </row>
    <row r="6472" spans="1:2">
      <c r="A6472">
        <v>397</v>
      </c>
      <c r="B6472">
        <v>413.9</v>
      </c>
    </row>
    <row r="6473" spans="1:2">
      <c r="A6473">
        <v>398.6</v>
      </c>
      <c r="B6473">
        <v>408.6</v>
      </c>
    </row>
    <row r="6474" spans="1:2">
      <c r="A6474">
        <v>396.9</v>
      </c>
      <c r="B6474">
        <v>408.1</v>
      </c>
    </row>
    <row r="6475" spans="1:2">
      <c r="A6475">
        <v>393.7</v>
      </c>
      <c r="B6475">
        <v>403.2</v>
      </c>
    </row>
    <row r="6476" spans="1:2">
      <c r="A6476">
        <v>383.7</v>
      </c>
      <c r="B6476">
        <v>397.2</v>
      </c>
    </row>
    <row r="6477" spans="1:2">
      <c r="A6477">
        <v>384.2</v>
      </c>
      <c r="B6477">
        <v>394.5</v>
      </c>
    </row>
    <row r="6478" spans="1:2">
      <c r="A6478">
        <v>381.9</v>
      </c>
      <c r="B6478">
        <v>395</v>
      </c>
    </row>
    <row r="6479" spans="1:2">
      <c r="A6479">
        <v>380.6</v>
      </c>
      <c r="B6479">
        <v>397.2</v>
      </c>
    </row>
    <row r="6480" spans="1:2">
      <c r="A6480">
        <v>375.4</v>
      </c>
      <c r="B6480">
        <v>397.2</v>
      </c>
    </row>
    <row r="6481" spans="1:2">
      <c r="A6481">
        <v>371</v>
      </c>
      <c r="B6481">
        <v>401.2</v>
      </c>
    </row>
    <row r="6482" spans="1:2">
      <c r="A6482">
        <v>369.4</v>
      </c>
      <c r="B6482">
        <v>401.3</v>
      </c>
    </row>
    <row r="6483" spans="1:2">
      <c r="A6483">
        <v>368.6</v>
      </c>
      <c r="B6483">
        <v>399.7</v>
      </c>
    </row>
    <row r="6484" spans="1:2">
      <c r="A6484">
        <v>367.8</v>
      </c>
      <c r="B6484">
        <v>402.7</v>
      </c>
    </row>
    <row r="6485" spans="1:2">
      <c r="A6485">
        <v>364.4</v>
      </c>
      <c r="B6485">
        <v>400.4</v>
      </c>
    </row>
    <row r="6486" spans="1:2">
      <c r="A6486">
        <v>363</v>
      </c>
      <c r="B6486">
        <v>401.2</v>
      </c>
    </row>
    <row r="6487" spans="1:2">
      <c r="A6487">
        <v>361.2</v>
      </c>
      <c r="B6487">
        <v>399.1</v>
      </c>
    </row>
    <row r="6488" spans="1:2">
      <c r="A6488">
        <v>361.2</v>
      </c>
      <c r="B6488">
        <v>402.2</v>
      </c>
    </row>
    <row r="6489" spans="1:2">
      <c r="A6489">
        <v>359.9</v>
      </c>
      <c r="B6489">
        <v>402.6</v>
      </c>
    </row>
    <row r="6490" spans="1:2">
      <c r="A6490">
        <v>361.9</v>
      </c>
      <c r="B6490">
        <v>404.4</v>
      </c>
    </row>
    <row r="6491" spans="1:2">
      <c r="A6491">
        <v>361.1</v>
      </c>
      <c r="B6491">
        <v>407.3</v>
      </c>
    </row>
    <row r="6492" spans="1:2">
      <c r="A6492">
        <v>357.4</v>
      </c>
      <c r="B6492">
        <v>406.9</v>
      </c>
    </row>
    <row r="6493" spans="1:2">
      <c r="A6493">
        <v>356.5</v>
      </c>
      <c r="B6493">
        <v>404.8</v>
      </c>
    </row>
    <row r="6494" spans="1:2">
      <c r="A6494">
        <v>353.8</v>
      </c>
      <c r="B6494">
        <v>406.1</v>
      </c>
    </row>
    <row r="6495" spans="1:2">
      <c r="A6495">
        <v>354.9</v>
      </c>
      <c r="B6495">
        <v>407.8</v>
      </c>
    </row>
    <row r="6496" spans="1:2">
      <c r="A6496">
        <v>353.3</v>
      </c>
      <c r="B6496">
        <v>409.8</v>
      </c>
    </row>
    <row r="6497" spans="1:2">
      <c r="A6497">
        <v>356.2</v>
      </c>
      <c r="B6497">
        <v>413</v>
      </c>
    </row>
    <row r="6498" spans="1:2">
      <c r="A6498">
        <v>355.2</v>
      </c>
      <c r="B6498">
        <v>414.4</v>
      </c>
    </row>
    <row r="6499" spans="1:2">
      <c r="A6499">
        <v>358.1</v>
      </c>
      <c r="B6499">
        <v>419</v>
      </c>
    </row>
    <row r="6500" spans="1:2">
      <c r="A6500">
        <v>358.9</v>
      </c>
      <c r="B6500">
        <v>425.2</v>
      </c>
    </row>
    <row r="6501" spans="1:2">
      <c r="A6501">
        <v>360.4</v>
      </c>
      <c r="B6501">
        <v>426.5</v>
      </c>
    </row>
    <row r="6502" spans="1:2">
      <c r="A6502">
        <v>363.5</v>
      </c>
      <c r="B6502">
        <v>424.8</v>
      </c>
    </row>
    <row r="6503" spans="1:2">
      <c r="A6503">
        <v>363.7</v>
      </c>
      <c r="B6503">
        <v>429.2</v>
      </c>
    </row>
    <row r="6504" spans="1:2">
      <c r="A6504">
        <v>364.5</v>
      </c>
      <c r="B6504">
        <v>428.7</v>
      </c>
    </row>
    <row r="6505" spans="1:2">
      <c r="A6505">
        <v>365.8</v>
      </c>
      <c r="B6505">
        <v>431.8</v>
      </c>
    </row>
    <row r="6506" spans="1:2">
      <c r="A6506">
        <v>370.1</v>
      </c>
      <c r="B6506">
        <v>430.3</v>
      </c>
    </row>
    <row r="6507" spans="1:2">
      <c r="A6507">
        <v>371.6</v>
      </c>
      <c r="B6507">
        <v>427.4</v>
      </c>
    </row>
    <row r="6508" spans="1:2">
      <c r="A6508">
        <v>375.9</v>
      </c>
      <c r="B6508">
        <v>426.6</v>
      </c>
    </row>
    <row r="6509" spans="1:2">
      <c r="A6509">
        <v>378.3</v>
      </c>
      <c r="B6509">
        <v>431.8</v>
      </c>
    </row>
    <row r="6510" spans="1:2">
      <c r="A6510">
        <v>390</v>
      </c>
      <c r="B6510">
        <v>428.8</v>
      </c>
    </row>
    <row r="6511" spans="1:2">
      <c r="A6511">
        <v>393.5</v>
      </c>
      <c r="B6511">
        <v>432.6</v>
      </c>
    </row>
    <row r="6513" spans="1:2">
      <c r="A6513">
        <v>422.2</v>
      </c>
      <c r="B6513">
        <v>427.6</v>
      </c>
    </row>
    <row r="6514" spans="1:2">
      <c r="A6514">
        <v>420.8</v>
      </c>
      <c r="B6514">
        <v>424.8</v>
      </c>
    </row>
    <row r="6515" spans="1:2">
      <c r="A6515">
        <v>421.3</v>
      </c>
      <c r="B6515">
        <v>409.9</v>
      </c>
    </row>
    <row r="6516" spans="1:2">
      <c r="A6516">
        <v>426.8</v>
      </c>
      <c r="B6516">
        <v>396.7</v>
      </c>
    </row>
    <row r="6517" spans="1:2">
      <c r="A6517">
        <v>426.6</v>
      </c>
      <c r="B6517">
        <v>389.1</v>
      </c>
    </row>
    <row r="6518" spans="1:2">
      <c r="A6518">
        <v>422</v>
      </c>
      <c r="B6518">
        <v>383.3</v>
      </c>
    </row>
    <row r="6519" spans="1:2">
      <c r="A6519">
        <v>418.6</v>
      </c>
      <c r="B6519">
        <v>386</v>
      </c>
    </row>
    <row r="6520" spans="1:2">
      <c r="A6520">
        <v>416</v>
      </c>
      <c r="B6520">
        <v>384.1</v>
      </c>
    </row>
    <row r="6521" spans="1:2">
      <c r="A6521">
        <v>408.5</v>
      </c>
      <c r="B6521">
        <v>386.5</v>
      </c>
    </row>
    <row r="6522" spans="1:2">
      <c r="A6522">
        <v>410.8</v>
      </c>
      <c r="B6522">
        <v>391.4</v>
      </c>
    </row>
    <row r="6523" spans="1:2">
      <c r="A6523">
        <v>408.8</v>
      </c>
      <c r="B6523">
        <v>392.1</v>
      </c>
    </row>
    <row r="6524" spans="1:2">
      <c r="A6524">
        <v>408.8</v>
      </c>
      <c r="B6524">
        <v>394.2</v>
      </c>
    </row>
    <row r="6525" spans="1:2">
      <c r="A6525">
        <v>412.5</v>
      </c>
      <c r="B6525">
        <v>398.1</v>
      </c>
    </row>
    <row r="6526" spans="1:2">
      <c r="A6526">
        <v>410.2</v>
      </c>
      <c r="B6526">
        <v>401.1</v>
      </c>
    </row>
    <row r="6527" spans="1:2">
      <c r="A6527">
        <v>410.3</v>
      </c>
      <c r="B6527">
        <v>403.7</v>
      </c>
    </row>
    <row r="6528" spans="1:2">
      <c r="A6528">
        <v>408.9</v>
      </c>
      <c r="B6528">
        <v>403.8</v>
      </c>
    </row>
    <row r="6529" spans="1:2">
      <c r="A6529">
        <v>409.5</v>
      </c>
      <c r="B6529">
        <v>408.2</v>
      </c>
    </row>
    <row r="6530" spans="1:2">
      <c r="A6530">
        <v>407.5</v>
      </c>
      <c r="B6530">
        <v>408.1</v>
      </c>
    </row>
    <row r="6531" spans="1:2">
      <c r="A6531">
        <v>406</v>
      </c>
      <c r="B6531">
        <v>405.8</v>
      </c>
    </row>
    <row r="6532" spans="1:2">
      <c r="A6532">
        <v>405.3</v>
      </c>
      <c r="B6532">
        <v>407</v>
      </c>
    </row>
    <row r="6533" spans="1:2">
      <c r="A6533">
        <v>403</v>
      </c>
      <c r="B6533">
        <v>406.2</v>
      </c>
    </row>
    <row r="6534" spans="1:2">
      <c r="A6534">
        <v>401.7</v>
      </c>
      <c r="B6534">
        <v>408.8</v>
      </c>
    </row>
    <row r="6535" spans="1:2">
      <c r="A6535">
        <v>398.9</v>
      </c>
      <c r="B6535">
        <v>408.3</v>
      </c>
    </row>
    <row r="6536" spans="1:2">
      <c r="A6536">
        <v>397</v>
      </c>
      <c r="B6536">
        <v>413.9</v>
      </c>
    </row>
    <row r="6537" spans="1:2">
      <c r="A6537">
        <v>391.7</v>
      </c>
      <c r="B6537">
        <v>417.2</v>
      </c>
    </row>
    <row r="6538" spans="1:2">
      <c r="A6538">
        <v>393.1</v>
      </c>
      <c r="B6538">
        <v>417.9</v>
      </c>
    </row>
    <row r="6539" spans="1:2">
      <c r="A6539">
        <v>393.1</v>
      </c>
      <c r="B6539">
        <v>423.4</v>
      </c>
    </row>
    <row r="6540" spans="1:2">
      <c r="A6540">
        <v>396.6</v>
      </c>
      <c r="B6540">
        <v>425.5</v>
      </c>
    </row>
    <row r="6541" spans="1:2">
      <c r="A6541">
        <v>399</v>
      </c>
      <c r="B6541">
        <v>423.9</v>
      </c>
    </row>
    <row r="6542" spans="1:2">
      <c r="A6542">
        <v>401.2</v>
      </c>
      <c r="B6542">
        <v>426.3</v>
      </c>
    </row>
    <row r="6543" spans="1:2">
      <c r="A6543">
        <v>405.8</v>
      </c>
      <c r="B6543">
        <v>426</v>
      </c>
    </row>
    <row r="6544" spans="1:2">
      <c r="A6544">
        <v>404.7</v>
      </c>
      <c r="B6544">
        <v>429.8</v>
      </c>
    </row>
    <row r="6545" spans="1:2">
      <c r="A6545">
        <v>408.8</v>
      </c>
      <c r="B6545">
        <v>434.5</v>
      </c>
    </row>
    <row r="6546" spans="1:2">
      <c r="A6546">
        <v>410.8</v>
      </c>
      <c r="B6546">
        <v>434.2</v>
      </c>
    </row>
    <row r="6547" spans="1:2">
      <c r="A6547">
        <v>414.7</v>
      </c>
      <c r="B6547">
        <v>437.7</v>
      </c>
    </row>
    <row r="6548" spans="1:2">
      <c r="A6548">
        <v>417.8</v>
      </c>
      <c r="B6548">
        <v>436.4</v>
      </c>
    </row>
    <row r="6549" spans="1:2">
      <c r="A6549">
        <v>418.2</v>
      </c>
      <c r="B6549">
        <v>432.5</v>
      </c>
    </row>
    <row r="6550" spans="1:2">
      <c r="A6550">
        <v>422.2</v>
      </c>
      <c r="B6550">
        <v>427.6</v>
      </c>
    </row>
    <row r="6552" spans="1:2">
      <c r="A6552">
        <v>552.29999999999995</v>
      </c>
      <c r="B6552">
        <v>480.4</v>
      </c>
    </row>
    <row r="6553" spans="1:2">
      <c r="A6553">
        <v>553.1</v>
      </c>
      <c r="B6553">
        <v>474.4</v>
      </c>
    </row>
    <row r="6554" spans="1:2">
      <c r="A6554">
        <v>549.1</v>
      </c>
      <c r="B6554">
        <v>470.9</v>
      </c>
    </row>
    <row r="6555" spans="1:2">
      <c r="A6555">
        <v>543.4</v>
      </c>
      <c r="B6555">
        <v>473.2</v>
      </c>
    </row>
    <row r="6556" spans="1:2">
      <c r="A6556">
        <v>541.9</v>
      </c>
      <c r="B6556">
        <v>478.4</v>
      </c>
    </row>
    <row r="6557" spans="1:2">
      <c r="A6557">
        <v>551.5</v>
      </c>
      <c r="B6557">
        <v>481.2</v>
      </c>
    </row>
    <row r="6558" spans="1:2">
      <c r="A6558">
        <v>552.29999999999995</v>
      </c>
      <c r="B6558">
        <v>480.4</v>
      </c>
    </row>
    <row r="6560" spans="1:2">
      <c r="A6560">
        <v>311.2</v>
      </c>
      <c r="B6560">
        <v>243.3</v>
      </c>
    </row>
    <row r="6561" spans="1:2">
      <c r="A6561">
        <v>313.10000000000002</v>
      </c>
      <c r="B6561">
        <v>240.2</v>
      </c>
    </row>
    <row r="6562" spans="1:2">
      <c r="A6562">
        <v>312.8</v>
      </c>
      <c r="B6562">
        <v>237.2</v>
      </c>
    </row>
    <row r="6563" spans="1:2">
      <c r="A6563">
        <v>314.5</v>
      </c>
      <c r="B6563">
        <v>233.2</v>
      </c>
    </row>
    <row r="6564" spans="1:2">
      <c r="A6564">
        <v>316</v>
      </c>
      <c r="B6564">
        <v>234.2</v>
      </c>
    </row>
    <row r="6565" spans="1:2">
      <c r="A6565">
        <v>323.2</v>
      </c>
      <c r="B6565">
        <v>232.9</v>
      </c>
    </row>
    <row r="6566" spans="1:2">
      <c r="A6566">
        <v>324.39999999999998</v>
      </c>
      <c r="B6566">
        <v>229.5</v>
      </c>
    </row>
    <row r="6567" spans="1:2">
      <c r="A6567">
        <v>326.3</v>
      </c>
      <c r="B6567">
        <v>227.9</v>
      </c>
    </row>
    <row r="6568" spans="1:2">
      <c r="A6568">
        <v>328.4</v>
      </c>
      <c r="B6568">
        <v>228.2</v>
      </c>
    </row>
    <row r="6569" spans="1:2">
      <c r="A6569">
        <v>329.7</v>
      </c>
      <c r="B6569">
        <v>226.2</v>
      </c>
    </row>
    <row r="6570" spans="1:2">
      <c r="A6570">
        <v>329.3</v>
      </c>
      <c r="B6570">
        <v>220.8</v>
      </c>
    </row>
    <row r="6571" spans="1:2">
      <c r="A6571">
        <v>328</v>
      </c>
      <c r="B6571">
        <v>219.2</v>
      </c>
    </row>
    <row r="6572" spans="1:2">
      <c r="A6572">
        <v>321.5</v>
      </c>
      <c r="B6572">
        <v>219.8</v>
      </c>
    </row>
    <row r="6573" spans="1:2">
      <c r="A6573">
        <v>316</v>
      </c>
      <c r="B6573">
        <v>217.9</v>
      </c>
    </row>
    <row r="6574" spans="1:2">
      <c r="A6574">
        <v>313.89999999999998</v>
      </c>
      <c r="B6574">
        <v>215.2</v>
      </c>
    </row>
    <row r="6575" spans="1:2">
      <c r="A6575">
        <v>316</v>
      </c>
      <c r="B6575">
        <v>213.4</v>
      </c>
    </row>
    <row r="6576" spans="1:2">
      <c r="A6576">
        <v>313.60000000000002</v>
      </c>
      <c r="B6576">
        <v>211</v>
      </c>
    </row>
    <row r="6577" spans="1:2">
      <c r="A6577">
        <v>310.5</v>
      </c>
      <c r="B6577">
        <v>213.6</v>
      </c>
    </row>
    <row r="6578" spans="1:2">
      <c r="A6578">
        <v>312.60000000000002</v>
      </c>
      <c r="B6578">
        <v>215.8</v>
      </c>
    </row>
    <row r="6579" spans="1:2">
      <c r="A6579">
        <v>310.39999999999998</v>
      </c>
      <c r="B6579">
        <v>217.9</v>
      </c>
    </row>
    <row r="6580" spans="1:2">
      <c r="A6580">
        <v>305.5</v>
      </c>
      <c r="B6580">
        <v>216.4</v>
      </c>
    </row>
    <row r="6581" spans="1:2">
      <c r="A6581">
        <v>305.2</v>
      </c>
      <c r="B6581">
        <v>218.3</v>
      </c>
    </row>
    <row r="6582" spans="1:2">
      <c r="A6582">
        <v>301.89999999999998</v>
      </c>
      <c r="B6582">
        <v>219.7</v>
      </c>
    </row>
    <row r="6583" spans="1:2">
      <c r="A6583">
        <v>297.7</v>
      </c>
      <c r="B6583">
        <v>217.9</v>
      </c>
    </row>
    <row r="6584" spans="1:2">
      <c r="A6584">
        <v>297.39999999999998</v>
      </c>
      <c r="B6584">
        <v>222.3</v>
      </c>
    </row>
    <row r="6585" spans="1:2">
      <c r="A6585">
        <v>292.10000000000002</v>
      </c>
      <c r="B6585">
        <v>222</v>
      </c>
    </row>
    <row r="6586" spans="1:2">
      <c r="A6586">
        <v>287.7</v>
      </c>
      <c r="B6586">
        <v>228.9</v>
      </c>
    </row>
    <row r="6587" spans="1:2">
      <c r="A6587">
        <v>287.89999999999998</v>
      </c>
      <c r="B6587">
        <v>230.1</v>
      </c>
    </row>
    <row r="6588" spans="1:2">
      <c r="A6588">
        <v>289.60000000000002</v>
      </c>
      <c r="B6588">
        <v>229.7</v>
      </c>
    </row>
    <row r="6589" spans="1:2">
      <c r="A6589">
        <v>290.60000000000002</v>
      </c>
      <c r="B6589">
        <v>232.8</v>
      </c>
    </row>
    <row r="6590" spans="1:2">
      <c r="A6590">
        <v>294.60000000000002</v>
      </c>
      <c r="B6590">
        <v>232.2</v>
      </c>
    </row>
    <row r="6591" spans="1:2">
      <c r="A6591">
        <v>296.3</v>
      </c>
      <c r="B6591">
        <v>236.5</v>
      </c>
    </row>
    <row r="6592" spans="1:2">
      <c r="A6592">
        <v>301.3</v>
      </c>
      <c r="B6592">
        <v>238.5</v>
      </c>
    </row>
    <row r="6593" spans="1:2">
      <c r="A6593">
        <v>302.60000000000002</v>
      </c>
      <c r="B6593">
        <v>241.6</v>
      </c>
    </row>
    <row r="6594" spans="1:2">
      <c r="A6594">
        <v>307.60000000000002</v>
      </c>
      <c r="B6594">
        <v>241.2</v>
      </c>
    </row>
    <row r="6595" spans="1:2">
      <c r="A6595">
        <v>311.2</v>
      </c>
      <c r="B6595">
        <v>243.3</v>
      </c>
    </row>
    <row r="6597" spans="1:2">
      <c r="A6597">
        <v>318.2</v>
      </c>
      <c r="B6597">
        <v>167.7</v>
      </c>
    </row>
    <row r="6598" spans="1:2">
      <c r="A6598">
        <v>321.60000000000002</v>
      </c>
      <c r="B6598">
        <v>166.5</v>
      </c>
    </row>
    <row r="6599" spans="1:2">
      <c r="A6599">
        <v>320.7</v>
      </c>
      <c r="B6599">
        <v>166</v>
      </c>
    </row>
    <row r="6600" spans="1:2">
      <c r="A6600">
        <v>321.5</v>
      </c>
      <c r="B6600">
        <v>164.9</v>
      </c>
    </row>
    <row r="6601" spans="1:2">
      <c r="A6601">
        <v>322.8</v>
      </c>
      <c r="B6601">
        <v>166.6</v>
      </c>
    </row>
    <row r="6602" spans="1:2">
      <c r="A6602">
        <v>323.39999999999998</v>
      </c>
      <c r="B6602">
        <v>165.6</v>
      </c>
    </row>
    <row r="6603" spans="1:2">
      <c r="A6603">
        <v>318.10000000000002</v>
      </c>
      <c r="B6603">
        <v>163.5</v>
      </c>
    </row>
    <row r="6604" spans="1:2">
      <c r="A6604">
        <v>318.3</v>
      </c>
      <c r="B6604">
        <v>166</v>
      </c>
    </row>
    <row r="6605" spans="1:2">
      <c r="A6605">
        <v>317.10000000000002</v>
      </c>
      <c r="B6605">
        <v>166.3</v>
      </c>
    </row>
    <row r="6606" spans="1:2">
      <c r="A6606">
        <v>318.2</v>
      </c>
      <c r="B6606">
        <v>167.7</v>
      </c>
    </row>
    <row r="6608" spans="1:2">
      <c r="A6608">
        <v>328.4</v>
      </c>
      <c r="B6608">
        <v>167.8</v>
      </c>
    </row>
    <row r="6609" spans="1:2">
      <c r="A6609">
        <v>330.6</v>
      </c>
      <c r="B6609">
        <v>167.1</v>
      </c>
    </row>
    <row r="6610" spans="1:2">
      <c r="A6610">
        <v>330.5</v>
      </c>
      <c r="B6610">
        <v>166</v>
      </c>
    </row>
    <row r="6611" spans="1:2">
      <c r="A6611">
        <v>327.8</v>
      </c>
      <c r="B6611">
        <v>166.7</v>
      </c>
    </row>
    <row r="6612" spans="1:2">
      <c r="A6612">
        <v>328.4</v>
      </c>
      <c r="B6612">
        <v>167.8</v>
      </c>
    </row>
    <row r="6614" spans="1:2">
      <c r="A6614">
        <v>313.3</v>
      </c>
      <c r="B6614">
        <v>174.1</v>
      </c>
    </row>
    <row r="6615" spans="1:2">
      <c r="A6615">
        <v>315.10000000000002</v>
      </c>
      <c r="B6615">
        <v>173.4</v>
      </c>
    </row>
    <row r="6616" spans="1:2">
      <c r="A6616">
        <v>314.60000000000002</v>
      </c>
      <c r="B6616">
        <v>171.5</v>
      </c>
    </row>
    <row r="6617" spans="1:2">
      <c r="A6617">
        <v>312.2</v>
      </c>
      <c r="B6617">
        <v>173.2</v>
      </c>
    </row>
    <row r="6618" spans="1:2">
      <c r="A6618">
        <v>313.3</v>
      </c>
      <c r="B6618">
        <v>174.1</v>
      </c>
    </row>
    <row r="6620" spans="1:2">
      <c r="A6620">
        <v>337.9</v>
      </c>
      <c r="B6620">
        <v>173.4</v>
      </c>
    </row>
    <row r="6621" spans="1:2">
      <c r="A6621">
        <v>336.7</v>
      </c>
      <c r="B6621">
        <v>174</v>
      </c>
    </row>
    <row r="6622" spans="1:2">
      <c r="A6622">
        <v>338.1</v>
      </c>
      <c r="B6622">
        <v>176.9</v>
      </c>
    </row>
    <row r="6623" spans="1:2">
      <c r="A6623">
        <v>337.9</v>
      </c>
      <c r="B6623">
        <v>173.4</v>
      </c>
    </row>
    <row r="6625" spans="1:2">
      <c r="A6625">
        <v>341.1</v>
      </c>
      <c r="B6625">
        <v>177.9</v>
      </c>
    </row>
    <row r="6626" spans="1:2">
      <c r="A6626">
        <v>342.1</v>
      </c>
      <c r="B6626">
        <v>176.6</v>
      </c>
    </row>
    <row r="6627" spans="1:2">
      <c r="A6627">
        <v>338.3</v>
      </c>
      <c r="B6627">
        <v>177.5</v>
      </c>
    </row>
    <row r="6628" spans="1:2">
      <c r="A6628">
        <v>341.1</v>
      </c>
      <c r="B6628">
        <v>177.9</v>
      </c>
    </row>
    <row r="6630" spans="1:2">
      <c r="A6630">
        <v>339.6</v>
      </c>
      <c r="B6630">
        <v>185.6</v>
      </c>
    </row>
    <row r="6631" spans="1:2">
      <c r="A6631">
        <v>340.7</v>
      </c>
      <c r="B6631">
        <v>182</v>
      </c>
    </row>
    <row r="6632" spans="1:2">
      <c r="A6632">
        <v>342.2</v>
      </c>
      <c r="B6632">
        <v>181.4</v>
      </c>
    </row>
    <row r="6633" spans="1:2">
      <c r="A6633">
        <v>340.4</v>
      </c>
      <c r="B6633">
        <v>179.3</v>
      </c>
    </row>
    <row r="6634" spans="1:2">
      <c r="A6634">
        <v>338.4</v>
      </c>
      <c r="B6634">
        <v>179.6</v>
      </c>
    </row>
    <row r="6635" spans="1:2">
      <c r="A6635">
        <v>337.7</v>
      </c>
      <c r="B6635">
        <v>182.4</v>
      </c>
    </row>
    <row r="6636" spans="1:2">
      <c r="A6636">
        <v>337.9</v>
      </c>
      <c r="B6636">
        <v>184.4</v>
      </c>
    </row>
    <row r="6637" spans="1:2">
      <c r="A6637">
        <v>338.3</v>
      </c>
      <c r="B6637">
        <v>182.5</v>
      </c>
    </row>
    <row r="6638" spans="1:2">
      <c r="A6638">
        <v>338.9</v>
      </c>
      <c r="B6638">
        <v>184.2</v>
      </c>
    </row>
    <row r="6639" spans="1:2">
      <c r="A6639">
        <v>339.9</v>
      </c>
      <c r="B6639">
        <v>183.7</v>
      </c>
    </row>
    <row r="6640" spans="1:2">
      <c r="A6640">
        <v>338.2</v>
      </c>
      <c r="B6640">
        <v>185.3</v>
      </c>
    </row>
    <row r="6641" spans="1:2">
      <c r="A6641">
        <v>339.6</v>
      </c>
      <c r="B6641">
        <v>185.6</v>
      </c>
    </row>
    <row r="6643" spans="1:2">
      <c r="A6643">
        <v>318.3</v>
      </c>
      <c r="B6643">
        <v>188</v>
      </c>
    </row>
    <row r="6644" spans="1:2">
      <c r="A6644">
        <v>320.8</v>
      </c>
      <c r="B6644">
        <v>185.5</v>
      </c>
    </row>
    <row r="6645" spans="1:2">
      <c r="A6645">
        <v>318.3</v>
      </c>
      <c r="B6645">
        <v>185.1</v>
      </c>
    </row>
    <row r="6646" spans="1:2">
      <c r="A6646">
        <v>318.7</v>
      </c>
      <c r="B6646">
        <v>183.3</v>
      </c>
    </row>
    <row r="6647" spans="1:2">
      <c r="A6647">
        <v>315</v>
      </c>
      <c r="B6647">
        <v>185.9</v>
      </c>
    </row>
    <row r="6648" spans="1:2">
      <c r="A6648">
        <v>316.60000000000002</v>
      </c>
      <c r="B6648">
        <v>188.1</v>
      </c>
    </row>
    <row r="6649" spans="1:2">
      <c r="A6649">
        <v>318.3</v>
      </c>
      <c r="B6649">
        <v>188</v>
      </c>
    </row>
    <row r="6651" spans="1:2">
      <c r="A6651">
        <v>328.6</v>
      </c>
      <c r="B6651">
        <v>188.1</v>
      </c>
    </row>
    <row r="6652" spans="1:2">
      <c r="A6652">
        <v>331.2</v>
      </c>
      <c r="B6652">
        <v>185.3</v>
      </c>
    </row>
    <row r="6653" spans="1:2">
      <c r="A6653">
        <v>331.1</v>
      </c>
      <c r="B6653">
        <v>187.1</v>
      </c>
    </row>
    <row r="6654" spans="1:2">
      <c r="A6654">
        <v>336.1</v>
      </c>
      <c r="B6654">
        <v>186.9</v>
      </c>
    </row>
    <row r="6655" spans="1:2">
      <c r="A6655">
        <v>336</v>
      </c>
      <c r="B6655">
        <v>183.3</v>
      </c>
    </row>
    <row r="6656" spans="1:2">
      <c r="A6656">
        <v>334.2</v>
      </c>
      <c r="B6656">
        <v>183</v>
      </c>
    </row>
    <row r="6657" spans="1:2">
      <c r="A6657">
        <v>335.6</v>
      </c>
      <c r="B6657">
        <v>181.8</v>
      </c>
    </row>
    <row r="6658" spans="1:2">
      <c r="A6658">
        <v>334.6</v>
      </c>
      <c r="B6658">
        <v>179.8</v>
      </c>
    </row>
    <row r="6659" spans="1:2">
      <c r="A6659">
        <v>332.3</v>
      </c>
      <c r="B6659">
        <v>180.1</v>
      </c>
    </row>
    <row r="6660" spans="1:2">
      <c r="A6660">
        <v>331.1</v>
      </c>
      <c r="B6660">
        <v>183.5</v>
      </c>
    </row>
    <row r="6661" spans="1:2">
      <c r="A6661">
        <v>329.3</v>
      </c>
      <c r="B6661">
        <v>183.5</v>
      </c>
    </row>
    <row r="6662" spans="1:2">
      <c r="A6662">
        <v>330.6</v>
      </c>
      <c r="B6662">
        <v>183.7</v>
      </c>
    </row>
    <row r="6663" spans="1:2">
      <c r="A6663">
        <v>330.7</v>
      </c>
      <c r="B6663">
        <v>185.5</v>
      </c>
    </row>
    <row r="6664" spans="1:2">
      <c r="A6664">
        <v>328.8</v>
      </c>
      <c r="B6664">
        <v>186.6</v>
      </c>
    </row>
    <row r="6665" spans="1:2">
      <c r="A6665">
        <v>326.8</v>
      </c>
      <c r="B6665">
        <v>185.8</v>
      </c>
    </row>
    <row r="6666" spans="1:2">
      <c r="A6666">
        <v>327.10000000000002</v>
      </c>
      <c r="B6666">
        <v>188.5</v>
      </c>
    </row>
    <row r="6667" spans="1:2">
      <c r="A6667">
        <v>327.60000000000002</v>
      </c>
      <c r="B6667">
        <v>187.3</v>
      </c>
    </row>
    <row r="6668" spans="1:2">
      <c r="A6668">
        <v>328.6</v>
      </c>
      <c r="B6668">
        <v>188.1</v>
      </c>
    </row>
    <row r="6670" spans="1:2">
      <c r="A6670">
        <v>315</v>
      </c>
      <c r="B6670">
        <v>190.3</v>
      </c>
    </row>
    <row r="6671" spans="1:2">
      <c r="A6671">
        <v>317.8</v>
      </c>
      <c r="B6671">
        <v>188.7</v>
      </c>
    </row>
    <row r="6672" spans="1:2">
      <c r="A6672">
        <v>313.39999999999998</v>
      </c>
      <c r="B6672">
        <v>186.8</v>
      </c>
    </row>
    <row r="6673" spans="1:2">
      <c r="A6673">
        <v>312.2</v>
      </c>
      <c r="B6673">
        <v>189.4</v>
      </c>
    </row>
    <row r="6674" spans="1:2">
      <c r="A6674">
        <v>315</v>
      </c>
      <c r="B6674">
        <v>190.3</v>
      </c>
    </row>
    <row r="6676" spans="1:2">
      <c r="A6676">
        <v>335.3</v>
      </c>
      <c r="B6676">
        <v>202.9</v>
      </c>
    </row>
    <row r="6677" spans="1:2">
      <c r="A6677">
        <v>336.3</v>
      </c>
      <c r="B6677">
        <v>202.1</v>
      </c>
    </row>
    <row r="6678" spans="1:2">
      <c r="A6678">
        <v>334.7</v>
      </c>
      <c r="B6678">
        <v>199.1</v>
      </c>
    </row>
    <row r="6679" spans="1:2">
      <c r="A6679">
        <v>335.7</v>
      </c>
      <c r="B6679">
        <v>198.1</v>
      </c>
    </row>
    <row r="6680" spans="1:2">
      <c r="A6680">
        <v>334.1</v>
      </c>
      <c r="B6680">
        <v>195.8</v>
      </c>
    </row>
    <row r="6681" spans="1:2">
      <c r="A6681">
        <v>334.4</v>
      </c>
      <c r="B6681">
        <v>191.8</v>
      </c>
    </row>
    <row r="6682" spans="1:2">
      <c r="A6682">
        <v>336.5</v>
      </c>
      <c r="B6682">
        <v>193.4</v>
      </c>
    </row>
    <row r="6683" spans="1:2">
      <c r="A6683">
        <v>336</v>
      </c>
      <c r="B6683">
        <v>196.1</v>
      </c>
    </row>
    <row r="6684" spans="1:2">
      <c r="A6684">
        <v>339.1</v>
      </c>
      <c r="B6684">
        <v>193.6</v>
      </c>
    </row>
    <row r="6685" spans="1:2">
      <c r="A6685">
        <v>338.3</v>
      </c>
      <c r="B6685">
        <v>191.6</v>
      </c>
    </row>
    <row r="6686" spans="1:2">
      <c r="A6686">
        <v>337.3</v>
      </c>
      <c r="B6686">
        <v>192.7</v>
      </c>
    </row>
    <row r="6687" spans="1:2">
      <c r="A6687">
        <v>337.1</v>
      </c>
      <c r="B6687">
        <v>188.9</v>
      </c>
    </row>
    <row r="6688" spans="1:2">
      <c r="A6688">
        <v>332</v>
      </c>
      <c r="B6688">
        <v>187</v>
      </c>
    </row>
    <row r="6689" spans="1:2">
      <c r="A6689">
        <v>329.8</v>
      </c>
      <c r="B6689">
        <v>189.3</v>
      </c>
    </row>
    <row r="6690" spans="1:2">
      <c r="A6690">
        <v>334.2</v>
      </c>
      <c r="B6690">
        <v>190.9</v>
      </c>
    </row>
    <row r="6691" spans="1:2">
      <c r="A6691">
        <v>331.2</v>
      </c>
      <c r="B6691">
        <v>191.2</v>
      </c>
    </row>
    <row r="6692" spans="1:2">
      <c r="A6692">
        <v>330.4</v>
      </c>
      <c r="B6692">
        <v>193.7</v>
      </c>
    </row>
    <row r="6693" spans="1:2">
      <c r="A6693">
        <v>330.3</v>
      </c>
      <c r="B6693">
        <v>191.4</v>
      </c>
    </row>
    <row r="6694" spans="1:2">
      <c r="A6694">
        <v>328.7</v>
      </c>
      <c r="B6694">
        <v>191.6</v>
      </c>
    </row>
    <row r="6695" spans="1:2">
      <c r="A6695">
        <v>328</v>
      </c>
      <c r="B6695">
        <v>193.3</v>
      </c>
    </row>
    <row r="6696" spans="1:2">
      <c r="A6696">
        <v>328</v>
      </c>
      <c r="B6696">
        <v>191.8</v>
      </c>
    </row>
    <row r="6697" spans="1:2">
      <c r="A6697">
        <v>326.2</v>
      </c>
      <c r="B6697">
        <v>192.1</v>
      </c>
    </row>
    <row r="6698" spans="1:2">
      <c r="A6698">
        <v>323.5</v>
      </c>
      <c r="B6698">
        <v>194.8</v>
      </c>
    </row>
    <row r="6699" spans="1:2">
      <c r="A6699">
        <v>328.2</v>
      </c>
      <c r="B6699">
        <v>195.3</v>
      </c>
    </row>
    <row r="6700" spans="1:2">
      <c r="A6700">
        <v>328.2</v>
      </c>
      <c r="B6700">
        <v>197.2</v>
      </c>
    </row>
    <row r="6701" spans="1:2">
      <c r="A6701">
        <v>326.89999999999998</v>
      </c>
      <c r="B6701">
        <v>197</v>
      </c>
    </row>
    <row r="6702" spans="1:2">
      <c r="A6702">
        <v>327.8</v>
      </c>
      <c r="B6702">
        <v>199</v>
      </c>
    </row>
    <row r="6703" spans="1:2">
      <c r="A6703">
        <v>335.3</v>
      </c>
      <c r="B6703">
        <v>202.9</v>
      </c>
    </row>
    <row r="6705" spans="1:2">
      <c r="A6705">
        <v>294.8</v>
      </c>
      <c r="B6705">
        <v>204.3</v>
      </c>
    </row>
    <row r="6706" spans="1:2">
      <c r="A6706">
        <v>297</v>
      </c>
      <c r="B6706">
        <v>202.1</v>
      </c>
    </row>
    <row r="6707" spans="1:2">
      <c r="A6707">
        <v>294.2</v>
      </c>
      <c r="B6707">
        <v>202.4</v>
      </c>
    </row>
    <row r="6708" spans="1:2">
      <c r="A6708">
        <v>294.8</v>
      </c>
      <c r="B6708">
        <v>204.3</v>
      </c>
    </row>
    <row r="6710" spans="1:2">
      <c r="A6710">
        <v>299.39999999999998</v>
      </c>
      <c r="B6710">
        <v>208.8</v>
      </c>
    </row>
    <row r="6711" spans="1:2">
      <c r="A6711">
        <v>298</v>
      </c>
      <c r="B6711">
        <v>209.1</v>
      </c>
    </row>
    <row r="6712" spans="1:2">
      <c r="A6712">
        <v>299.2</v>
      </c>
      <c r="B6712">
        <v>209.9</v>
      </c>
    </row>
    <row r="6713" spans="1:2">
      <c r="A6713">
        <v>298.39999999999998</v>
      </c>
      <c r="B6713">
        <v>210.9</v>
      </c>
    </row>
    <row r="6714" spans="1:2">
      <c r="A6714">
        <v>298.7</v>
      </c>
      <c r="B6714">
        <v>209.8</v>
      </c>
    </row>
    <row r="6715" spans="1:2">
      <c r="A6715">
        <v>296.39999999999998</v>
      </c>
      <c r="B6715">
        <v>210.5</v>
      </c>
    </row>
    <row r="6716" spans="1:2">
      <c r="A6716">
        <v>295.39999999999998</v>
      </c>
      <c r="B6716">
        <v>209.1</v>
      </c>
    </row>
    <row r="6717" spans="1:2">
      <c r="A6717">
        <v>297.2</v>
      </c>
      <c r="B6717">
        <v>209.6</v>
      </c>
    </row>
    <row r="6718" spans="1:2">
      <c r="A6718">
        <v>299.10000000000002</v>
      </c>
      <c r="B6718">
        <v>206.6</v>
      </c>
    </row>
    <row r="6719" spans="1:2">
      <c r="A6719">
        <v>298.2</v>
      </c>
      <c r="B6719">
        <v>203.6</v>
      </c>
    </row>
    <row r="6720" spans="1:2">
      <c r="A6720">
        <v>297.3</v>
      </c>
      <c r="B6720">
        <v>205.1</v>
      </c>
    </row>
    <row r="6721" spans="1:2">
      <c r="A6721">
        <v>296.5</v>
      </c>
      <c r="B6721">
        <v>203</v>
      </c>
    </row>
    <row r="6722" spans="1:2">
      <c r="A6722">
        <v>294.39999999999998</v>
      </c>
      <c r="B6722">
        <v>204.9</v>
      </c>
    </row>
    <row r="6723" spans="1:2">
      <c r="A6723">
        <v>293.39999999999998</v>
      </c>
      <c r="B6723">
        <v>202.9</v>
      </c>
    </row>
    <row r="6724" spans="1:2">
      <c r="A6724">
        <v>291.8</v>
      </c>
      <c r="B6724">
        <v>203.5</v>
      </c>
    </row>
    <row r="6725" spans="1:2">
      <c r="A6725">
        <v>292.3</v>
      </c>
      <c r="B6725">
        <v>205.9</v>
      </c>
    </row>
    <row r="6726" spans="1:2">
      <c r="A6726">
        <v>290.5</v>
      </c>
      <c r="B6726">
        <v>208</v>
      </c>
    </row>
    <row r="6727" spans="1:2">
      <c r="A6727">
        <v>291.39999999999998</v>
      </c>
      <c r="B6727">
        <v>210.8</v>
      </c>
    </row>
    <row r="6728" spans="1:2">
      <c r="A6728">
        <v>288.2</v>
      </c>
      <c r="B6728">
        <v>214.9</v>
      </c>
    </row>
    <row r="6729" spans="1:2">
      <c r="A6729">
        <v>289.7</v>
      </c>
      <c r="B6729">
        <v>218.5</v>
      </c>
    </row>
    <row r="6730" spans="1:2">
      <c r="A6730">
        <v>286.89999999999998</v>
      </c>
      <c r="B6730">
        <v>221.2</v>
      </c>
    </row>
    <row r="6731" spans="1:2">
      <c r="A6731">
        <v>288.60000000000002</v>
      </c>
      <c r="B6731">
        <v>222.4</v>
      </c>
    </row>
    <row r="6732" spans="1:2">
      <c r="A6732">
        <v>291.39999999999998</v>
      </c>
      <c r="B6732">
        <v>221.2</v>
      </c>
    </row>
    <row r="6733" spans="1:2">
      <c r="A6733">
        <v>295.7</v>
      </c>
      <c r="B6733">
        <v>222.7</v>
      </c>
    </row>
    <row r="6734" spans="1:2">
      <c r="A6734">
        <v>297.39999999999998</v>
      </c>
      <c r="B6734">
        <v>222.3</v>
      </c>
    </row>
    <row r="6735" spans="1:2">
      <c r="A6735">
        <v>297.7</v>
      </c>
      <c r="B6735">
        <v>217.9</v>
      </c>
    </row>
    <row r="6736" spans="1:2">
      <c r="A6736">
        <v>301.89999999999998</v>
      </c>
      <c r="B6736">
        <v>219.7</v>
      </c>
    </row>
    <row r="6737" spans="1:2">
      <c r="A6737">
        <v>305.2</v>
      </c>
      <c r="B6737">
        <v>218.3</v>
      </c>
    </row>
    <row r="6738" spans="1:2">
      <c r="A6738">
        <v>305.5</v>
      </c>
      <c r="B6738">
        <v>216.4</v>
      </c>
    </row>
    <row r="6739" spans="1:2">
      <c r="A6739">
        <v>309.10000000000002</v>
      </c>
      <c r="B6739">
        <v>218.2</v>
      </c>
    </row>
    <row r="6740" spans="1:2">
      <c r="A6740">
        <v>311</v>
      </c>
      <c r="B6740">
        <v>217.4</v>
      </c>
    </row>
    <row r="6741" spans="1:2">
      <c r="A6741">
        <v>312.60000000000002</v>
      </c>
      <c r="B6741">
        <v>215.8</v>
      </c>
    </row>
    <row r="6742" spans="1:2">
      <c r="A6742">
        <v>310.5</v>
      </c>
      <c r="B6742">
        <v>213.6</v>
      </c>
    </row>
    <row r="6743" spans="1:2">
      <c r="A6743">
        <v>313.60000000000002</v>
      </c>
      <c r="B6743">
        <v>211</v>
      </c>
    </row>
    <row r="6744" spans="1:2">
      <c r="A6744">
        <v>311.60000000000002</v>
      </c>
      <c r="B6744">
        <v>207.7</v>
      </c>
    </row>
    <row r="6745" spans="1:2">
      <c r="A6745">
        <v>312.39999999999998</v>
      </c>
      <c r="B6745">
        <v>203.8</v>
      </c>
    </row>
    <row r="6746" spans="1:2">
      <c r="A6746">
        <v>310.60000000000002</v>
      </c>
      <c r="B6746">
        <v>204.6</v>
      </c>
    </row>
    <row r="6747" spans="1:2">
      <c r="A6747">
        <v>309.3</v>
      </c>
      <c r="B6747">
        <v>203.4</v>
      </c>
    </row>
    <row r="6748" spans="1:2">
      <c r="A6748">
        <v>308</v>
      </c>
      <c r="B6748">
        <v>197.1</v>
      </c>
    </row>
    <row r="6749" spans="1:2">
      <c r="A6749">
        <v>304.8</v>
      </c>
      <c r="B6749">
        <v>196.5</v>
      </c>
    </row>
    <row r="6750" spans="1:2">
      <c r="A6750">
        <v>305.2</v>
      </c>
      <c r="B6750">
        <v>197.5</v>
      </c>
    </row>
    <row r="6751" spans="1:2">
      <c r="A6751">
        <v>302.39999999999998</v>
      </c>
      <c r="B6751">
        <v>197.7</v>
      </c>
    </row>
    <row r="6752" spans="1:2">
      <c r="A6752">
        <v>300.10000000000002</v>
      </c>
      <c r="B6752">
        <v>200.9</v>
      </c>
    </row>
    <row r="6753" spans="1:2">
      <c r="A6753">
        <v>302</v>
      </c>
      <c r="B6753">
        <v>202.3</v>
      </c>
    </row>
    <row r="6754" spans="1:2">
      <c r="A6754">
        <v>300.89999999999998</v>
      </c>
      <c r="B6754">
        <v>205.1</v>
      </c>
    </row>
    <row r="6755" spans="1:2">
      <c r="A6755">
        <v>301.89999999999998</v>
      </c>
      <c r="B6755">
        <v>207.2</v>
      </c>
    </row>
    <row r="6756" spans="1:2">
      <c r="A6756">
        <v>300.60000000000002</v>
      </c>
      <c r="B6756">
        <v>208</v>
      </c>
    </row>
    <row r="6757" spans="1:2">
      <c r="A6757">
        <v>301</v>
      </c>
      <c r="B6757">
        <v>211.6</v>
      </c>
    </row>
    <row r="6758" spans="1:2">
      <c r="A6758">
        <v>302.89999999999998</v>
      </c>
      <c r="B6758">
        <v>214.1</v>
      </c>
    </row>
    <row r="6759" spans="1:2">
      <c r="A6759">
        <v>300.5</v>
      </c>
      <c r="B6759">
        <v>213.9</v>
      </c>
    </row>
    <row r="6760" spans="1:2">
      <c r="A6760">
        <v>299.39999999999998</v>
      </c>
      <c r="B6760">
        <v>208.8</v>
      </c>
    </row>
    <row r="6762" spans="1:2">
      <c r="A6762">
        <v>372.7</v>
      </c>
      <c r="B6762">
        <v>248.3</v>
      </c>
    </row>
    <row r="6763" spans="1:2">
      <c r="A6763">
        <v>374.5</v>
      </c>
      <c r="B6763">
        <v>245.3</v>
      </c>
    </row>
    <row r="6764" spans="1:2">
      <c r="A6764">
        <v>377.4</v>
      </c>
      <c r="B6764">
        <v>244.9</v>
      </c>
    </row>
    <row r="6765" spans="1:2">
      <c r="A6765">
        <v>382.3</v>
      </c>
      <c r="B6765">
        <v>241</v>
      </c>
    </row>
    <row r="6766" spans="1:2">
      <c r="A6766">
        <v>386.3</v>
      </c>
      <c r="B6766">
        <v>234.8</v>
      </c>
    </row>
    <row r="6767" spans="1:2">
      <c r="A6767">
        <v>384.9</v>
      </c>
      <c r="B6767">
        <v>231.2</v>
      </c>
    </row>
    <row r="6768" spans="1:2">
      <c r="A6768">
        <v>374.4</v>
      </c>
      <c r="B6768">
        <v>228.2</v>
      </c>
    </row>
    <row r="6769" spans="1:2">
      <c r="A6769">
        <v>374</v>
      </c>
      <c r="B6769">
        <v>221.8</v>
      </c>
    </row>
    <row r="6770" spans="1:2">
      <c r="A6770">
        <v>373.4</v>
      </c>
      <c r="B6770">
        <v>223.6</v>
      </c>
    </row>
    <row r="6771" spans="1:2">
      <c r="A6771">
        <v>369.9</v>
      </c>
      <c r="B6771">
        <v>222.3</v>
      </c>
    </row>
    <row r="6772" spans="1:2">
      <c r="A6772">
        <v>362.3</v>
      </c>
      <c r="B6772">
        <v>223.6</v>
      </c>
    </row>
    <row r="6773" spans="1:2">
      <c r="A6773">
        <v>363.2</v>
      </c>
      <c r="B6773">
        <v>227.3</v>
      </c>
    </row>
    <row r="6774" spans="1:2">
      <c r="A6774">
        <v>360.7</v>
      </c>
      <c r="B6774">
        <v>228.7</v>
      </c>
    </row>
    <row r="6775" spans="1:2">
      <c r="A6775">
        <v>361</v>
      </c>
      <c r="B6775">
        <v>231.4</v>
      </c>
    </row>
    <row r="6776" spans="1:2">
      <c r="A6776">
        <v>358.1</v>
      </c>
      <c r="B6776">
        <v>238.8</v>
      </c>
    </row>
    <row r="6777" spans="1:2">
      <c r="A6777">
        <v>360</v>
      </c>
      <c r="B6777">
        <v>239.1</v>
      </c>
    </row>
    <row r="6778" spans="1:2">
      <c r="A6778">
        <v>360.3</v>
      </c>
      <c r="B6778">
        <v>240.7</v>
      </c>
    </row>
    <row r="6779" spans="1:2">
      <c r="A6779">
        <v>362.2</v>
      </c>
      <c r="B6779">
        <v>239.8</v>
      </c>
    </row>
    <row r="6780" spans="1:2">
      <c r="A6780">
        <v>363.1</v>
      </c>
      <c r="B6780">
        <v>242.2</v>
      </c>
    </row>
    <row r="6781" spans="1:2">
      <c r="A6781">
        <v>366.3</v>
      </c>
      <c r="B6781">
        <v>243.5</v>
      </c>
    </row>
    <row r="6782" spans="1:2">
      <c r="A6782">
        <v>368.1</v>
      </c>
      <c r="B6782">
        <v>246.2</v>
      </c>
    </row>
    <row r="6783" spans="1:2">
      <c r="A6783">
        <v>372.7</v>
      </c>
      <c r="B6783">
        <v>248.3</v>
      </c>
    </row>
    <row r="6785" spans="1:2">
      <c r="A6785">
        <v>380.7</v>
      </c>
      <c r="B6785">
        <v>273.7</v>
      </c>
    </row>
    <row r="6786" spans="1:2">
      <c r="A6786">
        <v>383.5</v>
      </c>
      <c r="B6786">
        <v>271.3</v>
      </c>
    </row>
    <row r="6787" spans="1:2">
      <c r="A6787">
        <v>385.2</v>
      </c>
      <c r="B6787">
        <v>272.60000000000002</v>
      </c>
    </row>
    <row r="6788" spans="1:2">
      <c r="A6788">
        <v>387</v>
      </c>
      <c r="B6788">
        <v>271.89999999999998</v>
      </c>
    </row>
    <row r="6789" spans="1:2">
      <c r="A6789">
        <v>387</v>
      </c>
      <c r="B6789">
        <v>269.39999999999998</v>
      </c>
    </row>
    <row r="6790" spans="1:2">
      <c r="A6790">
        <v>382.5</v>
      </c>
      <c r="B6790">
        <v>266.10000000000002</v>
      </c>
    </row>
    <row r="6791" spans="1:2">
      <c r="A6791">
        <v>384.9</v>
      </c>
      <c r="B6791">
        <v>263.89999999999998</v>
      </c>
    </row>
    <row r="6792" spans="1:2">
      <c r="A6792">
        <v>384.1</v>
      </c>
      <c r="B6792">
        <v>261.39999999999998</v>
      </c>
    </row>
    <row r="6793" spans="1:2">
      <c r="A6793">
        <v>381.4</v>
      </c>
      <c r="B6793">
        <v>260.2</v>
      </c>
    </row>
    <row r="6794" spans="1:2">
      <c r="A6794">
        <v>382.2</v>
      </c>
      <c r="B6794">
        <v>256</v>
      </c>
    </row>
    <row r="6795" spans="1:2">
      <c r="A6795">
        <v>377.1</v>
      </c>
      <c r="B6795">
        <v>253.6</v>
      </c>
    </row>
    <row r="6796" spans="1:2">
      <c r="A6796">
        <v>378.3</v>
      </c>
      <c r="B6796">
        <v>251</v>
      </c>
    </row>
    <row r="6797" spans="1:2">
      <c r="A6797">
        <v>375.5</v>
      </c>
      <c r="B6797">
        <v>250.3</v>
      </c>
    </row>
    <row r="6798" spans="1:2">
      <c r="A6798">
        <v>374.6</v>
      </c>
      <c r="B6798">
        <v>247.3</v>
      </c>
    </row>
    <row r="6799" spans="1:2">
      <c r="A6799">
        <v>372.7</v>
      </c>
      <c r="B6799">
        <v>248.3</v>
      </c>
    </row>
    <row r="6800" spans="1:2">
      <c r="A6800">
        <v>368.7</v>
      </c>
      <c r="B6800">
        <v>246.6</v>
      </c>
    </row>
    <row r="6801" spans="1:2">
      <c r="A6801">
        <v>364.4</v>
      </c>
      <c r="B6801">
        <v>242.9</v>
      </c>
    </row>
    <row r="6802" spans="1:2">
      <c r="A6802">
        <v>353.4</v>
      </c>
      <c r="B6802">
        <v>247.1</v>
      </c>
    </row>
    <row r="6803" spans="1:2">
      <c r="A6803">
        <v>354.5</v>
      </c>
      <c r="B6803">
        <v>251.6</v>
      </c>
    </row>
    <row r="6804" spans="1:2">
      <c r="A6804">
        <v>352.3</v>
      </c>
      <c r="B6804">
        <v>254.4</v>
      </c>
    </row>
    <row r="6805" spans="1:2">
      <c r="A6805">
        <v>348</v>
      </c>
      <c r="B6805">
        <v>255.2</v>
      </c>
    </row>
    <row r="6806" spans="1:2">
      <c r="A6806">
        <v>347.5</v>
      </c>
      <c r="B6806">
        <v>258.8</v>
      </c>
    </row>
    <row r="6807" spans="1:2">
      <c r="A6807">
        <v>349.3</v>
      </c>
      <c r="B6807">
        <v>261.3</v>
      </c>
    </row>
    <row r="6808" spans="1:2">
      <c r="A6808">
        <v>348</v>
      </c>
      <c r="B6808">
        <v>263.60000000000002</v>
      </c>
    </row>
    <row r="6809" spans="1:2">
      <c r="A6809">
        <v>349.3</v>
      </c>
      <c r="B6809">
        <v>263.89999999999998</v>
      </c>
    </row>
    <row r="6810" spans="1:2">
      <c r="A6810">
        <v>348.7</v>
      </c>
      <c r="B6810">
        <v>268.2</v>
      </c>
    </row>
    <row r="6811" spans="1:2">
      <c r="A6811">
        <v>354.9</v>
      </c>
      <c r="B6811">
        <v>270.2</v>
      </c>
    </row>
    <row r="6812" spans="1:2">
      <c r="A6812">
        <v>366.2</v>
      </c>
      <c r="B6812">
        <v>266.8</v>
      </c>
    </row>
    <row r="6813" spans="1:2">
      <c r="A6813">
        <v>367.7</v>
      </c>
      <c r="B6813">
        <v>269.2</v>
      </c>
    </row>
    <row r="6814" spans="1:2">
      <c r="A6814">
        <v>371.4</v>
      </c>
      <c r="B6814">
        <v>269.3</v>
      </c>
    </row>
    <row r="6815" spans="1:2">
      <c r="A6815">
        <v>374.6</v>
      </c>
      <c r="B6815">
        <v>274.2</v>
      </c>
    </row>
    <row r="6816" spans="1:2">
      <c r="A6816">
        <v>380.7</v>
      </c>
      <c r="B6816">
        <v>273.7</v>
      </c>
    </row>
    <row r="6818" spans="1:2">
      <c r="A6818">
        <v>345</v>
      </c>
      <c r="B6818">
        <v>185.3</v>
      </c>
    </row>
    <row r="6819" spans="1:2">
      <c r="A6819">
        <v>343.7</v>
      </c>
      <c r="B6819">
        <v>184.2</v>
      </c>
    </row>
    <row r="6820" spans="1:2">
      <c r="A6820">
        <v>344.5</v>
      </c>
      <c r="B6820">
        <v>186.5</v>
      </c>
    </row>
    <row r="6821" spans="1:2">
      <c r="A6821">
        <v>345</v>
      </c>
      <c r="B6821">
        <v>185.3</v>
      </c>
    </row>
    <row r="6823" spans="1:2">
      <c r="A6823">
        <v>343.2</v>
      </c>
      <c r="B6823">
        <v>202.8</v>
      </c>
    </row>
    <row r="6824" spans="1:2">
      <c r="A6824">
        <v>344.4</v>
      </c>
      <c r="B6824">
        <v>201.8</v>
      </c>
    </row>
    <row r="6825" spans="1:2">
      <c r="A6825">
        <v>343.1</v>
      </c>
      <c r="B6825">
        <v>200.7</v>
      </c>
    </row>
    <row r="6826" spans="1:2">
      <c r="A6826">
        <v>344.2</v>
      </c>
      <c r="B6826">
        <v>199.2</v>
      </c>
    </row>
    <row r="6827" spans="1:2">
      <c r="A6827">
        <v>343.4</v>
      </c>
      <c r="B6827">
        <v>197.7</v>
      </c>
    </row>
    <row r="6828" spans="1:2">
      <c r="A6828">
        <v>342.3</v>
      </c>
      <c r="B6828">
        <v>199.4</v>
      </c>
    </row>
    <row r="6829" spans="1:2">
      <c r="A6829">
        <v>343.2</v>
      </c>
      <c r="B6829">
        <v>202.8</v>
      </c>
    </row>
    <row r="6831" spans="1:2">
      <c r="A6831">
        <v>354.7</v>
      </c>
      <c r="B6831">
        <v>206.7</v>
      </c>
    </row>
    <row r="6832" spans="1:2">
      <c r="A6832">
        <v>353.9</v>
      </c>
      <c r="B6832">
        <v>203.2</v>
      </c>
    </row>
    <row r="6833" spans="1:2">
      <c r="A6833">
        <v>350.9</v>
      </c>
      <c r="B6833">
        <v>202.6</v>
      </c>
    </row>
    <row r="6834" spans="1:2">
      <c r="A6834">
        <v>352.3</v>
      </c>
      <c r="B6834">
        <v>204.8</v>
      </c>
    </row>
    <row r="6835" spans="1:2">
      <c r="A6835">
        <v>351.5</v>
      </c>
      <c r="B6835">
        <v>205.4</v>
      </c>
    </row>
    <row r="6836" spans="1:2">
      <c r="A6836">
        <v>353</v>
      </c>
      <c r="B6836">
        <v>205.4</v>
      </c>
    </row>
    <row r="6837" spans="1:2">
      <c r="A6837">
        <v>354.2</v>
      </c>
      <c r="B6837">
        <v>207.9</v>
      </c>
    </row>
    <row r="6838" spans="1:2">
      <c r="A6838">
        <v>354.7</v>
      </c>
      <c r="B6838">
        <v>206.7</v>
      </c>
    </row>
    <row r="6840" spans="1:2">
      <c r="A6840">
        <v>356.4</v>
      </c>
      <c r="B6840">
        <v>182.4</v>
      </c>
    </row>
    <row r="6841" spans="1:2">
      <c r="A6841">
        <v>353.3</v>
      </c>
      <c r="B6841">
        <v>180</v>
      </c>
    </row>
    <row r="6842" spans="1:2">
      <c r="A6842">
        <v>354.6</v>
      </c>
      <c r="B6842">
        <v>177.6</v>
      </c>
    </row>
    <row r="6843" spans="1:2">
      <c r="A6843">
        <v>357.1</v>
      </c>
      <c r="B6843">
        <v>177.4</v>
      </c>
    </row>
    <row r="6844" spans="1:2">
      <c r="A6844">
        <v>356.7</v>
      </c>
      <c r="B6844">
        <v>176.2</v>
      </c>
    </row>
    <row r="6845" spans="1:2">
      <c r="A6845">
        <v>356.3</v>
      </c>
      <c r="B6845">
        <v>177.3</v>
      </c>
    </row>
    <row r="6846" spans="1:2">
      <c r="A6846">
        <v>352.4</v>
      </c>
      <c r="B6846">
        <v>177</v>
      </c>
    </row>
    <row r="6847" spans="1:2">
      <c r="A6847">
        <v>353.3</v>
      </c>
      <c r="B6847">
        <v>173.9</v>
      </c>
    </row>
    <row r="6848" spans="1:2">
      <c r="A6848">
        <v>348</v>
      </c>
      <c r="B6848">
        <v>173.3</v>
      </c>
    </row>
    <row r="6849" spans="1:2">
      <c r="A6849">
        <v>350.6</v>
      </c>
      <c r="B6849">
        <v>176.5</v>
      </c>
    </row>
    <row r="6850" spans="1:2">
      <c r="A6850">
        <v>347.9</v>
      </c>
      <c r="B6850">
        <v>177.3</v>
      </c>
    </row>
    <row r="6851" spans="1:2">
      <c r="A6851">
        <v>349.8</v>
      </c>
      <c r="B6851">
        <v>181.4</v>
      </c>
    </row>
    <row r="6852" spans="1:2">
      <c r="A6852">
        <v>346.1</v>
      </c>
      <c r="B6852">
        <v>180.2</v>
      </c>
    </row>
    <row r="6853" spans="1:2">
      <c r="A6853">
        <v>347.3</v>
      </c>
      <c r="B6853">
        <v>182.4</v>
      </c>
    </row>
    <row r="6854" spans="1:2">
      <c r="A6854">
        <v>345</v>
      </c>
      <c r="B6854">
        <v>181.2</v>
      </c>
    </row>
    <row r="6855" spans="1:2">
      <c r="A6855">
        <v>344.6</v>
      </c>
      <c r="B6855">
        <v>182.5</v>
      </c>
    </row>
    <row r="6856" spans="1:2">
      <c r="A6856">
        <v>348.6</v>
      </c>
      <c r="B6856">
        <v>183.6</v>
      </c>
    </row>
    <row r="6857" spans="1:2">
      <c r="A6857">
        <v>349</v>
      </c>
      <c r="B6857">
        <v>188.9</v>
      </c>
    </row>
    <row r="6858" spans="1:2">
      <c r="A6858">
        <v>347.6</v>
      </c>
      <c r="B6858">
        <v>189.7</v>
      </c>
    </row>
    <row r="6859" spans="1:2">
      <c r="A6859">
        <v>346.8</v>
      </c>
      <c r="B6859">
        <v>187.4</v>
      </c>
    </row>
    <row r="6860" spans="1:2">
      <c r="A6860">
        <v>343.4</v>
      </c>
      <c r="B6860">
        <v>187.4</v>
      </c>
    </row>
    <row r="6861" spans="1:2">
      <c r="A6861">
        <v>342.2</v>
      </c>
      <c r="B6861">
        <v>184.8</v>
      </c>
    </row>
    <row r="6862" spans="1:2">
      <c r="A6862">
        <v>338.9</v>
      </c>
      <c r="B6862">
        <v>191.7</v>
      </c>
    </row>
    <row r="6863" spans="1:2">
      <c r="A6863">
        <v>341.3</v>
      </c>
      <c r="B6863">
        <v>195.9</v>
      </c>
    </row>
    <row r="6864" spans="1:2">
      <c r="A6864">
        <v>343.7</v>
      </c>
      <c r="B6864">
        <v>197.2</v>
      </c>
    </row>
    <row r="6865" spans="1:2">
      <c r="A6865">
        <v>347.3</v>
      </c>
      <c r="B6865">
        <v>194.5</v>
      </c>
    </row>
    <row r="6866" spans="1:2">
      <c r="A6866">
        <v>348</v>
      </c>
      <c r="B6866">
        <v>196.6</v>
      </c>
    </row>
    <row r="6867" spans="1:2">
      <c r="A6867">
        <v>349.8</v>
      </c>
      <c r="B6867">
        <v>195</v>
      </c>
    </row>
    <row r="6868" spans="1:2">
      <c r="A6868">
        <v>349.9</v>
      </c>
      <c r="B6868">
        <v>196.2</v>
      </c>
    </row>
    <row r="6869" spans="1:2">
      <c r="A6869">
        <v>352.1</v>
      </c>
      <c r="B6869">
        <v>193.8</v>
      </c>
    </row>
    <row r="6870" spans="1:2">
      <c r="A6870">
        <v>349</v>
      </c>
      <c r="B6870">
        <v>200.4</v>
      </c>
    </row>
    <row r="6871" spans="1:2">
      <c r="A6871">
        <v>350.5</v>
      </c>
      <c r="B6871">
        <v>202.2</v>
      </c>
    </row>
    <row r="6872" spans="1:2">
      <c r="A6872">
        <v>350.4</v>
      </c>
      <c r="B6872">
        <v>200.9</v>
      </c>
    </row>
    <row r="6873" spans="1:2">
      <c r="A6873">
        <v>352.8</v>
      </c>
      <c r="B6873">
        <v>201.9</v>
      </c>
    </row>
    <row r="6874" spans="1:2">
      <c r="A6874">
        <v>354.3</v>
      </c>
      <c r="B6874">
        <v>200.9</v>
      </c>
    </row>
    <row r="6875" spans="1:2">
      <c r="A6875">
        <v>355.2</v>
      </c>
      <c r="B6875">
        <v>205.2</v>
      </c>
    </row>
    <row r="6876" spans="1:2">
      <c r="A6876">
        <v>357.1</v>
      </c>
      <c r="B6876">
        <v>204.4</v>
      </c>
    </row>
    <row r="6877" spans="1:2">
      <c r="A6877">
        <v>357.2</v>
      </c>
      <c r="B6877">
        <v>206.3</v>
      </c>
    </row>
    <row r="6878" spans="1:2">
      <c r="A6878">
        <v>355.9</v>
      </c>
      <c r="B6878">
        <v>206.3</v>
      </c>
    </row>
    <row r="6879" spans="1:2">
      <c r="A6879">
        <v>356.9</v>
      </c>
      <c r="B6879">
        <v>209.9</v>
      </c>
    </row>
    <row r="6880" spans="1:2">
      <c r="A6880">
        <v>360.5</v>
      </c>
      <c r="B6880">
        <v>207.6</v>
      </c>
    </row>
    <row r="6881" spans="1:2">
      <c r="A6881">
        <v>358.1</v>
      </c>
      <c r="B6881">
        <v>205</v>
      </c>
    </row>
    <row r="6882" spans="1:2">
      <c r="A6882">
        <v>358.5</v>
      </c>
      <c r="B6882">
        <v>202.6</v>
      </c>
    </row>
    <row r="6883" spans="1:2">
      <c r="A6883">
        <v>361.1</v>
      </c>
      <c r="B6883">
        <v>199.7</v>
      </c>
    </row>
    <row r="6884" spans="1:2">
      <c r="A6884">
        <v>360.3</v>
      </c>
      <c r="B6884">
        <v>194.7</v>
      </c>
    </row>
    <row r="6885" spans="1:2">
      <c r="A6885">
        <v>358.3</v>
      </c>
      <c r="B6885">
        <v>192.4</v>
      </c>
    </row>
    <row r="6886" spans="1:2">
      <c r="A6886">
        <v>358.9</v>
      </c>
      <c r="B6886">
        <v>193.2</v>
      </c>
    </row>
    <row r="6887" spans="1:2">
      <c r="A6887">
        <v>359.6</v>
      </c>
      <c r="B6887">
        <v>191.3</v>
      </c>
    </row>
    <row r="6888" spans="1:2">
      <c r="A6888">
        <v>360.5</v>
      </c>
      <c r="B6888">
        <v>194.1</v>
      </c>
    </row>
    <row r="6889" spans="1:2">
      <c r="A6889">
        <v>362.2</v>
      </c>
      <c r="B6889">
        <v>193</v>
      </c>
    </row>
    <row r="6890" spans="1:2">
      <c r="A6890">
        <v>363.3</v>
      </c>
      <c r="B6890">
        <v>194.1</v>
      </c>
    </row>
    <row r="6891" spans="1:2">
      <c r="A6891">
        <v>362.6</v>
      </c>
      <c r="B6891">
        <v>191.2</v>
      </c>
    </row>
    <row r="6892" spans="1:2">
      <c r="A6892">
        <v>360.8</v>
      </c>
      <c r="B6892">
        <v>190.9</v>
      </c>
    </row>
    <row r="6893" spans="1:2">
      <c r="A6893">
        <v>361.8</v>
      </c>
      <c r="B6893">
        <v>188.5</v>
      </c>
    </row>
    <row r="6894" spans="1:2">
      <c r="A6894">
        <v>360.3</v>
      </c>
      <c r="B6894">
        <v>189.2</v>
      </c>
    </row>
    <row r="6895" spans="1:2">
      <c r="A6895">
        <v>358.9</v>
      </c>
      <c r="B6895">
        <v>188.1</v>
      </c>
    </row>
    <row r="6896" spans="1:2">
      <c r="A6896">
        <v>359.6</v>
      </c>
      <c r="B6896">
        <v>186.9</v>
      </c>
    </row>
    <row r="6897" spans="1:2">
      <c r="A6897">
        <v>360.6</v>
      </c>
      <c r="B6897">
        <v>188</v>
      </c>
    </row>
    <row r="6898" spans="1:2">
      <c r="A6898">
        <v>362.2</v>
      </c>
      <c r="B6898">
        <v>182.5</v>
      </c>
    </row>
    <row r="6899" spans="1:2">
      <c r="A6899">
        <v>359.6</v>
      </c>
      <c r="B6899">
        <v>183.3</v>
      </c>
    </row>
    <row r="6900" spans="1:2">
      <c r="A6900">
        <v>359.6</v>
      </c>
      <c r="B6900">
        <v>185.2</v>
      </c>
    </row>
    <row r="6901" spans="1:2">
      <c r="A6901">
        <v>357.9</v>
      </c>
      <c r="B6901">
        <v>183.5</v>
      </c>
    </row>
    <row r="6902" spans="1:2">
      <c r="A6902">
        <v>356.4</v>
      </c>
      <c r="B6902">
        <v>185.4</v>
      </c>
    </row>
    <row r="6903" spans="1:2">
      <c r="A6903">
        <v>356.4</v>
      </c>
      <c r="B6903">
        <v>182.4</v>
      </c>
    </row>
    <row r="6905" spans="1:2">
      <c r="A6905">
        <v>389.7</v>
      </c>
      <c r="B6905">
        <v>262.39999999999998</v>
      </c>
    </row>
    <row r="6906" spans="1:2">
      <c r="A6906">
        <v>389.6</v>
      </c>
      <c r="B6906">
        <v>261.10000000000002</v>
      </c>
    </row>
    <row r="6907" spans="1:2">
      <c r="A6907">
        <v>394.2</v>
      </c>
      <c r="B6907">
        <v>259.2</v>
      </c>
    </row>
    <row r="6908" spans="1:2">
      <c r="A6908">
        <v>397.5</v>
      </c>
      <c r="B6908">
        <v>253.7</v>
      </c>
    </row>
    <row r="6909" spans="1:2">
      <c r="A6909">
        <v>399.7</v>
      </c>
      <c r="B6909">
        <v>252.2</v>
      </c>
    </row>
    <row r="6910" spans="1:2">
      <c r="A6910">
        <v>402.2</v>
      </c>
      <c r="B6910">
        <v>253</v>
      </c>
    </row>
    <row r="6911" spans="1:2">
      <c r="A6911">
        <v>404.2</v>
      </c>
      <c r="B6911">
        <v>249.6</v>
      </c>
    </row>
    <row r="6912" spans="1:2">
      <c r="A6912">
        <v>400.6</v>
      </c>
      <c r="B6912">
        <v>243.5</v>
      </c>
    </row>
    <row r="6913" spans="1:2">
      <c r="A6913">
        <v>395.3</v>
      </c>
      <c r="B6913">
        <v>245.4</v>
      </c>
    </row>
    <row r="6914" spans="1:2">
      <c r="A6914">
        <v>396.8</v>
      </c>
      <c r="B6914">
        <v>243.5</v>
      </c>
    </row>
    <row r="6915" spans="1:2">
      <c r="A6915">
        <v>394.5</v>
      </c>
      <c r="B6915">
        <v>238.4</v>
      </c>
    </row>
    <row r="6916" spans="1:2">
      <c r="A6916">
        <v>390.1</v>
      </c>
      <c r="B6916">
        <v>237.4</v>
      </c>
    </row>
    <row r="6917" spans="1:2">
      <c r="A6917">
        <v>389.2</v>
      </c>
      <c r="B6917">
        <v>235.2</v>
      </c>
    </row>
    <row r="6918" spans="1:2">
      <c r="A6918">
        <v>386.2</v>
      </c>
      <c r="B6918">
        <v>235.1</v>
      </c>
    </row>
    <row r="6919" spans="1:2">
      <c r="A6919">
        <v>382.2</v>
      </c>
      <c r="B6919">
        <v>241.1</v>
      </c>
    </row>
    <row r="6920" spans="1:2">
      <c r="A6920">
        <v>377.4</v>
      </c>
      <c r="B6920">
        <v>244.9</v>
      </c>
    </row>
    <row r="6921" spans="1:2">
      <c r="A6921">
        <v>374.5</v>
      </c>
      <c r="B6921">
        <v>245.3</v>
      </c>
    </row>
    <row r="6922" spans="1:2">
      <c r="A6922">
        <v>374</v>
      </c>
      <c r="B6922">
        <v>246.8</v>
      </c>
    </row>
    <row r="6923" spans="1:2">
      <c r="A6923">
        <v>375.5</v>
      </c>
      <c r="B6923">
        <v>250.3</v>
      </c>
    </row>
    <row r="6924" spans="1:2">
      <c r="A6924">
        <v>378.3</v>
      </c>
      <c r="B6924">
        <v>251</v>
      </c>
    </row>
    <row r="6925" spans="1:2">
      <c r="A6925">
        <v>377.1</v>
      </c>
      <c r="B6925">
        <v>253.6</v>
      </c>
    </row>
    <row r="6926" spans="1:2">
      <c r="A6926">
        <v>382.2</v>
      </c>
      <c r="B6926">
        <v>256</v>
      </c>
    </row>
    <row r="6927" spans="1:2">
      <c r="A6927">
        <v>381.7</v>
      </c>
      <c r="B6927">
        <v>260.60000000000002</v>
      </c>
    </row>
    <row r="6928" spans="1:2">
      <c r="A6928">
        <v>383</v>
      </c>
      <c r="B6928">
        <v>260.39999999999998</v>
      </c>
    </row>
    <row r="6929" spans="1:2">
      <c r="A6929">
        <v>384.5</v>
      </c>
      <c r="B6929">
        <v>262.60000000000002</v>
      </c>
    </row>
    <row r="6930" spans="1:2">
      <c r="A6930">
        <v>389.7</v>
      </c>
      <c r="B6930">
        <v>262.39999999999998</v>
      </c>
    </row>
    <row r="6932" spans="1:2">
      <c r="A6932">
        <v>353</v>
      </c>
      <c r="B6932">
        <v>245.4</v>
      </c>
    </row>
    <row r="6933" spans="1:2">
      <c r="A6933">
        <v>357.8</v>
      </c>
      <c r="B6933">
        <v>246.3</v>
      </c>
    </row>
    <row r="6934" spans="1:2">
      <c r="A6934">
        <v>364.4</v>
      </c>
      <c r="B6934">
        <v>242.9</v>
      </c>
    </row>
    <row r="6935" spans="1:2">
      <c r="A6935">
        <v>362.2</v>
      </c>
      <c r="B6935">
        <v>239.8</v>
      </c>
    </row>
    <row r="6936" spans="1:2">
      <c r="A6936">
        <v>360.3</v>
      </c>
      <c r="B6936">
        <v>240.7</v>
      </c>
    </row>
    <row r="6937" spans="1:2">
      <c r="A6937">
        <v>360</v>
      </c>
      <c r="B6937">
        <v>239.1</v>
      </c>
    </row>
    <row r="6938" spans="1:2">
      <c r="A6938">
        <v>358.1</v>
      </c>
      <c r="B6938">
        <v>238.8</v>
      </c>
    </row>
    <row r="6939" spans="1:2">
      <c r="A6939">
        <v>361.1</v>
      </c>
      <c r="B6939">
        <v>231.3</v>
      </c>
    </row>
    <row r="6940" spans="1:2">
      <c r="A6940">
        <v>358.3</v>
      </c>
      <c r="B6940">
        <v>230.6</v>
      </c>
    </row>
    <row r="6941" spans="1:2">
      <c r="A6941">
        <v>358</v>
      </c>
      <c r="B6941">
        <v>229.3</v>
      </c>
    </row>
    <row r="6942" spans="1:2">
      <c r="A6942">
        <v>355.8</v>
      </c>
      <c r="B6942">
        <v>232.1</v>
      </c>
    </row>
    <row r="6943" spans="1:2">
      <c r="A6943">
        <v>354.3</v>
      </c>
      <c r="B6943">
        <v>231.4</v>
      </c>
    </row>
    <row r="6944" spans="1:2">
      <c r="A6944">
        <v>356.2</v>
      </c>
      <c r="B6944">
        <v>230.3</v>
      </c>
    </row>
    <row r="6945" spans="1:2">
      <c r="A6945">
        <v>351.5</v>
      </c>
      <c r="B6945">
        <v>229.2</v>
      </c>
    </row>
    <row r="6946" spans="1:2">
      <c r="A6946">
        <v>348.7</v>
      </c>
      <c r="B6946">
        <v>234.1</v>
      </c>
    </row>
    <row r="6947" spans="1:2">
      <c r="A6947">
        <v>346.6</v>
      </c>
      <c r="B6947">
        <v>244.1</v>
      </c>
    </row>
    <row r="6948" spans="1:2">
      <c r="A6948">
        <v>350.1</v>
      </c>
      <c r="B6948">
        <v>248</v>
      </c>
    </row>
    <row r="6949" spans="1:2">
      <c r="A6949">
        <v>353</v>
      </c>
      <c r="B6949">
        <v>245.4</v>
      </c>
    </row>
    <row r="6951" spans="1:2">
      <c r="A6951">
        <v>356.8</v>
      </c>
      <c r="B6951">
        <v>231.6</v>
      </c>
    </row>
    <row r="6952" spans="1:2">
      <c r="A6952">
        <v>358</v>
      </c>
      <c r="B6952">
        <v>229.3</v>
      </c>
    </row>
    <row r="6953" spans="1:2">
      <c r="A6953">
        <v>358.3</v>
      </c>
      <c r="B6953">
        <v>230.7</v>
      </c>
    </row>
    <row r="6954" spans="1:2">
      <c r="A6954">
        <v>361</v>
      </c>
      <c r="B6954">
        <v>231.1</v>
      </c>
    </row>
    <row r="6955" spans="1:2">
      <c r="A6955">
        <v>360.7</v>
      </c>
      <c r="B6955">
        <v>228.7</v>
      </c>
    </row>
    <row r="6956" spans="1:2">
      <c r="A6956">
        <v>363.2</v>
      </c>
      <c r="B6956">
        <v>226.9</v>
      </c>
    </row>
    <row r="6957" spans="1:2">
      <c r="A6957">
        <v>362.1</v>
      </c>
      <c r="B6957">
        <v>222.4</v>
      </c>
    </row>
    <row r="6958" spans="1:2">
      <c r="A6958">
        <v>355.6</v>
      </c>
      <c r="B6958">
        <v>225.1</v>
      </c>
    </row>
    <row r="6959" spans="1:2">
      <c r="A6959">
        <v>350.9</v>
      </c>
      <c r="B6959">
        <v>221.8</v>
      </c>
    </row>
    <row r="6960" spans="1:2">
      <c r="A6960">
        <v>349.1</v>
      </c>
      <c r="B6960">
        <v>227.1</v>
      </c>
    </row>
    <row r="6961" spans="1:2">
      <c r="A6961">
        <v>356.2</v>
      </c>
      <c r="B6961">
        <v>230.3</v>
      </c>
    </row>
    <row r="6962" spans="1:2">
      <c r="A6962">
        <v>354.5</v>
      </c>
      <c r="B6962">
        <v>231.6</v>
      </c>
    </row>
    <row r="6963" spans="1:2">
      <c r="A6963">
        <v>356.8</v>
      </c>
      <c r="B6963">
        <v>231.6</v>
      </c>
    </row>
    <row r="6965" spans="1:2">
      <c r="A6965">
        <v>346</v>
      </c>
      <c r="B6965">
        <v>213</v>
      </c>
    </row>
    <row r="6966" spans="1:2">
      <c r="A6966">
        <v>347.1</v>
      </c>
      <c r="B6966">
        <v>211.3</v>
      </c>
    </row>
    <row r="6967" spans="1:2">
      <c r="A6967">
        <v>345</v>
      </c>
      <c r="B6967">
        <v>212.7</v>
      </c>
    </row>
    <row r="6968" spans="1:2">
      <c r="A6968">
        <v>346</v>
      </c>
      <c r="B6968">
        <v>213</v>
      </c>
    </row>
    <row r="6970" spans="1:2">
      <c r="A6970">
        <v>337.8</v>
      </c>
      <c r="B6970">
        <v>215.2</v>
      </c>
    </row>
    <row r="6971" spans="1:2">
      <c r="A6971">
        <v>339.4</v>
      </c>
      <c r="B6971">
        <v>214</v>
      </c>
    </row>
    <row r="6972" spans="1:2">
      <c r="A6972">
        <v>335.9</v>
      </c>
      <c r="B6972">
        <v>213.3</v>
      </c>
    </row>
    <row r="6973" spans="1:2">
      <c r="A6973">
        <v>334.9</v>
      </c>
      <c r="B6973">
        <v>211.5</v>
      </c>
    </row>
    <row r="6974" spans="1:2">
      <c r="A6974">
        <v>334.9</v>
      </c>
      <c r="B6974">
        <v>214.8</v>
      </c>
    </row>
    <row r="6975" spans="1:2">
      <c r="A6975">
        <v>332.5</v>
      </c>
      <c r="B6975">
        <v>214.5</v>
      </c>
    </row>
    <row r="6976" spans="1:2">
      <c r="A6976">
        <v>330</v>
      </c>
      <c r="B6976">
        <v>217.5</v>
      </c>
    </row>
    <row r="6977" spans="1:2">
      <c r="A6977">
        <v>328.1</v>
      </c>
      <c r="B6977">
        <v>217.6</v>
      </c>
    </row>
    <row r="6978" spans="1:2">
      <c r="A6978">
        <v>329.6</v>
      </c>
      <c r="B6978">
        <v>226.5</v>
      </c>
    </row>
    <row r="6979" spans="1:2">
      <c r="A6979">
        <v>332.6</v>
      </c>
      <c r="B6979">
        <v>227.6</v>
      </c>
    </row>
    <row r="6980" spans="1:2">
      <c r="A6980">
        <v>333</v>
      </c>
      <c r="B6980">
        <v>224.9</v>
      </c>
    </row>
    <row r="6981" spans="1:2">
      <c r="A6981">
        <v>335.5</v>
      </c>
      <c r="B6981">
        <v>223.3</v>
      </c>
    </row>
    <row r="6982" spans="1:2">
      <c r="A6982">
        <v>338.2</v>
      </c>
      <c r="B6982">
        <v>225.9</v>
      </c>
    </row>
    <row r="6983" spans="1:2">
      <c r="A6983">
        <v>343</v>
      </c>
      <c r="B6983">
        <v>224.7</v>
      </c>
    </row>
    <row r="6984" spans="1:2">
      <c r="A6984">
        <v>344.8</v>
      </c>
      <c r="B6984">
        <v>226.2</v>
      </c>
    </row>
    <row r="6985" spans="1:2">
      <c r="A6985">
        <v>344.8</v>
      </c>
      <c r="B6985">
        <v>228.5</v>
      </c>
    </row>
    <row r="6986" spans="1:2">
      <c r="A6986">
        <v>349.1</v>
      </c>
      <c r="B6986">
        <v>229.3</v>
      </c>
    </row>
    <row r="6987" spans="1:2">
      <c r="A6987">
        <v>346.9</v>
      </c>
      <c r="B6987">
        <v>225.5</v>
      </c>
    </row>
    <row r="6988" spans="1:2">
      <c r="A6988">
        <v>349.8</v>
      </c>
      <c r="B6988">
        <v>220.9</v>
      </c>
    </row>
    <row r="6989" spans="1:2">
      <c r="A6989">
        <v>347.6</v>
      </c>
      <c r="B6989">
        <v>219.8</v>
      </c>
    </row>
    <row r="6990" spans="1:2">
      <c r="A6990">
        <v>350</v>
      </c>
      <c r="B6990">
        <v>219.8</v>
      </c>
    </row>
    <row r="6991" spans="1:2">
      <c r="A6991">
        <v>348.8</v>
      </c>
      <c r="B6991">
        <v>218.5</v>
      </c>
    </row>
    <row r="6992" spans="1:2">
      <c r="A6992">
        <v>352.4</v>
      </c>
      <c r="B6992">
        <v>214.5</v>
      </c>
    </row>
    <row r="6993" spans="1:2">
      <c r="A6993">
        <v>350.2</v>
      </c>
      <c r="B6993">
        <v>213.6</v>
      </c>
    </row>
    <row r="6994" spans="1:2">
      <c r="A6994">
        <v>353.1</v>
      </c>
      <c r="B6994">
        <v>212.9</v>
      </c>
    </row>
    <row r="6995" spans="1:2">
      <c r="A6995">
        <v>347.7</v>
      </c>
      <c r="B6995">
        <v>211.3</v>
      </c>
    </row>
    <row r="6996" spans="1:2">
      <c r="A6996">
        <v>349.7</v>
      </c>
      <c r="B6996">
        <v>213</v>
      </c>
    </row>
    <row r="6997" spans="1:2">
      <c r="A6997">
        <v>346.7</v>
      </c>
      <c r="B6997">
        <v>212.8</v>
      </c>
    </row>
    <row r="6998" spans="1:2">
      <c r="A6998">
        <v>348.5</v>
      </c>
      <c r="B6998">
        <v>215.4</v>
      </c>
    </row>
    <row r="6999" spans="1:2">
      <c r="A6999">
        <v>345.3</v>
      </c>
      <c r="B6999">
        <v>215.6</v>
      </c>
    </row>
    <row r="7000" spans="1:2">
      <c r="A7000">
        <v>344.6</v>
      </c>
      <c r="B7000">
        <v>218.6</v>
      </c>
    </row>
    <row r="7001" spans="1:2">
      <c r="A7001">
        <v>342.8</v>
      </c>
      <c r="B7001">
        <v>216.1</v>
      </c>
    </row>
    <row r="7002" spans="1:2">
      <c r="A7002">
        <v>337</v>
      </c>
      <c r="B7002">
        <v>216.8</v>
      </c>
    </row>
    <row r="7003" spans="1:2">
      <c r="A7003">
        <v>337.8</v>
      </c>
      <c r="B7003">
        <v>215.2</v>
      </c>
    </row>
    <row r="7005" spans="1:2">
      <c r="A7005">
        <v>347.7</v>
      </c>
      <c r="B7005">
        <v>234.8</v>
      </c>
    </row>
    <row r="7006" spans="1:2">
      <c r="A7006">
        <v>348.8</v>
      </c>
      <c r="B7006">
        <v>234.9</v>
      </c>
    </row>
    <row r="7007" spans="1:2">
      <c r="A7007">
        <v>352.4</v>
      </c>
      <c r="B7007">
        <v>229</v>
      </c>
    </row>
    <row r="7008" spans="1:2">
      <c r="A7008">
        <v>345.1</v>
      </c>
      <c r="B7008">
        <v>228.7</v>
      </c>
    </row>
    <row r="7009" spans="1:2">
      <c r="A7009">
        <v>344.8</v>
      </c>
      <c r="B7009">
        <v>226.2</v>
      </c>
    </row>
    <row r="7010" spans="1:2">
      <c r="A7010">
        <v>343.1</v>
      </c>
      <c r="B7010">
        <v>224.8</v>
      </c>
    </row>
    <row r="7011" spans="1:2">
      <c r="A7011">
        <v>339.9</v>
      </c>
      <c r="B7011">
        <v>225.1</v>
      </c>
    </row>
    <row r="7012" spans="1:2">
      <c r="A7012">
        <v>339</v>
      </c>
      <c r="B7012">
        <v>231.6</v>
      </c>
    </row>
    <row r="7013" spans="1:2">
      <c r="A7013">
        <v>340.5</v>
      </c>
      <c r="B7013">
        <v>235.1</v>
      </c>
    </row>
    <row r="7014" spans="1:2">
      <c r="A7014">
        <v>347.7</v>
      </c>
      <c r="B7014">
        <v>234.8</v>
      </c>
    </row>
    <row r="7016" spans="1:2">
      <c r="A7016">
        <v>365</v>
      </c>
      <c r="B7016">
        <v>212.3</v>
      </c>
    </row>
    <row r="7017" spans="1:2">
      <c r="A7017">
        <v>364.3</v>
      </c>
      <c r="B7017">
        <v>213.9</v>
      </c>
    </row>
    <row r="7018" spans="1:2">
      <c r="A7018">
        <v>362.4</v>
      </c>
      <c r="B7018">
        <v>213.9</v>
      </c>
    </row>
    <row r="7019" spans="1:2">
      <c r="A7019">
        <v>362.6</v>
      </c>
      <c r="B7019">
        <v>216.3</v>
      </c>
    </row>
    <row r="7020" spans="1:2">
      <c r="A7020">
        <v>361.3</v>
      </c>
      <c r="B7020">
        <v>215.2</v>
      </c>
    </row>
    <row r="7021" spans="1:2">
      <c r="A7021">
        <v>359.9</v>
      </c>
      <c r="B7021">
        <v>217.1</v>
      </c>
    </row>
    <row r="7022" spans="1:2">
      <c r="A7022">
        <v>357.7</v>
      </c>
      <c r="B7022">
        <v>216.6</v>
      </c>
    </row>
    <row r="7023" spans="1:2">
      <c r="A7023">
        <v>358.8</v>
      </c>
      <c r="B7023">
        <v>218.1</v>
      </c>
    </row>
    <row r="7024" spans="1:2">
      <c r="A7024">
        <v>358</v>
      </c>
      <c r="B7024">
        <v>221.5</v>
      </c>
    </row>
    <row r="7025" spans="1:2">
      <c r="A7025">
        <v>356.2</v>
      </c>
      <c r="B7025">
        <v>220.9</v>
      </c>
    </row>
    <row r="7026" spans="1:2">
      <c r="A7026">
        <v>355.8</v>
      </c>
      <c r="B7026">
        <v>218.3</v>
      </c>
    </row>
    <row r="7027" spans="1:2">
      <c r="A7027">
        <v>355.2</v>
      </c>
      <c r="B7027">
        <v>220.3</v>
      </c>
    </row>
    <row r="7028" spans="1:2">
      <c r="A7028">
        <v>353.9</v>
      </c>
      <c r="B7028">
        <v>220.2</v>
      </c>
    </row>
    <row r="7029" spans="1:2">
      <c r="A7029">
        <v>354.1</v>
      </c>
      <c r="B7029">
        <v>221.8</v>
      </c>
    </row>
    <row r="7030" spans="1:2">
      <c r="A7030">
        <v>352.3</v>
      </c>
      <c r="B7030">
        <v>221.5</v>
      </c>
    </row>
    <row r="7031" spans="1:2">
      <c r="A7031">
        <v>351.8</v>
      </c>
      <c r="B7031">
        <v>219.8</v>
      </c>
    </row>
    <row r="7032" spans="1:2">
      <c r="A7032">
        <v>350.9</v>
      </c>
      <c r="B7032">
        <v>221.8</v>
      </c>
    </row>
    <row r="7033" spans="1:2">
      <c r="A7033">
        <v>355.6</v>
      </c>
      <c r="B7033">
        <v>225.1</v>
      </c>
    </row>
    <row r="7034" spans="1:2">
      <c r="A7034">
        <v>361.6</v>
      </c>
      <c r="B7034">
        <v>222.5</v>
      </c>
    </row>
    <row r="7035" spans="1:2">
      <c r="A7035">
        <v>364.3</v>
      </c>
      <c r="B7035">
        <v>223.8</v>
      </c>
    </row>
    <row r="7036" spans="1:2">
      <c r="A7036">
        <v>366.9</v>
      </c>
      <c r="B7036">
        <v>222.5</v>
      </c>
    </row>
    <row r="7037" spans="1:2">
      <c r="A7037">
        <v>371.3</v>
      </c>
      <c r="B7037">
        <v>217.3</v>
      </c>
    </row>
    <row r="7038" spans="1:2">
      <c r="A7038">
        <v>368.5</v>
      </c>
      <c r="B7038">
        <v>213.9</v>
      </c>
    </row>
    <row r="7039" spans="1:2">
      <c r="A7039">
        <v>366.2</v>
      </c>
      <c r="B7039">
        <v>213.9</v>
      </c>
    </row>
    <row r="7040" spans="1:2">
      <c r="A7040">
        <v>367.7</v>
      </c>
      <c r="B7040">
        <v>216.1</v>
      </c>
    </row>
    <row r="7041" spans="1:2">
      <c r="A7041">
        <v>366.5</v>
      </c>
      <c r="B7041">
        <v>216.1</v>
      </c>
    </row>
    <row r="7042" spans="1:2">
      <c r="A7042">
        <v>366.6</v>
      </c>
      <c r="B7042">
        <v>217.7</v>
      </c>
    </row>
    <row r="7043" spans="1:2">
      <c r="A7043">
        <v>365.1</v>
      </c>
      <c r="B7043">
        <v>216.2</v>
      </c>
    </row>
    <row r="7044" spans="1:2">
      <c r="A7044">
        <v>364.3</v>
      </c>
      <c r="B7044">
        <v>216.9</v>
      </c>
    </row>
    <row r="7045" spans="1:2">
      <c r="A7045">
        <v>366.1</v>
      </c>
      <c r="B7045">
        <v>216</v>
      </c>
    </row>
    <row r="7046" spans="1:2">
      <c r="A7046">
        <v>365</v>
      </c>
      <c r="B7046">
        <v>212.3</v>
      </c>
    </row>
    <row r="7048" spans="1:2">
      <c r="A7048">
        <v>323.7</v>
      </c>
      <c r="B7048">
        <v>261.3</v>
      </c>
    </row>
    <row r="7049" spans="1:2">
      <c r="A7049">
        <v>329.4</v>
      </c>
      <c r="B7049">
        <v>259.60000000000002</v>
      </c>
    </row>
    <row r="7050" spans="1:2">
      <c r="A7050">
        <v>329.9</v>
      </c>
      <c r="B7050">
        <v>261.3</v>
      </c>
    </row>
    <row r="7051" spans="1:2">
      <c r="A7051">
        <v>334.2</v>
      </c>
      <c r="B7051">
        <v>258.89999999999998</v>
      </c>
    </row>
    <row r="7052" spans="1:2">
      <c r="A7052">
        <v>334.3</v>
      </c>
      <c r="B7052">
        <v>257.10000000000002</v>
      </c>
    </row>
    <row r="7053" spans="1:2">
      <c r="A7053">
        <v>330.3</v>
      </c>
      <c r="B7053">
        <v>253.7</v>
      </c>
    </row>
    <row r="7054" spans="1:2">
      <c r="A7054">
        <v>335.1</v>
      </c>
      <c r="B7054">
        <v>249.4</v>
      </c>
    </row>
    <row r="7055" spans="1:2">
      <c r="A7055">
        <v>335</v>
      </c>
      <c r="B7055">
        <v>245.1</v>
      </c>
    </row>
    <row r="7056" spans="1:2">
      <c r="A7056">
        <v>331.1</v>
      </c>
      <c r="B7056">
        <v>244.3</v>
      </c>
    </row>
    <row r="7057" spans="1:2">
      <c r="A7057">
        <v>331.6</v>
      </c>
      <c r="B7057">
        <v>241.5</v>
      </c>
    </row>
    <row r="7058" spans="1:2">
      <c r="A7058">
        <v>325.2</v>
      </c>
      <c r="B7058">
        <v>244.6</v>
      </c>
    </row>
    <row r="7059" spans="1:2">
      <c r="A7059">
        <v>325.3</v>
      </c>
      <c r="B7059">
        <v>240.8</v>
      </c>
    </row>
    <row r="7060" spans="1:2">
      <c r="A7060">
        <v>322.89999999999998</v>
      </c>
      <c r="B7060">
        <v>238.2</v>
      </c>
    </row>
    <row r="7061" spans="1:2">
      <c r="A7061">
        <v>323.8</v>
      </c>
      <c r="B7061">
        <v>236</v>
      </c>
    </row>
    <row r="7062" spans="1:2">
      <c r="A7062">
        <v>321.3</v>
      </c>
      <c r="B7062">
        <v>233.3</v>
      </c>
    </row>
    <row r="7063" spans="1:2">
      <c r="A7063">
        <v>316</v>
      </c>
      <c r="B7063">
        <v>234.2</v>
      </c>
    </row>
    <row r="7064" spans="1:2">
      <c r="A7064">
        <v>315</v>
      </c>
      <c r="B7064">
        <v>232.9</v>
      </c>
    </row>
    <row r="7065" spans="1:2">
      <c r="A7065">
        <v>311.2</v>
      </c>
      <c r="B7065">
        <v>243.3</v>
      </c>
    </row>
    <row r="7066" spans="1:2">
      <c r="A7066">
        <v>307.60000000000002</v>
      </c>
      <c r="B7066">
        <v>241.2</v>
      </c>
    </row>
    <row r="7067" spans="1:2">
      <c r="A7067">
        <v>305.60000000000002</v>
      </c>
      <c r="B7067">
        <v>243.2</v>
      </c>
    </row>
    <row r="7068" spans="1:2">
      <c r="A7068">
        <v>306.39999999999998</v>
      </c>
      <c r="B7068">
        <v>245.2</v>
      </c>
    </row>
    <row r="7069" spans="1:2">
      <c r="A7069">
        <v>304.7</v>
      </c>
      <c r="B7069">
        <v>245.5</v>
      </c>
    </row>
    <row r="7070" spans="1:2">
      <c r="A7070">
        <v>307.3</v>
      </c>
      <c r="B7070">
        <v>246.8</v>
      </c>
    </row>
    <row r="7071" spans="1:2">
      <c r="A7071">
        <v>308.7</v>
      </c>
      <c r="B7071">
        <v>245.8</v>
      </c>
    </row>
    <row r="7072" spans="1:2">
      <c r="A7072">
        <v>308.8</v>
      </c>
      <c r="B7072">
        <v>247.4</v>
      </c>
    </row>
    <row r="7073" spans="1:2">
      <c r="A7073">
        <v>314.10000000000002</v>
      </c>
      <c r="B7073">
        <v>248.6</v>
      </c>
    </row>
    <row r="7074" spans="1:2">
      <c r="A7074">
        <v>313.7</v>
      </c>
      <c r="B7074">
        <v>250.8</v>
      </c>
    </row>
    <row r="7075" spans="1:2">
      <c r="A7075">
        <v>316.39999999999998</v>
      </c>
      <c r="B7075">
        <v>255.4</v>
      </c>
    </row>
    <row r="7076" spans="1:2">
      <c r="A7076">
        <v>315.10000000000002</v>
      </c>
      <c r="B7076">
        <v>257.2</v>
      </c>
    </row>
    <row r="7077" spans="1:2">
      <c r="A7077">
        <v>323.7</v>
      </c>
      <c r="B7077">
        <v>261.3</v>
      </c>
    </row>
    <row r="7079" spans="1:2">
      <c r="A7079">
        <v>344.7</v>
      </c>
      <c r="B7079">
        <v>246.6</v>
      </c>
    </row>
    <row r="7080" spans="1:2">
      <c r="A7080">
        <v>347.9</v>
      </c>
      <c r="B7080">
        <v>246.7</v>
      </c>
    </row>
    <row r="7081" spans="1:2">
      <c r="A7081">
        <v>346.4</v>
      </c>
      <c r="B7081">
        <v>243.6</v>
      </c>
    </row>
    <row r="7082" spans="1:2">
      <c r="A7082">
        <v>349.3</v>
      </c>
      <c r="B7082">
        <v>235</v>
      </c>
    </row>
    <row r="7083" spans="1:2">
      <c r="A7083">
        <v>340.5</v>
      </c>
      <c r="B7083">
        <v>235.1</v>
      </c>
    </row>
    <row r="7084" spans="1:2">
      <c r="A7084">
        <v>339</v>
      </c>
      <c r="B7084">
        <v>229.5</v>
      </c>
    </row>
    <row r="7085" spans="1:2">
      <c r="A7085">
        <v>340.4</v>
      </c>
      <c r="B7085">
        <v>227.4</v>
      </c>
    </row>
    <row r="7086" spans="1:2">
      <c r="A7086">
        <v>335.7</v>
      </c>
      <c r="B7086">
        <v>223.3</v>
      </c>
    </row>
    <row r="7087" spans="1:2">
      <c r="A7087">
        <v>333</v>
      </c>
      <c r="B7087">
        <v>224.9</v>
      </c>
    </row>
    <row r="7088" spans="1:2">
      <c r="A7088">
        <v>332.6</v>
      </c>
      <c r="B7088">
        <v>227.6</v>
      </c>
    </row>
    <row r="7089" spans="1:2">
      <c r="A7089">
        <v>330.2</v>
      </c>
      <c r="B7089">
        <v>226.4</v>
      </c>
    </row>
    <row r="7090" spans="1:2">
      <c r="A7090">
        <v>328.4</v>
      </c>
      <c r="B7090">
        <v>228.2</v>
      </c>
    </row>
    <row r="7091" spans="1:2">
      <c r="A7091">
        <v>326.3</v>
      </c>
      <c r="B7091">
        <v>227.9</v>
      </c>
    </row>
    <row r="7092" spans="1:2">
      <c r="A7092">
        <v>323.60000000000002</v>
      </c>
      <c r="B7092">
        <v>232.6</v>
      </c>
    </row>
    <row r="7093" spans="1:2">
      <c r="A7093">
        <v>321.5</v>
      </c>
      <c r="B7093">
        <v>233.3</v>
      </c>
    </row>
    <row r="7094" spans="1:2">
      <c r="A7094">
        <v>323.89999999999998</v>
      </c>
      <c r="B7094">
        <v>236.1</v>
      </c>
    </row>
    <row r="7095" spans="1:2">
      <c r="A7095">
        <v>322.89999999999998</v>
      </c>
      <c r="B7095">
        <v>238.2</v>
      </c>
    </row>
    <row r="7096" spans="1:2">
      <c r="A7096">
        <v>325.3</v>
      </c>
      <c r="B7096">
        <v>240.8</v>
      </c>
    </row>
    <row r="7097" spans="1:2">
      <c r="A7097">
        <v>325.3</v>
      </c>
      <c r="B7097">
        <v>244.6</v>
      </c>
    </row>
    <row r="7098" spans="1:2">
      <c r="A7098">
        <v>331.6</v>
      </c>
      <c r="B7098">
        <v>241.5</v>
      </c>
    </row>
    <row r="7099" spans="1:2">
      <c r="A7099">
        <v>331</v>
      </c>
      <c r="B7099">
        <v>244.1</v>
      </c>
    </row>
    <row r="7100" spans="1:2">
      <c r="A7100">
        <v>335</v>
      </c>
      <c r="B7100">
        <v>245</v>
      </c>
    </row>
    <row r="7101" spans="1:2">
      <c r="A7101">
        <v>335.2</v>
      </c>
      <c r="B7101">
        <v>247.8</v>
      </c>
    </row>
    <row r="7102" spans="1:2">
      <c r="A7102">
        <v>339.5</v>
      </c>
      <c r="B7102">
        <v>246.7</v>
      </c>
    </row>
    <row r="7103" spans="1:2">
      <c r="A7103">
        <v>342.3</v>
      </c>
      <c r="B7103">
        <v>248.9</v>
      </c>
    </row>
    <row r="7104" spans="1:2">
      <c r="A7104">
        <v>344.7</v>
      </c>
      <c r="B7104">
        <v>246.6</v>
      </c>
    </row>
    <row r="7106" spans="1:2">
      <c r="A7106">
        <v>343.6</v>
      </c>
      <c r="B7106">
        <v>278.60000000000002</v>
      </c>
    </row>
    <row r="7107" spans="1:2">
      <c r="A7107">
        <v>344.5</v>
      </c>
      <c r="B7107">
        <v>273</v>
      </c>
    </row>
    <row r="7108" spans="1:2">
      <c r="A7108">
        <v>349.4</v>
      </c>
      <c r="B7108">
        <v>268.7</v>
      </c>
    </row>
    <row r="7109" spans="1:2">
      <c r="A7109">
        <v>348</v>
      </c>
      <c r="B7109">
        <v>255.2</v>
      </c>
    </row>
    <row r="7110" spans="1:2">
      <c r="A7110">
        <v>352.3</v>
      </c>
      <c r="B7110">
        <v>254.4</v>
      </c>
    </row>
    <row r="7111" spans="1:2">
      <c r="A7111">
        <v>354.5</v>
      </c>
      <c r="B7111">
        <v>251.6</v>
      </c>
    </row>
    <row r="7112" spans="1:2">
      <c r="A7112">
        <v>353.4</v>
      </c>
      <c r="B7112">
        <v>247.1</v>
      </c>
    </row>
    <row r="7113" spans="1:2">
      <c r="A7113">
        <v>354.4</v>
      </c>
      <c r="B7113">
        <v>246</v>
      </c>
    </row>
    <row r="7114" spans="1:2">
      <c r="A7114">
        <v>353</v>
      </c>
      <c r="B7114">
        <v>245.4</v>
      </c>
    </row>
    <row r="7115" spans="1:2">
      <c r="A7115">
        <v>350.1</v>
      </c>
      <c r="B7115">
        <v>248</v>
      </c>
    </row>
    <row r="7116" spans="1:2">
      <c r="A7116">
        <v>344.7</v>
      </c>
      <c r="B7116">
        <v>246.6</v>
      </c>
    </row>
    <row r="7117" spans="1:2">
      <c r="A7117">
        <v>342.3</v>
      </c>
      <c r="B7117">
        <v>248.9</v>
      </c>
    </row>
    <row r="7118" spans="1:2">
      <c r="A7118">
        <v>339.5</v>
      </c>
      <c r="B7118">
        <v>246.7</v>
      </c>
    </row>
    <row r="7119" spans="1:2">
      <c r="A7119">
        <v>337.3</v>
      </c>
      <c r="B7119">
        <v>246.9</v>
      </c>
    </row>
    <row r="7120" spans="1:2">
      <c r="A7120">
        <v>330.4</v>
      </c>
      <c r="B7120">
        <v>253.1</v>
      </c>
    </row>
    <row r="7121" spans="1:2">
      <c r="A7121">
        <v>331</v>
      </c>
      <c r="B7121">
        <v>255.4</v>
      </c>
    </row>
    <row r="7122" spans="1:2">
      <c r="A7122">
        <v>334.4</v>
      </c>
      <c r="B7122">
        <v>258</v>
      </c>
    </row>
    <row r="7123" spans="1:2">
      <c r="A7123">
        <v>328.2</v>
      </c>
      <c r="B7123">
        <v>263.60000000000002</v>
      </c>
    </row>
    <row r="7124" spans="1:2">
      <c r="A7124">
        <v>328.3</v>
      </c>
      <c r="B7124">
        <v>271.2</v>
      </c>
    </row>
    <row r="7125" spans="1:2">
      <c r="A7125">
        <v>333.1</v>
      </c>
      <c r="B7125">
        <v>272</v>
      </c>
    </row>
    <row r="7126" spans="1:2">
      <c r="A7126">
        <v>336.6</v>
      </c>
      <c r="B7126">
        <v>274.5</v>
      </c>
    </row>
    <row r="7127" spans="1:2">
      <c r="A7127">
        <v>341.7</v>
      </c>
      <c r="B7127">
        <v>274.60000000000002</v>
      </c>
    </row>
    <row r="7128" spans="1:2">
      <c r="A7128">
        <v>341.9</v>
      </c>
      <c r="B7128">
        <v>278.3</v>
      </c>
    </row>
    <row r="7129" spans="1:2">
      <c r="A7129">
        <v>343.6</v>
      </c>
      <c r="B7129">
        <v>278.60000000000002</v>
      </c>
    </row>
    <row r="7131" spans="1:2">
      <c r="A7131">
        <v>321.5</v>
      </c>
      <c r="B7131">
        <v>219.8</v>
      </c>
    </row>
    <row r="7132" spans="1:2">
      <c r="A7132">
        <v>328</v>
      </c>
      <c r="B7132">
        <v>219.2</v>
      </c>
    </row>
    <row r="7133" spans="1:2">
      <c r="A7133">
        <v>328.1</v>
      </c>
      <c r="B7133">
        <v>217.6</v>
      </c>
    </row>
    <row r="7134" spans="1:2">
      <c r="A7134">
        <v>330</v>
      </c>
      <c r="B7134">
        <v>217.5</v>
      </c>
    </row>
    <row r="7135" spans="1:2">
      <c r="A7135">
        <v>332.5</v>
      </c>
      <c r="B7135">
        <v>214.5</v>
      </c>
    </row>
    <row r="7136" spans="1:2">
      <c r="A7136">
        <v>334.9</v>
      </c>
      <c r="B7136">
        <v>214.8</v>
      </c>
    </row>
    <row r="7137" spans="1:2">
      <c r="A7137">
        <v>334.5</v>
      </c>
      <c r="B7137">
        <v>211.6</v>
      </c>
    </row>
    <row r="7138" spans="1:2">
      <c r="A7138">
        <v>329.4</v>
      </c>
      <c r="B7138">
        <v>210.7</v>
      </c>
    </row>
    <row r="7139" spans="1:2">
      <c r="A7139">
        <v>330.9</v>
      </c>
      <c r="B7139">
        <v>209.4</v>
      </c>
    </row>
    <row r="7140" spans="1:2">
      <c r="A7140">
        <v>329.7</v>
      </c>
      <c r="B7140">
        <v>207.3</v>
      </c>
    </row>
    <row r="7141" spans="1:2">
      <c r="A7141">
        <v>331.5</v>
      </c>
      <c r="B7141">
        <v>207.3</v>
      </c>
    </row>
    <row r="7142" spans="1:2">
      <c r="A7142">
        <v>331.1</v>
      </c>
      <c r="B7142">
        <v>209.3</v>
      </c>
    </row>
    <row r="7143" spans="1:2">
      <c r="A7143">
        <v>336.9</v>
      </c>
      <c r="B7143">
        <v>211.1</v>
      </c>
    </row>
    <row r="7144" spans="1:2">
      <c r="A7144">
        <v>336.4</v>
      </c>
      <c r="B7144">
        <v>212.6</v>
      </c>
    </row>
    <row r="7145" spans="1:2">
      <c r="A7145">
        <v>338.5</v>
      </c>
      <c r="B7145">
        <v>213.7</v>
      </c>
    </row>
    <row r="7146" spans="1:2">
      <c r="A7146">
        <v>339.7</v>
      </c>
      <c r="B7146">
        <v>211.2</v>
      </c>
    </row>
    <row r="7147" spans="1:2">
      <c r="A7147">
        <v>337.7</v>
      </c>
      <c r="B7147">
        <v>210.6</v>
      </c>
    </row>
    <row r="7148" spans="1:2">
      <c r="A7148">
        <v>340</v>
      </c>
      <c r="B7148">
        <v>209.6</v>
      </c>
    </row>
    <row r="7149" spans="1:2">
      <c r="A7149">
        <v>341.4</v>
      </c>
      <c r="B7149">
        <v>207</v>
      </c>
    </row>
    <row r="7150" spans="1:2">
      <c r="A7150">
        <v>339.9</v>
      </c>
      <c r="B7150">
        <v>206.8</v>
      </c>
    </row>
    <row r="7151" spans="1:2">
      <c r="A7151">
        <v>339.3</v>
      </c>
      <c r="B7151">
        <v>204.7</v>
      </c>
    </row>
    <row r="7152" spans="1:2">
      <c r="A7152">
        <v>338.1</v>
      </c>
      <c r="B7152">
        <v>205.3</v>
      </c>
    </row>
    <row r="7153" spans="1:2">
      <c r="A7153">
        <v>338.3</v>
      </c>
      <c r="B7153">
        <v>204.2</v>
      </c>
    </row>
    <row r="7154" spans="1:2">
      <c r="A7154">
        <v>333.1</v>
      </c>
      <c r="B7154">
        <v>204.9</v>
      </c>
    </row>
    <row r="7155" spans="1:2">
      <c r="A7155">
        <v>336.3</v>
      </c>
      <c r="B7155">
        <v>202.6</v>
      </c>
    </row>
    <row r="7156" spans="1:2">
      <c r="A7156">
        <v>332.6</v>
      </c>
      <c r="B7156">
        <v>202.4</v>
      </c>
    </row>
    <row r="7157" spans="1:2">
      <c r="A7157">
        <v>330.8</v>
      </c>
      <c r="B7157">
        <v>199.8</v>
      </c>
    </row>
    <row r="7158" spans="1:2">
      <c r="A7158">
        <v>326.89999999999998</v>
      </c>
      <c r="B7158">
        <v>198.5</v>
      </c>
    </row>
    <row r="7159" spans="1:2">
      <c r="A7159">
        <v>327.3</v>
      </c>
      <c r="B7159">
        <v>199.9</v>
      </c>
    </row>
    <row r="7160" spans="1:2">
      <c r="A7160">
        <v>325.3</v>
      </c>
      <c r="B7160">
        <v>201.4</v>
      </c>
    </row>
    <row r="7161" spans="1:2">
      <c r="A7161">
        <v>323.8</v>
      </c>
      <c r="B7161">
        <v>196.1</v>
      </c>
    </row>
    <row r="7162" spans="1:2">
      <c r="A7162">
        <v>322.10000000000002</v>
      </c>
      <c r="B7162">
        <v>196.4</v>
      </c>
    </row>
    <row r="7163" spans="1:2">
      <c r="A7163">
        <v>321.39999999999998</v>
      </c>
      <c r="B7163">
        <v>194.6</v>
      </c>
    </row>
    <row r="7164" spans="1:2">
      <c r="A7164">
        <v>320</v>
      </c>
      <c r="B7164">
        <v>197.9</v>
      </c>
    </row>
    <row r="7165" spans="1:2">
      <c r="A7165">
        <v>320.89999999999998</v>
      </c>
      <c r="B7165">
        <v>198.9</v>
      </c>
    </row>
    <row r="7166" spans="1:2">
      <c r="A7166">
        <v>317</v>
      </c>
      <c r="B7166">
        <v>199.7</v>
      </c>
    </row>
    <row r="7167" spans="1:2">
      <c r="A7167">
        <v>314.7</v>
      </c>
      <c r="B7167">
        <v>198.7</v>
      </c>
    </row>
    <row r="7168" spans="1:2">
      <c r="A7168">
        <v>315.2</v>
      </c>
      <c r="B7168">
        <v>194</v>
      </c>
    </row>
    <row r="7169" spans="1:2">
      <c r="A7169">
        <v>311.2</v>
      </c>
      <c r="B7169">
        <v>195.7</v>
      </c>
    </row>
    <row r="7170" spans="1:2">
      <c r="A7170">
        <v>309.2</v>
      </c>
      <c r="B7170">
        <v>193.4</v>
      </c>
    </row>
    <row r="7171" spans="1:2">
      <c r="A7171">
        <v>308.10000000000002</v>
      </c>
      <c r="B7171">
        <v>195.2</v>
      </c>
    </row>
    <row r="7172" spans="1:2">
      <c r="A7172">
        <v>306.5</v>
      </c>
      <c r="B7172">
        <v>194.7</v>
      </c>
    </row>
    <row r="7173" spans="1:2">
      <c r="A7173">
        <v>309.3</v>
      </c>
      <c r="B7173">
        <v>203.4</v>
      </c>
    </row>
    <row r="7174" spans="1:2">
      <c r="A7174">
        <v>310.60000000000002</v>
      </c>
      <c r="B7174">
        <v>204.6</v>
      </c>
    </row>
    <row r="7175" spans="1:2">
      <c r="A7175">
        <v>312.39999999999998</v>
      </c>
      <c r="B7175">
        <v>203.8</v>
      </c>
    </row>
    <row r="7176" spans="1:2">
      <c r="A7176">
        <v>311.7</v>
      </c>
      <c r="B7176">
        <v>208.4</v>
      </c>
    </row>
    <row r="7177" spans="1:2">
      <c r="A7177">
        <v>316</v>
      </c>
      <c r="B7177">
        <v>213.4</v>
      </c>
    </row>
    <row r="7178" spans="1:2">
      <c r="A7178">
        <v>314.2</v>
      </c>
      <c r="B7178">
        <v>213.8</v>
      </c>
    </row>
    <row r="7179" spans="1:2">
      <c r="A7179">
        <v>314.2</v>
      </c>
      <c r="B7179">
        <v>216.1</v>
      </c>
    </row>
    <row r="7180" spans="1:2">
      <c r="A7180">
        <v>321.5</v>
      </c>
      <c r="B7180">
        <v>219.8</v>
      </c>
    </row>
    <row r="7182" spans="1:2">
      <c r="A7182">
        <v>300.39999999999998</v>
      </c>
      <c r="B7182">
        <v>196.8</v>
      </c>
    </row>
    <row r="7183" spans="1:2">
      <c r="A7183">
        <v>298.39999999999998</v>
      </c>
      <c r="B7183">
        <v>191.2</v>
      </c>
    </row>
    <row r="7184" spans="1:2">
      <c r="A7184">
        <v>299.60000000000002</v>
      </c>
      <c r="B7184">
        <v>191</v>
      </c>
    </row>
    <row r="7185" spans="1:2">
      <c r="A7185">
        <v>299.39999999999998</v>
      </c>
      <c r="B7185">
        <v>192.7</v>
      </c>
    </row>
    <row r="7186" spans="1:2">
      <c r="A7186">
        <v>301.7</v>
      </c>
      <c r="B7186">
        <v>194.4</v>
      </c>
    </row>
    <row r="7187" spans="1:2">
      <c r="A7187">
        <v>301.10000000000002</v>
      </c>
      <c r="B7187">
        <v>193.5</v>
      </c>
    </row>
    <row r="7188" spans="1:2">
      <c r="A7188">
        <v>303.39999999999998</v>
      </c>
      <c r="B7188">
        <v>191.9</v>
      </c>
    </row>
    <row r="7189" spans="1:2">
      <c r="A7189">
        <v>302.2</v>
      </c>
      <c r="B7189">
        <v>189.6</v>
      </c>
    </row>
    <row r="7190" spans="1:2">
      <c r="A7190">
        <v>305.10000000000002</v>
      </c>
      <c r="B7190">
        <v>186.9</v>
      </c>
    </row>
    <row r="7191" spans="1:2">
      <c r="A7191">
        <v>299.60000000000002</v>
      </c>
      <c r="B7191">
        <v>189</v>
      </c>
    </row>
    <row r="7192" spans="1:2">
      <c r="A7192">
        <v>297.60000000000002</v>
      </c>
      <c r="B7192">
        <v>187.8</v>
      </c>
    </row>
    <row r="7193" spans="1:2">
      <c r="A7193">
        <v>294.8</v>
      </c>
      <c r="B7193">
        <v>188.6</v>
      </c>
    </row>
    <row r="7194" spans="1:2">
      <c r="A7194">
        <v>294.3</v>
      </c>
      <c r="B7194">
        <v>191.6</v>
      </c>
    </row>
    <row r="7195" spans="1:2">
      <c r="A7195">
        <v>297.7</v>
      </c>
      <c r="B7195">
        <v>196.3</v>
      </c>
    </row>
    <row r="7196" spans="1:2">
      <c r="A7196">
        <v>300.39999999999998</v>
      </c>
      <c r="B7196">
        <v>196.8</v>
      </c>
    </row>
    <row r="7198" spans="1:2">
      <c r="A7198">
        <v>289.10000000000002</v>
      </c>
      <c r="B7198">
        <v>190.4</v>
      </c>
    </row>
    <row r="7199" spans="1:2">
      <c r="A7199">
        <v>293.39999999999998</v>
      </c>
      <c r="B7199">
        <v>184.4</v>
      </c>
    </row>
    <row r="7200" spans="1:2">
      <c r="A7200">
        <v>296.60000000000002</v>
      </c>
      <c r="B7200">
        <v>187.4</v>
      </c>
    </row>
    <row r="7201" spans="1:2">
      <c r="A7201">
        <v>300.2</v>
      </c>
      <c r="B7201">
        <v>187.6</v>
      </c>
    </row>
    <row r="7202" spans="1:2">
      <c r="A7202">
        <v>303.3</v>
      </c>
      <c r="B7202">
        <v>185.8</v>
      </c>
    </row>
    <row r="7203" spans="1:2">
      <c r="A7203">
        <v>302</v>
      </c>
      <c r="B7203">
        <v>183.5</v>
      </c>
    </row>
    <row r="7204" spans="1:2">
      <c r="A7204">
        <v>302.39999999999998</v>
      </c>
      <c r="B7204">
        <v>178</v>
      </c>
    </row>
    <row r="7205" spans="1:2">
      <c r="A7205">
        <v>300.5</v>
      </c>
      <c r="B7205">
        <v>175.6</v>
      </c>
    </row>
    <row r="7206" spans="1:2">
      <c r="A7206">
        <v>302.8</v>
      </c>
      <c r="B7206">
        <v>174.1</v>
      </c>
    </row>
    <row r="7207" spans="1:2">
      <c r="A7207">
        <v>299.2</v>
      </c>
      <c r="B7207">
        <v>173.3</v>
      </c>
    </row>
    <row r="7208" spans="1:2">
      <c r="A7208">
        <v>298.8</v>
      </c>
      <c r="B7208">
        <v>175.7</v>
      </c>
    </row>
    <row r="7209" spans="1:2">
      <c r="A7209">
        <v>298.10000000000002</v>
      </c>
      <c r="B7209">
        <v>174.3</v>
      </c>
    </row>
    <row r="7210" spans="1:2">
      <c r="A7210">
        <v>296.5</v>
      </c>
      <c r="B7210">
        <v>175.3</v>
      </c>
    </row>
    <row r="7211" spans="1:2">
      <c r="A7211">
        <v>296.10000000000002</v>
      </c>
      <c r="B7211">
        <v>174</v>
      </c>
    </row>
    <row r="7212" spans="1:2">
      <c r="A7212">
        <v>293.7</v>
      </c>
      <c r="B7212">
        <v>174.1</v>
      </c>
    </row>
    <row r="7213" spans="1:2">
      <c r="A7213">
        <v>293</v>
      </c>
      <c r="B7213">
        <v>181.4</v>
      </c>
    </row>
    <row r="7214" spans="1:2">
      <c r="A7214">
        <v>289</v>
      </c>
      <c r="B7214">
        <v>180.1</v>
      </c>
    </row>
    <row r="7215" spans="1:2">
      <c r="A7215">
        <v>289.3</v>
      </c>
      <c r="B7215">
        <v>176</v>
      </c>
    </row>
    <row r="7216" spans="1:2">
      <c r="A7216">
        <v>285</v>
      </c>
      <c r="B7216">
        <v>176.1</v>
      </c>
    </row>
    <row r="7217" spans="1:2">
      <c r="A7217">
        <v>283.10000000000002</v>
      </c>
      <c r="B7217">
        <v>179.1</v>
      </c>
    </row>
    <row r="7218" spans="1:2">
      <c r="A7218">
        <v>285.10000000000002</v>
      </c>
      <c r="B7218">
        <v>181.3</v>
      </c>
    </row>
    <row r="7219" spans="1:2">
      <c r="A7219">
        <v>280.7</v>
      </c>
      <c r="B7219">
        <v>189.6</v>
      </c>
    </row>
    <row r="7220" spans="1:2">
      <c r="A7220">
        <v>282.5</v>
      </c>
      <c r="B7220">
        <v>192.1</v>
      </c>
    </row>
    <row r="7221" spans="1:2">
      <c r="A7221">
        <v>282.2</v>
      </c>
      <c r="B7221">
        <v>195</v>
      </c>
    </row>
    <row r="7222" spans="1:2">
      <c r="A7222">
        <v>285.39999999999998</v>
      </c>
      <c r="B7222">
        <v>194.8</v>
      </c>
    </row>
    <row r="7223" spans="1:2">
      <c r="A7223">
        <v>284.7</v>
      </c>
      <c r="B7223">
        <v>197.7</v>
      </c>
    </row>
    <row r="7224" spans="1:2">
      <c r="A7224">
        <v>288</v>
      </c>
      <c r="B7224">
        <v>199.7</v>
      </c>
    </row>
    <row r="7225" spans="1:2">
      <c r="A7225">
        <v>291</v>
      </c>
      <c r="B7225">
        <v>199.1</v>
      </c>
    </row>
    <row r="7226" spans="1:2">
      <c r="A7226">
        <v>291.39999999999998</v>
      </c>
      <c r="B7226">
        <v>197.3</v>
      </c>
    </row>
    <row r="7227" spans="1:2">
      <c r="A7227">
        <v>291</v>
      </c>
      <c r="B7227">
        <v>193.8</v>
      </c>
    </row>
    <row r="7228" spans="1:2">
      <c r="A7228">
        <v>288.89999999999998</v>
      </c>
      <c r="B7228">
        <v>192.9</v>
      </c>
    </row>
    <row r="7229" spans="1:2">
      <c r="A7229">
        <v>289.10000000000002</v>
      </c>
      <c r="B7229">
        <v>190.4</v>
      </c>
    </row>
    <row r="7231" spans="1:2">
      <c r="A7231">
        <v>265.8</v>
      </c>
      <c r="B7231">
        <v>240.7</v>
      </c>
    </row>
    <row r="7232" spans="1:2">
      <c r="A7232">
        <v>270</v>
      </c>
      <c r="B7232">
        <v>240.3</v>
      </c>
    </row>
    <row r="7233" spans="1:2">
      <c r="A7233">
        <v>271.7</v>
      </c>
      <c r="B7233">
        <v>234.1</v>
      </c>
    </row>
    <row r="7234" spans="1:2">
      <c r="A7234">
        <v>275.10000000000002</v>
      </c>
      <c r="B7234">
        <v>232.9</v>
      </c>
    </row>
    <row r="7235" spans="1:2">
      <c r="A7235">
        <v>277.89999999999998</v>
      </c>
      <c r="B7235">
        <v>229.2</v>
      </c>
    </row>
    <row r="7236" spans="1:2">
      <c r="A7236">
        <v>283.8</v>
      </c>
      <c r="B7236">
        <v>230.1</v>
      </c>
    </row>
    <row r="7237" spans="1:2">
      <c r="A7237">
        <v>286</v>
      </c>
      <c r="B7237">
        <v>233.6</v>
      </c>
    </row>
    <row r="7238" spans="1:2">
      <c r="A7238">
        <v>288.10000000000002</v>
      </c>
      <c r="B7238">
        <v>232.6</v>
      </c>
    </row>
    <row r="7239" spans="1:2">
      <c r="A7239">
        <v>288.3</v>
      </c>
      <c r="B7239">
        <v>226.8</v>
      </c>
    </row>
    <row r="7240" spans="1:2">
      <c r="A7240">
        <v>292.2</v>
      </c>
      <c r="B7240">
        <v>223.4</v>
      </c>
    </row>
    <row r="7241" spans="1:2">
      <c r="A7241">
        <v>291.39999999999998</v>
      </c>
      <c r="B7241">
        <v>221.2</v>
      </c>
    </row>
    <row r="7242" spans="1:2">
      <c r="A7242">
        <v>288.60000000000002</v>
      </c>
      <c r="B7242">
        <v>222.4</v>
      </c>
    </row>
    <row r="7243" spans="1:2">
      <c r="A7243">
        <v>286.89999999999998</v>
      </c>
      <c r="B7243">
        <v>221.2</v>
      </c>
    </row>
    <row r="7244" spans="1:2">
      <c r="A7244">
        <v>289.7</v>
      </c>
      <c r="B7244">
        <v>218.5</v>
      </c>
    </row>
    <row r="7245" spans="1:2">
      <c r="A7245">
        <v>288.2</v>
      </c>
      <c r="B7245">
        <v>214.9</v>
      </c>
    </row>
    <row r="7246" spans="1:2">
      <c r="A7246">
        <v>291.5</v>
      </c>
      <c r="B7246">
        <v>210.7</v>
      </c>
    </row>
    <row r="7247" spans="1:2">
      <c r="A7247">
        <v>290.8</v>
      </c>
      <c r="B7247">
        <v>204.3</v>
      </c>
    </row>
    <row r="7248" spans="1:2">
      <c r="A7248">
        <v>287.2</v>
      </c>
      <c r="B7248">
        <v>200</v>
      </c>
    </row>
    <row r="7249" spans="1:2">
      <c r="A7249">
        <v>284.2</v>
      </c>
      <c r="B7249">
        <v>199.8</v>
      </c>
    </row>
    <row r="7250" spans="1:2">
      <c r="A7250">
        <v>283.60000000000002</v>
      </c>
      <c r="B7250">
        <v>201.5</v>
      </c>
    </row>
    <row r="7251" spans="1:2">
      <c r="A7251">
        <v>280</v>
      </c>
      <c r="B7251">
        <v>197.2</v>
      </c>
    </row>
    <row r="7252" spans="1:2">
      <c r="A7252">
        <v>276.39999999999998</v>
      </c>
      <c r="B7252">
        <v>201.9</v>
      </c>
    </row>
    <row r="7253" spans="1:2">
      <c r="A7253">
        <v>278.7</v>
      </c>
      <c r="B7253">
        <v>207.7</v>
      </c>
    </row>
    <row r="7254" spans="1:2">
      <c r="A7254">
        <v>277</v>
      </c>
      <c r="B7254">
        <v>211.3</v>
      </c>
    </row>
    <row r="7255" spans="1:2">
      <c r="A7255">
        <v>271</v>
      </c>
      <c r="B7255">
        <v>216.5</v>
      </c>
    </row>
    <row r="7256" spans="1:2">
      <c r="A7256">
        <v>270.3</v>
      </c>
      <c r="B7256">
        <v>220.1</v>
      </c>
    </row>
    <row r="7257" spans="1:2">
      <c r="A7257">
        <v>264.5</v>
      </c>
      <c r="B7257">
        <v>225.5</v>
      </c>
    </row>
    <row r="7258" spans="1:2">
      <c r="A7258">
        <v>263.8</v>
      </c>
      <c r="B7258">
        <v>232.6</v>
      </c>
    </row>
    <row r="7259" spans="1:2">
      <c r="A7259">
        <v>260.5</v>
      </c>
      <c r="B7259">
        <v>237.4</v>
      </c>
    </row>
    <row r="7260" spans="1:2">
      <c r="A7260">
        <v>260.5</v>
      </c>
      <c r="B7260">
        <v>238.9</v>
      </c>
    </row>
    <row r="7261" spans="1:2">
      <c r="A7261">
        <v>263.8</v>
      </c>
      <c r="B7261">
        <v>241.3</v>
      </c>
    </row>
    <row r="7262" spans="1:2">
      <c r="A7262">
        <v>265.8</v>
      </c>
      <c r="B7262">
        <v>240.7</v>
      </c>
    </row>
    <row r="7264" spans="1:2">
      <c r="A7264">
        <v>285.8</v>
      </c>
      <c r="B7264">
        <v>267.7</v>
      </c>
    </row>
    <row r="7265" spans="1:2">
      <c r="A7265">
        <v>286.8</v>
      </c>
      <c r="B7265">
        <v>262.60000000000002</v>
      </c>
    </row>
    <row r="7266" spans="1:2">
      <c r="A7266">
        <v>288.89999999999998</v>
      </c>
      <c r="B7266">
        <v>263.39999999999998</v>
      </c>
    </row>
    <row r="7267" spans="1:2">
      <c r="A7267">
        <v>291</v>
      </c>
      <c r="B7267">
        <v>261.2</v>
      </c>
    </row>
    <row r="7268" spans="1:2">
      <c r="A7268">
        <v>294</v>
      </c>
      <c r="B7268">
        <v>261.5</v>
      </c>
    </row>
    <row r="7269" spans="1:2">
      <c r="A7269">
        <v>295.89999999999998</v>
      </c>
      <c r="B7269">
        <v>254.3</v>
      </c>
    </row>
    <row r="7270" spans="1:2">
      <c r="A7270">
        <v>300.2</v>
      </c>
      <c r="B7270">
        <v>250.5</v>
      </c>
    </row>
    <row r="7271" spans="1:2">
      <c r="A7271">
        <v>302.2</v>
      </c>
      <c r="B7271">
        <v>250.6</v>
      </c>
    </row>
    <row r="7272" spans="1:2">
      <c r="A7272">
        <v>305.3</v>
      </c>
      <c r="B7272">
        <v>246.7</v>
      </c>
    </row>
    <row r="7273" spans="1:2">
      <c r="A7273">
        <v>304.5</v>
      </c>
      <c r="B7273">
        <v>245.5</v>
      </c>
    </row>
    <row r="7274" spans="1:2">
      <c r="A7274">
        <v>306.39999999999998</v>
      </c>
      <c r="B7274">
        <v>245.2</v>
      </c>
    </row>
    <row r="7275" spans="1:2">
      <c r="A7275">
        <v>305.7</v>
      </c>
      <c r="B7275">
        <v>242.8</v>
      </c>
    </row>
    <row r="7276" spans="1:2">
      <c r="A7276">
        <v>307.60000000000002</v>
      </c>
      <c r="B7276">
        <v>241.5</v>
      </c>
    </row>
    <row r="7277" spans="1:2">
      <c r="A7277">
        <v>302.60000000000002</v>
      </c>
      <c r="B7277">
        <v>241.6</v>
      </c>
    </row>
    <row r="7278" spans="1:2">
      <c r="A7278">
        <v>301.3</v>
      </c>
      <c r="B7278">
        <v>238.5</v>
      </c>
    </row>
    <row r="7279" spans="1:2">
      <c r="A7279">
        <v>296.3</v>
      </c>
      <c r="B7279">
        <v>236.5</v>
      </c>
    </row>
    <row r="7280" spans="1:2">
      <c r="A7280">
        <v>294.60000000000002</v>
      </c>
      <c r="B7280">
        <v>232.2</v>
      </c>
    </row>
    <row r="7281" spans="1:2">
      <c r="A7281">
        <v>290.5</v>
      </c>
      <c r="B7281">
        <v>232.7</v>
      </c>
    </row>
    <row r="7282" spans="1:2">
      <c r="A7282">
        <v>289.5</v>
      </c>
      <c r="B7282">
        <v>229.7</v>
      </c>
    </row>
    <row r="7283" spans="1:2">
      <c r="A7283">
        <v>287.89999999999998</v>
      </c>
      <c r="B7283">
        <v>229.9</v>
      </c>
    </row>
    <row r="7284" spans="1:2">
      <c r="A7284">
        <v>288.10000000000002</v>
      </c>
      <c r="B7284">
        <v>232.6</v>
      </c>
    </row>
    <row r="7285" spans="1:2">
      <c r="A7285">
        <v>286.10000000000002</v>
      </c>
      <c r="B7285">
        <v>233.6</v>
      </c>
    </row>
    <row r="7286" spans="1:2">
      <c r="A7286">
        <v>283.8</v>
      </c>
      <c r="B7286">
        <v>230.1</v>
      </c>
    </row>
    <row r="7287" spans="1:2">
      <c r="A7287">
        <v>277.89999999999998</v>
      </c>
      <c r="B7287">
        <v>229.2</v>
      </c>
    </row>
    <row r="7288" spans="1:2">
      <c r="A7288">
        <v>275.10000000000002</v>
      </c>
      <c r="B7288">
        <v>232.9</v>
      </c>
    </row>
    <row r="7289" spans="1:2">
      <c r="A7289">
        <v>271.7</v>
      </c>
      <c r="B7289">
        <v>234.1</v>
      </c>
    </row>
    <row r="7290" spans="1:2">
      <c r="A7290">
        <v>270.3</v>
      </c>
      <c r="B7290">
        <v>240</v>
      </c>
    </row>
    <row r="7291" spans="1:2">
      <c r="A7291">
        <v>274</v>
      </c>
      <c r="B7291">
        <v>242</v>
      </c>
    </row>
    <row r="7292" spans="1:2">
      <c r="A7292">
        <v>275.5</v>
      </c>
      <c r="B7292">
        <v>248.5</v>
      </c>
    </row>
    <row r="7293" spans="1:2">
      <c r="A7293">
        <v>278.3</v>
      </c>
      <c r="B7293">
        <v>252.5</v>
      </c>
    </row>
    <row r="7294" spans="1:2">
      <c r="A7294">
        <v>277.7</v>
      </c>
      <c r="B7294">
        <v>253.6</v>
      </c>
    </row>
    <row r="7295" spans="1:2">
      <c r="A7295">
        <v>281.2</v>
      </c>
      <c r="B7295">
        <v>256.39999999999998</v>
      </c>
    </row>
    <row r="7296" spans="1:2">
      <c r="A7296">
        <v>281.5</v>
      </c>
      <c r="B7296">
        <v>262.3</v>
      </c>
    </row>
    <row r="7297" spans="1:2">
      <c r="A7297">
        <v>285.8</v>
      </c>
      <c r="B7297">
        <v>267.7</v>
      </c>
    </row>
    <row r="7299" spans="1:2">
      <c r="A7299">
        <v>270.8</v>
      </c>
      <c r="B7299">
        <v>287.5</v>
      </c>
    </row>
    <row r="7300" spans="1:2">
      <c r="A7300">
        <v>274.2</v>
      </c>
      <c r="B7300">
        <v>283.3</v>
      </c>
    </row>
    <row r="7301" spans="1:2">
      <c r="A7301">
        <v>276.60000000000002</v>
      </c>
      <c r="B7301">
        <v>284.5</v>
      </c>
    </row>
    <row r="7302" spans="1:2">
      <c r="A7302">
        <v>283</v>
      </c>
      <c r="B7302">
        <v>276.8</v>
      </c>
    </row>
    <row r="7303" spans="1:2">
      <c r="A7303">
        <v>286.8</v>
      </c>
      <c r="B7303">
        <v>277.60000000000002</v>
      </c>
    </row>
    <row r="7304" spans="1:2">
      <c r="A7304">
        <v>286.2</v>
      </c>
      <c r="B7304">
        <v>272.7</v>
      </c>
    </row>
    <row r="7305" spans="1:2">
      <c r="A7305">
        <v>283.10000000000002</v>
      </c>
      <c r="B7305">
        <v>268.60000000000002</v>
      </c>
    </row>
    <row r="7306" spans="1:2">
      <c r="A7306">
        <v>284.89999999999998</v>
      </c>
      <c r="B7306">
        <v>267.10000000000002</v>
      </c>
    </row>
    <row r="7307" spans="1:2">
      <c r="A7307">
        <v>281.5</v>
      </c>
      <c r="B7307">
        <v>262.3</v>
      </c>
    </row>
    <row r="7308" spans="1:2">
      <c r="A7308">
        <v>281.2</v>
      </c>
      <c r="B7308">
        <v>256.39999999999998</v>
      </c>
    </row>
    <row r="7309" spans="1:2">
      <c r="A7309">
        <v>278.5</v>
      </c>
      <c r="B7309">
        <v>255.1</v>
      </c>
    </row>
    <row r="7310" spans="1:2">
      <c r="A7310">
        <v>279.10000000000002</v>
      </c>
      <c r="B7310">
        <v>253.7</v>
      </c>
    </row>
    <row r="7311" spans="1:2">
      <c r="A7311">
        <v>277.7</v>
      </c>
      <c r="B7311">
        <v>253.6</v>
      </c>
    </row>
    <row r="7312" spans="1:2">
      <c r="A7312">
        <v>278.3</v>
      </c>
      <c r="B7312">
        <v>252.5</v>
      </c>
    </row>
    <row r="7313" spans="1:2">
      <c r="A7313">
        <v>275.5</v>
      </c>
      <c r="B7313">
        <v>248.5</v>
      </c>
    </row>
    <row r="7314" spans="1:2">
      <c r="A7314">
        <v>274</v>
      </c>
      <c r="B7314">
        <v>242</v>
      </c>
    </row>
    <row r="7315" spans="1:2">
      <c r="A7315">
        <v>271.2</v>
      </c>
      <c r="B7315">
        <v>239.6</v>
      </c>
    </row>
    <row r="7316" spans="1:2">
      <c r="A7316">
        <v>264.3</v>
      </c>
      <c r="B7316">
        <v>241.5</v>
      </c>
    </row>
    <row r="7317" spans="1:2">
      <c r="A7317">
        <v>263.39999999999998</v>
      </c>
      <c r="B7317">
        <v>245.1</v>
      </c>
    </row>
    <row r="7318" spans="1:2">
      <c r="A7318">
        <v>269</v>
      </c>
      <c r="B7318">
        <v>253.7</v>
      </c>
    </row>
    <row r="7319" spans="1:2">
      <c r="A7319">
        <v>265.7</v>
      </c>
      <c r="B7319">
        <v>255.2</v>
      </c>
    </row>
    <row r="7320" spans="1:2">
      <c r="A7320">
        <v>267.10000000000002</v>
      </c>
      <c r="B7320">
        <v>258.2</v>
      </c>
    </row>
    <row r="7321" spans="1:2">
      <c r="A7321">
        <v>265</v>
      </c>
      <c r="B7321">
        <v>263.5</v>
      </c>
    </row>
    <row r="7322" spans="1:2">
      <c r="A7322">
        <v>261.2</v>
      </c>
      <c r="B7322">
        <v>265.39999999999998</v>
      </c>
    </row>
    <row r="7323" spans="1:2">
      <c r="A7323">
        <v>263.60000000000002</v>
      </c>
      <c r="B7323">
        <v>271.3</v>
      </c>
    </row>
    <row r="7324" spans="1:2">
      <c r="A7324">
        <v>265.60000000000002</v>
      </c>
      <c r="B7324">
        <v>272.39999999999998</v>
      </c>
    </row>
    <row r="7325" spans="1:2">
      <c r="A7325">
        <v>264.3</v>
      </c>
      <c r="B7325">
        <v>275.39999999999998</v>
      </c>
    </row>
    <row r="7326" spans="1:2">
      <c r="A7326">
        <v>267.8</v>
      </c>
      <c r="B7326">
        <v>282.3</v>
      </c>
    </row>
    <row r="7327" spans="1:2">
      <c r="A7327">
        <v>268.3</v>
      </c>
      <c r="B7327">
        <v>288.7</v>
      </c>
    </row>
    <row r="7328" spans="1:2">
      <c r="A7328">
        <v>270.8</v>
      </c>
      <c r="B7328">
        <v>287.5</v>
      </c>
    </row>
    <row r="7330" spans="1:2">
      <c r="A7330">
        <v>287.3</v>
      </c>
      <c r="B7330">
        <v>303.5</v>
      </c>
    </row>
    <row r="7331" spans="1:2">
      <c r="A7331">
        <v>288.2</v>
      </c>
      <c r="B7331">
        <v>301.39999999999998</v>
      </c>
    </row>
    <row r="7332" spans="1:2">
      <c r="A7332">
        <v>290.5</v>
      </c>
      <c r="B7332">
        <v>302.10000000000002</v>
      </c>
    </row>
    <row r="7333" spans="1:2">
      <c r="A7333">
        <v>291</v>
      </c>
      <c r="B7333">
        <v>298</v>
      </c>
    </row>
    <row r="7334" spans="1:2">
      <c r="A7334">
        <v>295.89999999999998</v>
      </c>
      <c r="B7334">
        <v>298.39999999999998</v>
      </c>
    </row>
    <row r="7335" spans="1:2">
      <c r="A7335">
        <v>298.5</v>
      </c>
      <c r="B7335">
        <v>295.2</v>
      </c>
    </row>
    <row r="7336" spans="1:2">
      <c r="A7336">
        <v>303.60000000000002</v>
      </c>
      <c r="B7336">
        <v>296.5</v>
      </c>
    </row>
    <row r="7337" spans="1:2">
      <c r="A7337">
        <v>305.39999999999998</v>
      </c>
      <c r="B7337">
        <v>295.3</v>
      </c>
    </row>
    <row r="7338" spans="1:2">
      <c r="A7338">
        <v>300.60000000000002</v>
      </c>
      <c r="B7338">
        <v>290.5</v>
      </c>
    </row>
    <row r="7339" spans="1:2">
      <c r="A7339">
        <v>305.60000000000002</v>
      </c>
      <c r="B7339">
        <v>279.5</v>
      </c>
    </row>
    <row r="7340" spans="1:2">
      <c r="A7340">
        <v>303.8</v>
      </c>
      <c r="B7340">
        <v>278.3</v>
      </c>
    </row>
    <row r="7341" spans="1:2">
      <c r="A7341">
        <v>301.89999999999998</v>
      </c>
      <c r="B7341">
        <v>278.89999999999998</v>
      </c>
    </row>
    <row r="7342" spans="1:2">
      <c r="A7342">
        <v>297.8</v>
      </c>
      <c r="B7342">
        <v>274.5</v>
      </c>
    </row>
    <row r="7343" spans="1:2">
      <c r="A7343">
        <v>295.8</v>
      </c>
      <c r="B7343">
        <v>266.7</v>
      </c>
    </row>
    <row r="7344" spans="1:2">
      <c r="A7344">
        <v>293.5</v>
      </c>
      <c r="B7344">
        <v>264.5</v>
      </c>
    </row>
    <row r="7345" spans="1:2">
      <c r="A7345">
        <v>294</v>
      </c>
      <c r="B7345">
        <v>261.5</v>
      </c>
    </row>
    <row r="7346" spans="1:2">
      <c r="A7346">
        <v>292.39999999999998</v>
      </c>
      <c r="B7346">
        <v>261.10000000000002</v>
      </c>
    </row>
    <row r="7347" spans="1:2">
      <c r="A7347">
        <v>288.89999999999998</v>
      </c>
      <c r="B7347">
        <v>263.39999999999998</v>
      </c>
    </row>
    <row r="7348" spans="1:2">
      <c r="A7348">
        <v>286.8</v>
      </c>
      <c r="B7348">
        <v>262.60000000000002</v>
      </c>
    </row>
    <row r="7349" spans="1:2">
      <c r="A7349">
        <v>286.2</v>
      </c>
      <c r="B7349">
        <v>267.7</v>
      </c>
    </row>
    <row r="7350" spans="1:2">
      <c r="A7350">
        <v>283.10000000000002</v>
      </c>
      <c r="B7350">
        <v>267.89999999999998</v>
      </c>
    </row>
    <row r="7351" spans="1:2">
      <c r="A7351">
        <v>286.2</v>
      </c>
      <c r="B7351">
        <v>272.7</v>
      </c>
    </row>
    <row r="7352" spans="1:2">
      <c r="A7352">
        <v>286.7</v>
      </c>
      <c r="B7352">
        <v>277.89999999999998</v>
      </c>
    </row>
    <row r="7353" spans="1:2">
      <c r="A7353">
        <v>283</v>
      </c>
      <c r="B7353">
        <v>276.8</v>
      </c>
    </row>
    <row r="7354" spans="1:2">
      <c r="A7354">
        <v>276.60000000000002</v>
      </c>
      <c r="B7354">
        <v>284.5</v>
      </c>
    </row>
    <row r="7355" spans="1:2">
      <c r="A7355">
        <v>274.2</v>
      </c>
      <c r="B7355">
        <v>283.3</v>
      </c>
    </row>
    <row r="7356" spans="1:2">
      <c r="A7356">
        <v>269.5</v>
      </c>
      <c r="B7356">
        <v>288.60000000000002</v>
      </c>
    </row>
    <row r="7357" spans="1:2">
      <c r="A7357">
        <v>272.89999999999998</v>
      </c>
      <c r="B7357">
        <v>291.7</v>
      </c>
    </row>
    <row r="7358" spans="1:2">
      <c r="A7358">
        <v>275.10000000000002</v>
      </c>
      <c r="B7358">
        <v>296.8</v>
      </c>
    </row>
    <row r="7359" spans="1:2">
      <c r="A7359">
        <v>276.5</v>
      </c>
      <c r="B7359">
        <v>296</v>
      </c>
    </row>
    <row r="7360" spans="1:2">
      <c r="A7360">
        <v>281.2</v>
      </c>
      <c r="B7360">
        <v>297.8</v>
      </c>
    </row>
    <row r="7361" spans="1:2">
      <c r="A7361">
        <v>283.89999999999998</v>
      </c>
      <c r="B7361">
        <v>299.5</v>
      </c>
    </row>
    <row r="7362" spans="1:2">
      <c r="A7362">
        <v>285.2</v>
      </c>
      <c r="B7362">
        <v>303.5</v>
      </c>
    </row>
    <row r="7363" spans="1:2">
      <c r="A7363">
        <v>287.3</v>
      </c>
      <c r="B7363">
        <v>303.5</v>
      </c>
    </row>
    <row r="7365" spans="1:2">
      <c r="A7365">
        <v>306.10000000000002</v>
      </c>
      <c r="B7365">
        <v>295.3</v>
      </c>
    </row>
    <row r="7366" spans="1:2">
      <c r="A7366">
        <v>308.3</v>
      </c>
      <c r="B7366">
        <v>294.39999999999998</v>
      </c>
    </row>
    <row r="7367" spans="1:2">
      <c r="A7367">
        <v>308.8</v>
      </c>
      <c r="B7367">
        <v>290.89999999999998</v>
      </c>
    </row>
    <row r="7368" spans="1:2">
      <c r="A7368">
        <v>311.39999999999998</v>
      </c>
      <c r="B7368">
        <v>290.3</v>
      </c>
    </row>
    <row r="7369" spans="1:2">
      <c r="A7369">
        <v>314.8</v>
      </c>
      <c r="B7369">
        <v>285.10000000000002</v>
      </c>
    </row>
    <row r="7370" spans="1:2">
      <c r="A7370">
        <v>315.39999999999998</v>
      </c>
      <c r="B7370">
        <v>279.5</v>
      </c>
    </row>
    <row r="7371" spans="1:2">
      <c r="A7371">
        <v>311.8</v>
      </c>
      <c r="B7371">
        <v>278.3</v>
      </c>
    </row>
    <row r="7372" spans="1:2">
      <c r="A7372">
        <v>311.5</v>
      </c>
      <c r="B7372">
        <v>276.3</v>
      </c>
    </row>
    <row r="7373" spans="1:2">
      <c r="A7373">
        <v>317.60000000000002</v>
      </c>
      <c r="B7373">
        <v>274.7</v>
      </c>
    </row>
    <row r="7374" spans="1:2">
      <c r="A7374">
        <v>318.8</v>
      </c>
      <c r="B7374">
        <v>276.39999999999998</v>
      </c>
    </row>
    <row r="7375" spans="1:2">
      <c r="A7375">
        <v>320.5</v>
      </c>
      <c r="B7375">
        <v>275</v>
      </c>
    </row>
    <row r="7376" spans="1:2">
      <c r="A7376">
        <v>323.60000000000002</v>
      </c>
      <c r="B7376">
        <v>276.5</v>
      </c>
    </row>
    <row r="7377" spans="1:2">
      <c r="A7377">
        <v>328.1</v>
      </c>
      <c r="B7377">
        <v>275.39999999999998</v>
      </c>
    </row>
    <row r="7378" spans="1:2">
      <c r="A7378">
        <v>329.4</v>
      </c>
      <c r="B7378">
        <v>271.8</v>
      </c>
    </row>
    <row r="7379" spans="1:2">
      <c r="A7379">
        <v>328.3</v>
      </c>
      <c r="B7379">
        <v>270.8</v>
      </c>
    </row>
    <row r="7380" spans="1:2">
      <c r="A7380">
        <v>328.2</v>
      </c>
      <c r="B7380">
        <v>263.60000000000002</v>
      </c>
    </row>
    <row r="7381" spans="1:2">
      <c r="A7381">
        <v>330.7</v>
      </c>
      <c r="B7381">
        <v>261</v>
      </c>
    </row>
    <row r="7382" spans="1:2">
      <c r="A7382">
        <v>329.4</v>
      </c>
      <c r="B7382">
        <v>259.60000000000002</v>
      </c>
    </row>
    <row r="7383" spans="1:2">
      <c r="A7383">
        <v>323.10000000000002</v>
      </c>
      <c r="B7383">
        <v>261.5</v>
      </c>
    </row>
    <row r="7384" spans="1:2">
      <c r="A7384">
        <v>315.8</v>
      </c>
      <c r="B7384">
        <v>257.8</v>
      </c>
    </row>
    <row r="7385" spans="1:2">
      <c r="A7385">
        <v>315.10000000000002</v>
      </c>
      <c r="B7385">
        <v>256.89999999999998</v>
      </c>
    </row>
    <row r="7386" spans="1:2">
      <c r="A7386">
        <v>316.39999999999998</v>
      </c>
      <c r="B7386">
        <v>255.4</v>
      </c>
    </row>
    <row r="7387" spans="1:2">
      <c r="A7387">
        <v>313.7</v>
      </c>
      <c r="B7387">
        <v>250.8</v>
      </c>
    </row>
    <row r="7388" spans="1:2">
      <c r="A7388">
        <v>314.10000000000002</v>
      </c>
      <c r="B7388">
        <v>248.6</v>
      </c>
    </row>
    <row r="7389" spans="1:2">
      <c r="A7389">
        <v>305.60000000000002</v>
      </c>
      <c r="B7389">
        <v>245.3</v>
      </c>
    </row>
    <row r="7390" spans="1:2">
      <c r="A7390">
        <v>302.10000000000002</v>
      </c>
      <c r="B7390">
        <v>250.7</v>
      </c>
    </row>
    <row r="7391" spans="1:2">
      <c r="A7391">
        <v>300.2</v>
      </c>
      <c r="B7391">
        <v>250.5</v>
      </c>
    </row>
    <row r="7392" spans="1:2">
      <c r="A7392">
        <v>295.89999999999998</v>
      </c>
      <c r="B7392">
        <v>254.3</v>
      </c>
    </row>
    <row r="7393" spans="1:2">
      <c r="A7393">
        <v>293.39999999999998</v>
      </c>
      <c r="B7393">
        <v>263.3</v>
      </c>
    </row>
    <row r="7394" spans="1:2">
      <c r="A7394">
        <v>295.8</v>
      </c>
      <c r="B7394">
        <v>266.7</v>
      </c>
    </row>
    <row r="7395" spans="1:2">
      <c r="A7395">
        <v>297.8</v>
      </c>
      <c r="B7395">
        <v>274.5</v>
      </c>
    </row>
    <row r="7396" spans="1:2">
      <c r="A7396">
        <v>301.89999999999998</v>
      </c>
      <c r="B7396">
        <v>278.89999999999998</v>
      </c>
    </row>
    <row r="7397" spans="1:2">
      <c r="A7397">
        <v>303.8</v>
      </c>
      <c r="B7397">
        <v>278.3</v>
      </c>
    </row>
    <row r="7398" spans="1:2">
      <c r="A7398">
        <v>305.60000000000002</v>
      </c>
      <c r="B7398">
        <v>279.5</v>
      </c>
    </row>
    <row r="7399" spans="1:2">
      <c r="A7399">
        <v>300.60000000000002</v>
      </c>
      <c r="B7399">
        <v>290.60000000000002</v>
      </c>
    </row>
    <row r="7400" spans="1:2">
      <c r="A7400">
        <v>306.10000000000002</v>
      </c>
      <c r="B7400">
        <v>295.3</v>
      </c>
    </row>
    <row r="7402" spans="1:2">
      <c r="A7402">
        <v>206.7</v>
      </c>
      <c r="B7402">
        <v>45.4</v>
      </c>
    </row>
    <row r="7403" spans="1:2">
      <c r="A7403">
        <v>206.9</v>
      </c>
      <c r="B7403">
        <v>42.1</v>
      </c>
    </row>
    <row r="7404" spans="1:2">
      <c r="A7404">
        <v>204.8</v>
      </c>
      <c r="B7404">
        <v>44</v>
      </c>
    </row>
    <row r="7405" spans="1:2">
      <c r="A7405">
        <v>205.7</v>
      </c>
      <c r="B7405">
        <v>46</v>
      </c>
    </row>
    <row r="7406" spans="1:2">
      <c r="A7406">
        <v>206.7</v>
      </c>
      <c r="B7406">
        <v>45.4</v>
      </c>
    </row>
    <row r="7408" spans="1:2">
      <c r="A7408">
        <v>201.4</v>
      </c>
      <c r="B7408">
        <v>44.9</v>
      </c>
    </row>
    <row r="7409" spans="1:2">
      <c r="A7409">
        <v>202.4</v>
      </c>
      <c r="B7409">
        <v>43.6</v>
      </c>
    </row>
    <row r="7410" spans="1:2">
      <c r="A7410">
        <v>201.4</v>
      </c>
      <c r="B7410">
        <v>41.4</v>
      </c>
    </row>
    <row r="7411" spans="1:2">
      <c r="A7411">
        <v>189.1</v>
      </c>
      <c r="B7411">
        <v>34.799999999999997</v>
      </c>
    </row>
    <row r="7412" spans="1:2">
      <c r="A7412">
        <v>184.2</v>
      </c>
      <c r="B7412">
        <v>34.700000000000003</v>
      </c>
    </row>
    <row r="7413" spans="1:2">
      <c r="A7413">
        <v>168.8</v>
      </c>
      <c r="B7413">
        <v>28.3</v>
      </c>
    </row>
    <row r="7414" spans="1:2">
      <c r="A7414">
        <v>161.5</v>
      </c>
      <c r="B7414">
        <v>28</v>
      </c>
    </row>
    <row r="7415" spans="1:2">
      <c r="A7415">
        <v>160.4</v>
      </c>
      <c r="B7415">
        <v>26.1</v>
      </c>
    </row>
    <row r="7416" spans="1:2">
      <c r="A7416">
        <v>152.30000000000001</v>
      </c>
      <c r="B7416">
        <v>26.3</v>
      </c>
    </row>
    <row r="7417" spans="1:2">
      <c r="A7417">
        <v>143.9</v>
      </c>
      <c r="B7417">
        <v>20.399999999999999</v>
      </c>
    </row>
    <row r="7418" spans="1:2">
      <c r="A7418">
        <v>143.9</v>
      </c>
      <c r="B7418">
        <v>18.7</v>
      </c>
    </row>
    <row r="7419" spans="1:2">
      <c r="A7419">
        <v>139.30000000000001</v>
      </c>
      <c r="B7419">
        <v>21.5</v>
      </c>
    </row>
    <row r="7420" spans="1:2">
      <c r="A7420">
        <v>136.69999999999999</v>
      </c>
      <c r="B7420">
        <v>20.2</v>
      </c>
    </row>
    <row r="7421" spans="1:2">
      <c r="A7421">
        <v>137.30000000000001</v>
      </c>
      <c r="B7421">
        <v>26.5</v>
      </c>
    </row>
    <row r="7422" spans="1:2">
      <c r="A7422">
        <v>144.4</v>
      </c>
      <c r="B7422">
        <v>32.6</v>
      </c>
    </row>
    <row r="7423" spans="1:2">
      <c r="A7423">
        <v>145.5</v>
      </c>
      <c r="B7423">
        <v>36.4</v>
      </c>
    </row>
    <row r="7424" spans="1:2">
      <c r="A7424">
        <v>148.69999999999999</v>
      </c>
      <c r="B7424">
        <v>37.5</v>
      </c>
    </row>
    <row r="7425" spans="1:2">
      <c r="A7425">
        <v>149.9</v>
      </c>
      <c r="B7425">
        <v>40</v>
      </c>
    </row>
    <row r="7426" spans="1:2">
      <c r="A7426">
        <v>162</v>
      </c>
      <c r="B7426">
        <v>43</v>
      </c>
    </row>
    <row r="7427" spans="1:2">
      <c r="A7427">
        <v>165.7</v>
      </c>
      <c r="B7427">
        <v>45.5</v>
      </c>
    </row>
    <row r="7428" spans="1:2">
      <c r="A7428">
        <v>178</v>
      </c>
      <c r="B7428">
        <v>47.2</v>
      </c>
    </row>
    <row r="7429" spans="1:2">
      <c r="A7429">
        <v>178.9</v>
      </c>
      <c r="B7429">
        <v>49.3</v>
      </c>
    </row>
    <row r="7430" spans="1:2">
      <c r="A7430">
        <v>180.9</v>
      </c>
      <c r="B7430">
        <v>47.9</v>
      </c>
    </row>
    <row r="7431" spans="1:2">
      <c r="A7431">
        <v>189.5</v>
      </c>
      <c r="B7431">
        <v>50.4</v>
      </c>
    </row>
    <row r="7432" spans="1:2">
      <c r="A7432">
        <v>194.9</v>
      </c>
      <c r="B7432">
        <v>49.7</v>
      </c>
    </row>
    <row r="7433" spans="1:2">
      <c r="A7433">
        <v>196.1</v>
      </c>
      <c r="B7433">
        <v>46.9</v>
      </c>
    </row>
    <row r="7434" spans="1:2">
      <c r="A7434">
        <v>200.6</v>
      </c>
      <c r="B7434">
        <v>46.2</v>
      </c>
    </row>
    <row r="7435" spans="1:2">
      <c r="A7435">
        <v>201.4</v>
      </c>
      <c r="B7435">
        <v>44.9</v>
      </c>
    </row>
    <row r="7437" spans="1:2">
      <c r="A7437">
        <v>152.4</v>
      </c>
      <c r="B7437">
        <v>92.3</v>
      </c>
    </row>
    <row r="7438" spans="1:2">
      <c r="A7438">
        <v>151.30000000000001</v>
      </c>
      <c r="B7438">
        <v>89.8</v>
      </c>
    </row>
    <row r="7439" spans="1:2">
      <c r="A7439">
        <v>149</v>
      </c>
      <c r="B7439">
        <v>91.9</v>
      </c>
    </row>
    <row r="7440" spans="1:2">
      <c r="A7440">
        <v>152.4</v>
      </c>
      <c r="B7440">
        <v>92.3</v>
      </c>
    </row>
    <row r="7442" spans="1:2">
      <c r="A7442">
        <v>202.3</v>
      </c>
      <c r="B7442">
        <v>41</v>
      </c>
    </row>
    <row r="7443" spans="1:2">
      <c r="A7443">
        <v>203.3</v>
      </c>
      <c r="B7443">
        <v>38.5</v>
      </c>
    </row>
    <row r="7444" spans="1:2">
      <c r="A7444">
        <v>204.4</v>
      </c>
      <c r="B7444">
        <v>40.9</v>
      </c>
    </row>
    <row r="7445" spans="1:2">
      <c r="A7445">
        <v>205.3</v>
      </c>
      <c r="B7445">
        <v>38.5</v>
      </c>
    </row>
    <row r="7446" spans="1:2">
      <c r="A7446">
        <v>204</v>
      </c>
      <c r="B7446">
        <v>38.9</v>
      </c>
    </row>
    <row r="7447" spans="1:2">
      <c r="A7447">
        <v>203.2</v>
      </c>
      <c r="B7447">
        <v>37.200000000000003</v>
      </c>
    </row>
    <row r="7448" spans="1:2">
      <c r="A7448">
        <v>204.4</v>
      </c>
      <c r="B7448">
        <v>35.6</v>
      </c>
    </row>
    <row r="7449" spans="1:2">
      <c r="A7449">
        <v>202.7</v>
      </c>
      <c r="B7449">
        <v>36.1</v>
      </c>
    </row>
    <row r="7450" spans="1:2">
      <c r="A7450">
        <v>201.8</v>
      </c>
      <c r="B7450">
        <v>31.5</v>
      </c>
    </row>
    <row r="7451" spans="1:2">
      <c r="A7451">
        <v>198.7</v>
      </c>
      <c r="B7451">
        <v>29.4</v>
      </c>
    </row>
    <row r="7452" spans="1:2">
      <c r="A7452">
        <v>195.6</v>
      </c>
      <c r="B7452">
        <v>22.6</v>
      </c>
    </row>
    <row r="7453" spans="1:2">
      <c r="A7453">
        <v>190.6</v>
      </c>
      <c r="B7453">
        <v>22.4</v>
      </c>
    </row>
    <row r="7454" spans="1:2">
      <c r="A7454">
        <v>187.5</v>
      </c>
      <c r="B7454">
        <v>19.2</v>
      </c>
    </row>
    <row r="7455" spans="1:2">
      <c r="A7455">
        <v>180.1</v>
      </c>
      <c r="B7455">
        <v>18.8</v>
      </c>
    </row>
    <row r="7456" spans="1:2">
      <c r="A7456">
        <v>175</v>
      </c>
      <c r="B7456">
        <v>14.5</v>
      </c>
    </row>
    <row r="7457" spans="1:2">
      <c r="A7457">
        <v>173.1</v>
      </c>
      <c r="B7457">
        <v>15.7</v>
      </c>
    </row>
    <row r="7458" spans="1:2">
      <c r="A7458">
        <v>172.2</v>
      </c>
      <c r="B7458">
        <v>14.3</v>
      </c>
    </row>
    <row r="7459" spans="1:2">
      <c r="A7459">
        <v>171.6</v>
      </c>
      <c r="B7459">
        <v>15.5</v>
      </c>
    </row>
    <row r="7460" spans="1:2">
      <c r="A7460">
        <v>171.9</v>
      </c>
      <c r="B7460">
        <v>14.6</v>
      </c>
    </row>
    <row r="7461" spans="1:2">
      <c r="A7461">
        <v>168.1</v>
      </c>
      <c r="B7461">
        <v>15.2</v>
      </c>
    </row>
    <row r="7462" spans="1:2">
      <c r="A7462">
        <v>163.9</v>
      </c>
      <c r="B7462">
        <v>13.3</v>
      </c>
    </row>
    <row r="7463" spans="1:2">
      <c r="A7463">
        <v>162.5</v>
      </c>
      <c r="B7463">
        <v>15.3</v>
      </c>
    </row>
    <row r="7464" spans="1:2">
      <c r="A7464">
        <v>158.30000000000001</v>
      </c>
      <c r="B7464">
        <v>15.6</v>
      </c>
    </row>
    <row r="7465" spans="1:2">
      <c r="A7465">
        <v>154.6</v>
      </c>
      <c r="B7465">
        <v>13.9</v>
      </c>
    </row>
    <row r="7466" spans="1:2">
      <c r="A7466">
        <v>151.19999999999999</v>
      </c>
      <c r="B7466">
        <v>14.3</v>
      </c>
    </row>
    <row r="7467" spans="1:2">
      <c r="A7467">
        <v>151.19999999999999</v>
      </c>
      <c r="B7467">
        <v>15.2</v>
      </c>
    </row>
    <row r="7468" spans="1:2">
      <c r="A7468">
        <v>148.6</v>
      </c>
      <c r="B7468">
        <v>13.3</v>
      </c>
    </row>
    <row r="7469" spans="1:2">
      <c r="A7469">
        <v>148.30000000000001</v>
      </c>
      <c r="B7469">
        <v>10.5</v>
      </c>
    </row>
    <row r="7470" spans="1:2">
      <c r="A7470">
        <v>146.19999999999999</v>
      </c>
      <c r="B7470">
        <v>10.199999999999999</v>
      </c>
    </row>
    <row r="7471" spans="1:2">
      <c r="A7471">
        <v>137.30000000000001</v>
      </c>
      <c r="B7471">
        <v>18.899999999999999</v>
      </c>
    </row>
    <row r="7472" spans="1:2">
      <c r="A7472">
        <v>139.30000000000001</v>
      </c>
      <c r="B7472">
        <v>21.5</v>
      </c>
    </row>
    <row r="7473" spans="1:2">
      <c r="A7473">
        <v>143.9</v>
      </c>
      <c r="B7473">
        <v>18.7</v>
      </c>
    </row>
    <row r="7474" spans="1:2">
      <c r="A7474">
        <v>143.9</v>
      </c>
      <c r="B7474">
        <v>20.399999999999999</v>
      </c>
    </row>
    <row r="7475" spans="1:2">
      <c r="A7475">
        <v>152.30000000000001</v>
      </c>
      <c r="B7475">
        <v>26.3</v>
      </c>
    </row>
    <row r="7476" spans="1:2">
      <c r="A7476">
        <v>160.4</v>
      </c>
      <c r="B7476">
        <v>26.1</v>
      </c>
    </row>
    <row r="7477" spans="1:2">
      <c r="A7477">
        <v>161.5</v>
      </c>
      <c r="B7477">
        <v>28</v>
      </c>
    </row>
    <row r="7478" spans="1:2">
      <c r="A7478">
        <v>165.4</v>
      </c>
      <c r="B7478">
        <v>27.6</v>
      </c>
    </row>
    <row r="7479" spans="1:2">
      <c r="A7479">
        <v>174.1</v>
      </c>
      <c r="B7479">
        <v>29.7</v>
      </c>
    </row>
    <row r="7480" spans="1:2">
      <c r="A7480">
        <v>184</v>
      </c>
      <c r="B7480">
        <v>34.6</v>
      </c>
    </row>
    <row r="7481" spans="1:2">
      <c r="A7481">
        <v>189.1</v>
      </c>
      <c r="B7481">
        <v>34.799999999999997</v>
      </c>
    </row>
    <row r="7482" spans="1:2">
      <c r="A7482">
        <v>199.9</v>
      </c>
      <c r="B7482">
        <v>41.2</v>
      </c>
    </row>
    <row r="7483" spans="1:2">
      <c r="A7483">
        <v>202.3</v>
      </c>
      <c r="B7483">
        <v>41</v>
      </c>
    </row>
  </sheetData>
  <phoneticPr fontId="44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228"/>
  <sheetViews>
    <sheetView workbookViewId="0"/>
  </sheetViews>
  <sheetFormatPr baseColWidth="10" defaultColWidth="8.83203125" defaultRowHeight="17"/>
  <sheetData>
    <row r="1" spans="1:9">
      <c r="A1" t="s">
        <v>244</v>
      </c>
      <c r="B1" t="s">
        <v>425</v>
      </c>
      <c r="C1" t="s">
        <v>426</v>
      </c>
      <c r="D1" t="s">
        <v>631</v>
      </c>
      <c r="E1" t="s">
        <v>449</v>
      </c>
      <c r="F1" t="s">
        <v>632</v>
      </c>
      <c r="G1" t="s">
        <v>633</v>
      </c>
      <c r="H1" t="s">
        <v>634</v>
      </c>
      <c r="I1" t="s">
        <v>635</v>
      </c>
    </row>
    <row r="2" spans="1:9">
      <c r="A2" t="s">
        <v>373</v>
      </c>
      <c r="B2">
        <v>248.3</v>
      </c>
      <c r="C2">
        <v>508.5</v>
      </c>
      <c r="D2">
        <v>1</v>
      </c>
      <c r="E2" t="s">
        <v>178</v>
      </c>
      <c r="F2" t="e">
        <f t="shared" ref="F2:F65" si="0">IF(D2=0,C2,NA())</f>
        <v>#N/A</v>
      </c>
      <c r="G2">
        <f>IF(AND(D2=1,E2&lt;&gt;d_선택!$B$9,A2&lt;&gt;d_선택!$B$2),C2,NA())</f>
        <v>508.5</v>
      </c>
      <c r="H2" t="e">
        <f>IF(AND(D2=1,E2=d_선택!$B$9,A2&lt;&gt;d_선택!$B$2),C2,NA())</f>
        <v>#N/A</v>
      </c>
      <c r="I2" t="e">
        <f>IF(A2=d_선택!$B$2,C2,NA())</f>
        <v>#N/A</v>
      </c>
    </row>
    <row r="3" spans="1:9">
      <c r="A3" t="s">
        <v>636</v>
      </c>
      <c r="B3">
        <v>216.5</v>
      </c>
      <c r="C3">
        <v>474.4</v>
      </c>
      <c r="D3">
        <v>0</v>
      </c>
      <c r="F3">
        <f t="shared" si="0"/>
        <v>474.4</v>
      </c>
      <c r="G3" t="e">
        <f>IF(AND(D3=1,E3&lt;&gt;d_선택!$B$9,A3&lt;&gt;d_선택!$B$2),C3,NA())</f>
        <v>#N/A</v>
      </c>
      <c r="H3" t="e">
        <f>IF(AND(D3=1,E3=d_선택!$B$9,A3&lt;&gt;d_선택!$B$2),C3,NA())</f>
        <v>#N/A</v>
      </c>
      <c r="I3" t="e">
        <f>IF(A3=d_선택!$B$2,C3,NA())</f>
        <v>#N/A</v>
      </c>
    </row>
    <row r="4" spans="1:9">
      <c r="A4" t="s">
        <v>637</v>
      </c>
      <c r="B4">
        <v>223.8</v>
      </c>
      <c r="C4">
        <v>482.1</v>
      </c>
      <c r="D4">
        <v>0</v>
      </c>
      <c r="F4">
        <f t="shared" si="0"/>
        <v>482.1</v>
      </c>
      <c r="G4" t="e">
        <f>IF(AND(D4=1,E4&lt;&gt;d_선택!$B$9,A4&lt;&gt;d_선택!$B$2),C4,NA())</f>
        <v>#N/A</v>
      </c>
      <c r="H4" t="e">
        <f>IF(AND(D4=1,E4=d_선택!$B$9,A4&lt;&gt;d_선택!$B$2),C4,NA())</f>
        <v>#N/A</v>
      </c>
      <c r="I4" t="e">
        <f>IF(A4=d_선택!$B$2,C4,NA())</f>
        <v>#N/A</v>
      </c>
    </row>
    <row r="5" spans="1:9">
      <c r="A5" t="s">
        <v>274</v>
      </c>
      <c r="B5">
        <v>371.7</v>
      </c>
      <c r="C5">
        <v>503.1</v>
      </c>
      <c r="D5">
        <v>1</v>
      </c>
      <c r="E5" t="s">
        <v>483</v>
      </c>
      <c r="F5" t="e">
        <f t="shared" si="0"/>
        <v>#N/A</v>
      </c>
      <c r="G5" t="e">
        <f>IF(AND(D5=1,E5&lt;&gt;d_선택!$B$9,A5&lt;&gt;d_선택!$B$2),C5,NA())</f>
        <v>#N/A</v>
      </c>
      <c r="H5">
        <f>IF(AND(D5=1,E5=d_선택!$B$9,A5&lt;&gt;d_선택!$B$2),C5,NA())</f>
        <v>503.1</v>
      </c>
      <c r="I5" t="e">
        <f>IF(A5=d_선택!$B$2,C5,NA())</f>
        <v>#N/A</v>
      </c>
    </row>
    <row r="6" spans="1:9">
      <c r="A6" t="s">
        <v>638</v>
      </c>
      <c r="B6">
        <v>211.4</v>
      </c>
      <c r="C6">
        <v>491.6</v>
      </c>
      <c r="D6">
        <v>0</v>
      </c>
      <c r="F6">
        <f t="shared" si="0"/>
        <v>491.6</v>
      </c>
      <c r="G6" t="e">
        <f>IF(AND(D6=1,E6&lt;&gt;d_선택!$B$9,A6&lt;&gt;d_선택!$B$2),C6,NA())</f>
        <v>#N/A</v>
      </c>
      <c r="H6" t="e">
        <f>IF(AND(D6=1,E6=d_선택!$B$9,A6&lt;&gt;d_선택!$B$2),C6,NA())</f>
        <v>#N/A</v>
      </c>
      <c r="I6" t="e">
        <f>IF(A6=d_선택!$B$2,C6,NA())</f>
        <v>#N/A</v>
      </c>
    </row>
    <row r="7" spans="1:9">
      <c r="A7" t="s">
        <v>639</v>
      </c>
      <c r="B7">
        <v>375</v>
      </c>
      <c r="C7">
        <v>220.5</v>
      </c>
      <c r="D7">
        <v>0</v>
      </c>
      <c r="F7">
        <f t="shared" si="0"/>
        <v>220.5</v>
      </c>
      <c r="G7" t="e">
        <f>IF(AND(D7=1,E7&lt;&gt;d_선택!$B$9,A7&lt;&gt;d_선택!$B$2),C7,NA())</f>
        <v>#N/A</v>
      </c>
      <c r="H7" t="e">
        <f>IF(AND(D7=1,E7=d_선택!$B$9,A7&lt;&gt;d_선택!$B$2),C7,NA())</f>
        <v>#N/A</v>
      </c>
      <c r="I7" t="e">
        <f>IF(A7=d_선택!$B$2,C7,NA())</f>
        <v>#N/A</v>
      </c>
    </row>
    <row r="8" spans="1:9">
      <c r="A8" t="s">
        <v>340</v>
      </c>
      <c r="B8">
        <v>190.1</v>
      </c>
      <c r="C8">
        <v>159.19999999999999</v>
      </c>
      <c r="D8">
        <v>1</v>
      </c>
      <c r="E8" t="s">
        <v>463</v>
      </c>
      <c r="F8" t="e">
        <f t="shared" si="0"/>
        <v>#N/A</v>
      </c>
      <c r="G8">
        <f>IF(AND(D8=1,E8&lt;&gt;d_선택!$B$9,A8&lt;&gt;d_선택!$B$2),C8,NA())</f>
        <v>159.19999999999999</v>
      </c>
      <c r="H8" t="e">
        <f>IF(AND(D8=1,E8=d_선택!$B$9,A8&lt;&gt;d_선택!$B$2),C8,NA())</f>
        <v>#N/A</v>
      </c>
      <c r="I8" t="e">
        <f>IF(A8=d_선택!$B$2,C8,NA())</f>
        <v>#N/A</v>
      </c>
    </row>
    <row r="9" spans="1:9">
      <c r="A9" t="s">
        <v>330</v>
      </c>
      <c r="B9">
        <v>162.4</v>
      </c>
      <c r="C9">
        <v>492.7</v>
      </c>
      <c r="D9">
        <v>1</v>
      </c>
      <c r="E9" t="s">
        <v>178</v>
      </c>
      <c r="F9" t="e">
        <f t="shared" si="0"/>
        <v>#N/A</v>
      </c>
      <c r="G9">
        <f>IF(AND(D9=1,E9&lt;&gt;d_선택!$B$9,A9&lt;&gt;d_선택!$B$2),C9,NA())</f>
        <v>492.7</v>
      </c>
      <c r="H9" t="e">
        <f>IF(AND(D9=1,E9=d_선택!$B$9,A9&lt;&gt;d_선택!$B$2),C9,NA())</f>
        <v>#N/A</v>
      </c>
      <c r="I9" t="e">
        <f>IF(A9=d_선택!$B$2,C9,NA())</f>
        <v>#N/A</v>
      </c>
    </row>
    <row r="10" spans="1:9">
      <c r="A10" t="s">
        <v>336</v>
      </c>
      <c r="B10">
        <v>353</v>
      </c>
      <c r="C10">
        <v>189.8</v>
      </c>
      <c r="D10">
        <v>1</v>
      </c>
      <c r="E10" t="s">
        <v>489</v>
      </c>
      <c r="F10" t="e">
        <f t="shared" si="0"/>
        <v>#N/A</v>
      </c>
      <c r="G10">
        <f>IF(AND(D10=1,E10&lt;&gt;d_선택!$B$9,A10&lt;&gt;d_선택!$B$2),C10,NA())</f>
        <v>189.8</v>
      </c>
      <c r="H10" t="e">
        <f>IF(AND(D10=1,E10=d_선택!$B$9,A10&lt;&gt;d_선택!$B$2),C10,NA())</f>
        <v>#N/A</v>
      </c>
      <c r="I10" t="e">
        <f>IF(A10=d_선택!$B$2,C10,NA())</f>
        <v>#N/A</v>
      </c>
    </row>
    <row r="11" spans="1:9">
      <c r="A11" t="s">
        <v>262</v>
      </c>
      <c r="B11">
        <v>289.5</v>
      </c>
      <c r="C11">
        <v>284.10000000000002</v>
      </c>
      <c r="D11">
        <v>1</v>
      </c>
      <c r="E11" t="s">
        <v>471</v>
      </c>
      <c r="F11" t="e">
        <f t="shared" si="0"/>
        <v>#N/A</v>
      </c>
      <c r="G11">
        <f>IF(AND(D11=1,E11&lt;&gt;d_선택!$B$9,A11&lt;&gt;d_선택!$B$2),C11,NA())</f>
        <v>284.10000000000002</v>
      </c>
      <c r="H11" t="e">
        <f>IF(AND(D11=1,E11=d_선택!$B$9,A11&lt;&gt;d_선택!$B$2),C11,NA())</f>
        <v>#N/A</v>
      </c>
      <c r="I11" t="e">
        <f>IF(A11=d_선택!$B$2,C11,NA())</f>
        <v>#N/A</v>
      </c>
    </row>
    <row r="12" spans="1:9">
      <c r="A12" t="s">
        <v>268</v>
      </c>
      <c r="B12">
        <v>368.5</v>
      </c>
      <c r="C12">
        <v>296.8</v>
      </c>
      <c r="D12">
        <v>1</v>
      </c>
      <c r="E12" t="s">
        <v>471</v>
      </c>
      <c r="F12" t="e">
        <f t="shared" si="0"/>
        <v>#N/A</v>
      </c>
      <c r="G12">
        <f>IF(AND(D12=1,E12&lt;&gt;d_선택!$B$9,A12&lt;&gt;d_선택!$B$2),C12,NA())</f>
        <v>296.8</v>
      </c>
      <c r="H12" t="e">
        <f>IF(AND(D12=1,E12=d_선택!$B$9,A12&lt;&gt;d_선택!$B$2),C12,NA())</f>
        <v>#N/A</v>
      </c>
      <c r="I12" t="e">
        <f>IF(A12=d_선택!$B$2,C12,NA())</f>
        <v>#N/A</v>
      </c>
    </row>
    <row r="13" spans="1:9">
      <c r="A13" t="s">
        <v>320</v>
      </c>
      <c r="B13">
        <v>410.8</v>
      </c>
      <c r="C13">
        <v>293.3</v>
      </c>
      <c r="D13">
        <v>1</v>
      </c>
      <c r="E13" t="s">
        <v>178</v>
      </c>
      <c r="F13" t="e">
        <f t="shared" si="0"/>
        <v>#N/A</v>
      </c>
      <c r="G13">
        <f>IF(AND(D13=1,E13&lt;&gt;d_선택!$B$9,A13&lt;&gt;d_선택!$B$2),C13,NA())</f>
        <v>293.3</v>
      </c>
      <c r="H13" t="e">
        <f>IF(AND(D13=1,E13=d_선택!$B$9,A13&lt;&gt;d_선택!$B$2),C13,NA())</f>
        <v>#N/A</v>
      </c>
      <c r="I13" t="e">
        <f>IF(A13=d_선택!$B$2,C13,NA())</f>
        <v>#N/A</v>
      </c>
    </row>
    <row r="14" spans="1:9">
      <c r="A14" t="s">
        <v>376</v>
      </c>
      <c r="B14">
        <v>231.3</v>
      </c>
      <c r="C14">
        <v>344.3</v>
      </c>
      <c r="D14">
        <v>1</v>
      </c>
      <c r="E14" t="s">
        <v>489</v>
      </c>
      <c r="F14" t="e">
        <f t="shared" si="0"/>
        <v>#N/A</v>
      </c>
      <c r="G14">
        <f>IF(AND(D14=1,E14&lt;&gt;d_선택!$B$9,A14&lt;&gt;d_선택!$B$2),C14,NA())</f>
        <v>344.3</v>
      </c>
      <c r="H14" t="e">
        <f>IF(AND(D14=1,E14=d_선택!$B$9,A14&lt;&gt;d_선택!$B$2),C14,NA())</f>
        <v>#N/A</v>
      </c>
      <c r="I14" t="e">
        <f>IF(A14=d_선택!$B$2,C14,NA())</f>
        <v>#N/A</v>
      </c>
    </row>
    <row r="15" spans="1:9">
      <c r="A15" t="s">
        <v>640</v>
      </c>
      <c r="B15">
        <v>186.5</v>
      </c>
      <c r="C15">
        <v>483.4</v>
      </c>
      <c r="D15">
        <v>0</v>
      </c>
      <c r="F15">
        <f t="shared" si="0"/>
        <v>483.4</v>
      </c>
      <c r="G15" t="e">
        <f>IF(AND(D15=1,E15&lt;&gt;d_선택!$B$9,A15&lt;&gt;d_선택!$B$2),C15,NA())</f>
        <v>#N/A</v>
      </c>
      <c r="H15" t="e">
        <f>IF(AND(D15=1,E15=d_선택!$B$9,A15&lt;&gt;d_선택!$B$2),C15,NA())</f>
        <v>#N/A</v>
      </c>
      <c r="I15" t="e">
        <f>IF(A15=d_선택!$B$2,C15,NA())</f>
        <v>#N/A</v>
      </c>
    </row>
    <row r="16" spans="1:9">
      <c r="A16" t="s">
        <v>275</v>
      </c>
      <c r="B16">
        <v>324</v>
      </c>
      <c r="C16">
        <v>285.5</v>
      </c>
      <c r="D16">
        <v>1</v>
      </c>
      <c r="E16" t="s">
        <v>458</v>
      </c>
      <c r="F16" t="e">
        <f t="shared" si="0"/>
        <v>#N/A</v>
      </c>
      <c r="G16">
        <f>IF(AND(D16=1,E16&lt;&gt;d_선택!$B$9,A16&lt;&gt;d_선택!$B$2),C16,NA())</f>
        <v>285.5</v>
      </c>
      <c r="H16" t="e">
        <f>IF(AND(D16=1,E16=d_선택!$B$9,A16&lt;&gt;d_선택!$B$2),C16,NA())</f>
        <v>#N/A</v>
      </c>
      <c r="I16" t="e">
        <f>IF(A16=d_선택!$B$2,C16,NA())</f>
        <v>#N/A</v>
      </c>
    </row>
    <row r="17" spans="1:9">
      <c r="A17" t="s">
        <v>641</v>
      </c>
      <c r="B17">
        <v>335.5</v>
      </c>
      <c r="C17">
        <v>570.4</v>
      </c>
      <c r="D17">
        <v>0</v>
      </c>
      <c r="F17">
        <f t="shared" si="0"/>
        <v>570.4</v>
      </c>
      <c r="G17" t="e">
        <f>IF(AND(D17=1,E17&lt;&gt;d_선택!$B$9,A17&lt;&gt;d_선택!$B$2),C17,NA())</f>
        <v>#N/A</v>
      </c>
      <c r="H17" t="e">
        <f>IF(AND(D17=1,E17=d_선택!$B$9,A17&lt;&gt;d_선택!$B$2),C17,NA())</f>
        <v>#N/A</v>
      </c>
      <c r="I17" t="e">
        <f>IF(A17=d_선택!$B$2,C17,NA())</f>
        <v>#N/A</v>
      </c>
    </row>
    <row r="18" spans="1:9">
      <c r="A18" t="s">
        <v>642</v>
      </c>
      <c r="B18">
        <v>200</v>
      </c>
      <c r="C18">
        <v>493.6</v>
      </c>
      <c r="D18">
        <v>0</v>
      </c>
      <c r="F18">
        <f t="shared" si="0"/>
        <v>493.6</v>
      </c>
      <c r="G18" t="e">
        <f>IF(AND(D18=1,E18&lt;&gt;d_선택!$B$9,A18&lt;&gt;d_선택!$B$2),C18,NA())</f>
        <v>#N/A</v>
      </c>
      <c r="H18" t="e">
        <f>IF(AND(D18=1,E18=d_선택!$B$9,A18&lt;&gt;d_선택!$B$2),C18,NA())</f>
        <v>#N/A</v>
      </c>
      <c r="I18" t="e">
        <f>IF(A18=d_선택!$B$2,C18,NA())</f>
        <v>#N/A</v>
      </c>
    </row>
    <row r="19" spans="1:9">
      <c r="A19" t="s">
        <v>643</v>
      </c>
      <c r="B19">
        <v>192.3</v>
      </c>
      <c r="C19">
        <v>495.7</v>
      </c>
      <c r="D19">
        <v>0</v>
      </c>
      <c r="F19">
        <f t="shared" si="0"/>
        <v>495.7</v>
      </c>
      <c r="G19" t="e">
        <f>IF(AND(D19=1,E19&lt;&gt;d_선택!$B$9,A19&lt;&gt;d_선택!$B$2),C19,NA())</f>
        <v>#N/A</v>
      </c>
      <c r="H19" t="e">
        <f>IF(AND(D19=1,E19=d_선택!$B$9,A19&lt;&gt;d_선택!$B$2),C19,NA())</f>
        <v>#N/A</v>
      </c>
      <c r="I19" t="e">
        <f>IF(A19=d_선택!$B$2,C19,NA())</f>
        <v>#N/A</v>
      </c>
    </row>
    <row r="20" spans="1:9">
      <c r="A20" t="s">
        <v>644</v>
      </c>
      <c r="B20">
        <v>187.7</v>
      </c>
      <c r="C20">
        <v>495.9</v>
      </c>
      <c r="D20">
        <v>0</v>
      </c>
      <c r="F20">
        <f t="shared" si="0"/>
        <v>495.9</v>
      </c>
      <c r="G20" t="e">
        <f>IF(AND(D20=1,E20&lt;&gt;d_선택!$B$9,A20&lt;&gt;d_선택!$B$2),C20,NA())</f>
        <v>#N/A</v>
      </c>
      <c r="H20" t="e">
        <f>IF(AND(D20=1,E20=d_선택!$B$9,A20&lt;&gt;d_선택!$B$2),C20,NA())</f>
        <v>#N/A</v>
      </c>
      <c r="I20" t="e">
        <f>IF(A20=d_선택!$B$2,C20,NA())</f>
        <v>#N/A</v>
      </c>
    </row>
    <row r="21" spans="1:9">
      <c r="A21" t="s">
        <v>363</v>
      </c>
      <c r="B21">
        <v>175.1</v>
      </c>
      <c r="C21">
        <v>255.4</v>
      </c>
      <c r="D21">
        <v>1</v>
      </c>
      <c r="E21" t="s">
        <v>487</v>
      </c>
      <c r="F21" t="e">
        <f t="shared" si="0"/>
        <v>#N/A</v>
      </c>
      <c r="G21">
        <f>IF(AND(D21=1,E21&lt;&gt;d_선택!$B$9,A21&lt;&gt;d_선택!$B$2),C21,NA())</f>
        <v>255.4</v>
      </c>
      <c r="H21" t="e">
        <f>IF(AND(D21=1,E21=d_선택!$B$9,A21&lt;&gt;d_선택!$B$2),C21,NA())</f>
        <v>#N/A</v>
      </c>
      <c r="I21" t="e">
        <f>IF(A21=d_선택!$B$2,C21,NA())</f>
        <v>#N/A</v>
      </c>
    </row>
    <row r="22" spans="1:9">
      <c r="A22" t="s">
        <v>361</v>
      </c>
      <c r="B22">
        <v>238.8</v>
      </c>
      <c r="C22">
        <v>162.6</v>
      </c>
      <c r="D22">
        <v>1</v>
      </c>
      <c r="E22" t="s">
        <v>489</v>
      </c>
      <c r="F22" t="e">
        <f t="shared" si="0"/>
        <v>#N/A</v>
      </c>
      <c r="G22">
        <f>IF(AND(D22=1,E22&lt;&gt;d_선택!$B$9,A22&lt;&gt;d_선택!$B$2),C22,NA())</f>
        <v>162.6</v>
      </c>
      <c r="H22" t="e">
        <f>IF(AND(D22=1,E22=d_선택!$B$9,A22&lt;&gt;d_선택!$B$2),C22,NA())</f>
        <v>#N/A</v>
      </c>
      <c r="I22" t="e">
        <f>IF(A22=d_선택!$B$2,C22,NA())</f>
        <v>#N/A</v>
      </c>
    </row>
    <row r="23" spans="1:9">
      <c r="A23" t="s">
        <v>391</v>
      </c>
      <c r="B23">
        <v>233.2</v>
      </c>
      <c r="C23">
        <v>229.4</v>
      </c>
      <c r="D23">
        <v>1</v>
      </c>
      <c r="E23" t="s">
        <v>463</v>
      </c>
      <c r="F23" t="e">
        <f t="shared" si="0"/>
        <v>#N/A</v>
      </c>
      <c r="G23">
        <f>IF(AND(D23=1,E23&lt;&gt;d_선택!$B$9,A23&lt;&gt;d_선택!$B$2),C23,NA())</f>
        <v>229.4</v>
      </c>
      <c r="H23" t="e">
        <f>IF(AND(D23=1,E23=d_선택!$B$9,A23&lt;&gt;d_선택!$B$2),C23,NA())</f>
        <v>#N/A</v>
      </c>
      <c r="I23" t="e">
        <f>IF(A23=d_선택!$B$2,C23,NA())</f>
        <v>#N/A</v>
      </c>
    </row>
    <row r="24" spans="1:9">
      <c r="A24" t="s">
        <v>344</v>
      </c>
      <c r="B24">
        <v>217.3</v>
      </c>
      <c r="C24">
        <v>363.5</v>
      </c>
      <c r="D24">
        <v>1</v>
      </c>
      <c r="E24" t="s">
        <v>489</v>
      </c>
      <c r="F24" t="e">
        <f t="shared" si="0"/>
        <v>#N/A</v>
      </c>
      <c r="G24">
        <f>IF(AND(D24=1,E24&lt;&gt;d_선택!$B$9,A24&lt;&gt;d_선택!$B$2),C24,NA())</f>
        <v>363.5</v>
      </c>
      <c r="H24" t="e">
        <f>IF(AND(D24=1,E24=d_선택!$B$9,A24&lt;&gt;d_선택!$B$2),C24,NA())</f>
        <v>#N/A</v>
      </c>
      <c r="I24" t="e">
        <f>IF(A24=d_선택!$B$2,C24,NA())</f>
        <v>#N/A</v>
      </c>
    </row>
    <row r="25" spans="1:9">
      <c r="A25" t="s">
        <v>394</v>
      </c>
      <c r="B25">
        <v>210.5</v>
      </c>
      <c r="C25">
        <v>468.6</v>
      </c>
      <c r="D25">
        <v>1</v>
      </c>
      <c r="E25" t="s">
        <v>492</v>
      </c>
      <c r="F25" t="e">
        <f t="shared" si="0"/>
        <v>#N/A</v>
      </c>
      <c r="G25">
        <f>IF(AND(D25=1,E25&lt;&gt;d_선택!$B$9,A25&lt;&gt;d_선택!$B$2),C25,NA())</f>
        <v>468.6</v>
      </c>
      <c r="H25" t="e">
        <f>IF(AND(D25=1,E25=d_선택!$B$9,A25&lt;&gt;d_선택!$B$2),C25,NA())</f>
        <v>#N/A</v>
      </c>
      <c r="I25" t="e">
        <f>IF(A25=d_선택!$B$2,C25,NA())</f>
        <v>#N/A</v>
      </c>
    </row>
    <row r="26" spans="1:9">
      <c r="A26" t="s">
        <v>645</v>
      </c>
      <c r="B26">
        <v>204.8</v>
      </c>
      <c r="C26">
        <v>472.7</v>
      </c>
      <c r="D26">
        <v>0</v>
      </c>
      <c r="F26">
        <f t="shared" si="0"/>
        <v>472.7</v>
      </c>
      <c r="G26" t="e">
        <f>IF(AND(D26=1,E26&lt;&gt;d_선택!$B$9,A26&lt;&gt;d_선택!$B$2),C26,NA())</f>
        <v>#N/A</v>
      </c>
      <c r="H26" t="e">
        <f>IF(AND(D26=1,E26=d_선택!$B$9,A26&lt;&gt;d_선택!$B$2),C26,NA())</f>
        <v>#N/A</v>
      </c>
      <c r="I26" t="e">
        <f>IF(A26=d_선택!$B$2,C26,NA())</f>
        <v>#N/A</v>
      </c>
    </row>
    <row r="27" spans="1:9">
      <c r="A27" t="s">
        <v>267</v>
      </c>
      <c r="B27">
        <v>198.2</v>
      </c>
      <c r="C27">
        <v>470.8</v>
      </c>
      <c r="D27">
        <v>1</v>
      </c>
      <c r="E27" t="s">
        <v>483</v>
      </c>
      <c r="F27" t="e">
        <f t="shared" si="0"/>
        <v>#N/A</v>
      </c>
      <c r="G27" t="e">
        <f>IF(AND(D27=1,E27&lt;&gt;d_선택!$B$9,A27&lt;&gt;d_선택!$B$2),C27,NA())</f>
        <v>#N/A</v>
      </c>
      <c r="H27">
        <f>IF(AND(D27=1,E27=d_선택!$B$9,A27&lt;&gt;d_선택!$B$2),C27,NA())</f>
        <v>470.8</v>
      </c>
      <c r="I27" t="e">
        <f>IF(A27=d_선택!$B$2,C27,NA())</f>
        <v>#N/A</v>
      </c>
    </row>
    <row r="28" spans="1:9">
      <c r="A28" t="s">
        <v>646</v>
      </c>
      <c r="B28">
        <v>189</v>
      </c>
      <c r="C28">
        <v>223.6</v>
      </c>
      <c r="D28">
        <v>0</v>
      </c>
      <c r="F28">
        <f t="shared" si="0"/>
        <v>223.6</v>
      </c>
      <c r="G28" t="e">
        <f>IF(AND(D28=1,E28&lt;&gt;d_선택!$B$9,A28&lt;&gt;d_선택!$B$2),C28,NA())</f>
        <v>#N/A</v>
      </c>
      <c r="H28" t="e">
        <f>IF(AND(D28=1,E28=d_선택!$B$9,A28&lt;&gt;d_선택!$B$2),C28,NA())</f>
        <v>#N/A</v>
      </c>
      <c r="I28" t="e">
        <f>IF(A28=d_선택!$B$2,C28,NA())</f>
        <v>#N/A</v>
      </c>
    </row>
    <row r="29" spans="1:9">
      <c r="A29" t="s">
        <v>316</v>
      </c>
      <c r="B29">
        <v>266.8</v>
      </c>
      <c r="C29">
        <v>205.9</v>
      </c>
      <c r="D29">
        <v>1</v>
      </c>
      <c r="E29" t="s">
        <v>178</v>
      </c>
      <c r="F29" t="e">
        <f t="shared" si="0"/>
        <v>#N/A</v>
      </c>
      <c r="G29">
        <f>IF(AND(D29=1,E29&lt;&gt;d_선택!$B$9,A29&lt;&gt;d_선택!$B$2),C29,NA())</f>
        <v>205.9</v>
      </c>
      <c r="H29" t="e">
        <f>IF(AND(D29=1,E29=d_선택!$B$9,A29&lt;&gt;d_선택!$B$2),C29,NA())</f>
        <v>#N/A</v>
      </c>
      <c r="I29" t="e">
        <f>IF(A29=d_선택!$B$2,C29,NA())</f>
        <v>#N/A</v>
      </c>
    </row>
    <row r="30" spans="1:9">
      <c r="A30" t="s">
        <v>339</v>
      </c>
      <c r="B30">
        <v>234.5</v>
      </c>
      <c r="C30">
        <v>465</v>
      </c>
      <c r="D30">
        <v>1</v>
      </c>
      <c r="E30" t="s">
        <v>489</v>
      </c>
      <c r="F30" t="e">
        <f t="shared" si="0"/>
        <v>#N/A</v>
      </c>
      <c r="G30">
        <f>IF(AND(D30=1,E30&lt;&gt;d_선택!$B$9,A30&lt;&gt;d_선택!$B$2),C30,NA())</f>
        <v>465</v>
      </c>
      <c r="H30" t="e">
        <f>IF(AND(D30=1,E30=d_선택!$B$9,A30&lt;&gt;d_선택!$B$2),C30,NA())</f>
        <v>#N/A</v>
      </c>
      <c r="I30" t="e">
        <f>IF(A30=d_선택!$B$2,C30,NA())</f>
        <v>#N/A</v>
      </c>
    </row>
    <row r="31" spans="1:9">
      <c r="A31" t="s">
        <v>647</v>
      </c>
      <c r="B31">
        <v>217.9</v>
      </c>
      <c r="C31">
        <v>481.5</v>
      </c>
      <c r="D31">
        <v>0</v>
      </c>
      <c r="F31">
        <f t="shared" si="0"/>
        <v>481.5</v>
      </c>
      <c r="G31" t="e">
        <f>IF(AND(D31=1,E31&lt;&gt;d_선택!$B$9,A31&lt;&gt;d_선택!$B$2),C31,NA())</f>
        <v>#N/A</v>
      </c>
      <c r="H31" t="e">
        <f>IF(AND(D31=1,E31=d_선택!$B$9,A31&lt;&gt;d_선택!$B$2),C31,NA())</f>
        <v>#N/A</v>
      </c>
      <c r="I31" t="e">
        <f>IF(A31=d_선택!$B$2,C31,NA())</f>
        <v>#N/A</v>
      </c>
    </row>
    <row r="32" spans="1:9">
      <c r="A32" t="s">
        <v>298</v>
      </c>
      <c r="B32">
        <v>283.5</v>
      </c>
      <c r="C32">
        <v>396.5</v>
      </c>
      <c r="D32">
        <v>1</v>
      </c>
      <c r="E32" t="s">
        <v>489</v>
      </c>
      <c r="F32" t="e">
        <f t="shared" si="0"/>
        <v>#N/A</v>
      </c>
      <c r="G32">
        <f>IF(AND(D32=1,E32&lt;&gt;d_선택!$B$9,A32&lt;&gt;d_선택!$B$2),C32,NA())</f>
        <v>396.5</v>
      </c>
      <c r="H32" t="e">
        <f>IF(AND(D32=1,E32=d_선택!$B$9,A32&lt;&gt;d_선택!$B$2),C32,NA())</f>
        <v>#N/A</v>
      </c>
      <c r="I32" t="e">
        <f>IF(A32=d_선택!$B$2,C32,NA())</f>
        <v>#N/A</v>
      </c>
    </row>
    <row r="33" spans="1:9">
      <c r="A33" t="s">
        <v>392</v>
      </c>
      <c r="B33">
        <v>253.5</v>
      </c>
      <c r="C33">
        <v>230.2</v>
      </c>
      <c r="D33">
        <v>1</v>
      </c>
      <c r="E33" t="s">
        <v>474</v>
      </c>
      <c r="F33" t="e">
        <f t="shared" si="0"/>
        <v>#N/A</v>
      </c>
      <c r="G33">
        <f>IF(AND(D33=1,E33&lt;&gt;d_선택!$B$9,A33&lt;&gt;d_선택!$B$2),C33,NA())</f>
        <v>230.2</v>
      </c>
      <c r="H33" t="e">
        <f>IF(AND(D33=1,E33=d_선택!$B$9,A33&lt;&gt;d_선택!$B$2),C33,NA())</f>
        <v>#N/A</v>
      </c>
      <c r="I33" t="e">
        <f>IF(A33=d_선택!$B$2,C33,NA())</f>
        <v>#N/A</v>
      </c>
    </row>
    <row r="34" spans="1:9">
      <c r="A34" t="s">
        <v>648</v>
      </c>
      <c r="B34">
        <v>198</v>
      </c>
      <c r="C34">
        <v>475</v>
      </c>
      <c r="D34">
        <v>0</v>
      </c>
      <c r="F34">
        <f t="shared" si="0"/>
        <v>475</v>
      </c>
      <c r="G34" t="e">
        <f>IF(AND(D34=1,E34&lt;&gt;d_선택!$B$9,A34&lt;&gt;d_선택!$B$2),C34,NA())</f>
        <v>#N/A</v>
      </c>
      <c r="H34" t="e">
        <f>IF(AND(D34=1,E34=d_선택!$B$9,A34&lt;&gt;d_선택!$B$2),C34,NA())</f>
        <v>#N/A</v>
      </c>
      <c r="I34" t="e">
        <f>IF(A34=d_선택!$B$2,C34,NA())</f>
        <v>#N/A</v>
      </c>
    </row>
    <row r="35" spans="1:9">
      <c r="A35" t="s">
        <v>323</v>
      </c>
      <c r="B35">
        <v>221.6</v>
      </c>
      <c r="C35">
        <v>486.9</v>
      </c>
      <c r="D35">
        <v>1</v>
      </c>
      <c r="E35" t="s">
        <v>489</v>
      </c>
      <c r="F35" t="e">
        <f t="shared" si="0"/>
        <v>#N/A</v>
      </c>
      <c r="G35">
        <f>IF(AND(D35=1,E35&lt;&gt;d_선택!$B$9,A35&lt;&gt;d_선택!$B$2),C35,NA())</f>
        <v>486.9</v>
      </c>
      <c r="H35" t="e">
        <f>IF(AND(D35=1,E35=d_선택!$B$9,A35&lt;&gt;d_선택!$B$2),C35,NA())</f>
        <v>#N/A</v>
      </c>
      <c r="I35" t="e">
        <f>IF(A35=d_선택!$B$2,C35,NA())</f>
        <v>#N/A</v>
      </c>
    </row>
    <row r="36" spans="1:9">
      <c r="A36" t="s">
        <v>266</v>
      </c>
      <c r="B36">
        <v>329.5</v>
      </c>
      <c r="C36">
        <v>335.3</v>
      </c>
      <c r="D36">
        <v>1</v>
      </c>
      <c r="E36" t="s">
        <v>471</v>
      </c>
      <c r="F36" t="e">
        <f t="shared" si="0"/>
        <v>#N/A</v>
      </c>
      <c r="G36">
        <f>IF(AND(D36=1,E36&lt;&gt;d_선택!$B$9,A36&lt;&gt;d_선택!$B$2),C36,NA())</f>
        <v>335.3</v>
      </c>
      <c r="H36" t="e">
        <f>IF(AND(D36=1,E36=d_선택!$B$9,A36&lt;&gt;d_선택!$B$2),C36,NA())</f>
        <v>#N/A</v>
      </c>
      <c r="I36" t="e">
        <f>IF(A36=d_선택!$B$2,C36,NA())</f>
        <v>#N/A</v>
      </c>
    </row>
    <row r="37" spans="1:9">
      <c r="A37" t="s">
        <v>357</v>
      </c>
      <c r="B37">
        <v>170.9</v>
      </c>
      <c r="C37">
        <v>301</v>
      </c>
      <c r="D37">
        <v>1</v>
      </c>
      <c r="E37" t="s">
        <v>489</v>
      </c>
      <c r="F37" t="e">
        <f t="shared" si="0"/>
        <v>#N/A</v>
      </c>
      <c r="G37">
        <f>IF(AND(D37=1,E37&lt;&gt;d_선택!$B$9,A37&lt;&gt;d_선택!$B$2),C37,NA())</f>
        <v>301</v>
      </c>
      <c r="H37" t="e">
        <f>IF(AND(D37=1,E37=d_선택!$B$9,A37&lt;&gt;d_선택!$B$2),C37,NA())</f>
        <v>#N/A</v>
      </c>
      <c r="I37" t="e">
        <f>IF(A37=d_선택!$B$2,C37,NA())</f>
        <v>#N/A</v>
      </c>
    </row>
    <row r="38" spans="1:9">
      <c r="A38" t="s">
        <v>371</v>
      </c>
      <c r="B38">
        <v>353.1</v>
      </c>
      <c r="C38">
        <v>332.8</v>
      </c>
      <c r="D38">
        <v>1</v>
      </c>
      <c r="E38" t="s">
        <v>463</v>
      </c>
      <c r="F38" t="e">
        <f t="shared" si="0"/>
        <v>#N/A</v>
      </c>
      <c r="G38">
        <f>IF(AND(D38=1,E38&lt;&gt;d_선택!$B$9,A38&lt;&gt;d_선택!$B$2),C38,NA())</f>
        <v>332.8</v>
      </c>
      <c r="H38" t="e">
        <f>IF(AND(D38=1,E38=d_선택!$B$9,A38&lt;&gt;d_선택!$B$2),C38,NA())</f>
        <v>#N/A</v>
      </c>
      <c r="I38" t="e">
        <f>IF(A38=d_선택!$B$2,C38,NA())</f>
        <v>#N/A</v>
      </c>
    </row>
    <row r="39" spans="1:9">
      <c r="A39" t="s">
        <v>342</v>
      </c>
      <c r="B39">
        <v>203.1</v>
      </c>
      <c r="C39">
        <v>458.2</v>
      </c>
      <c r="D39">
        <v>1</v>
      </c>
      <c r="E39" t="s">
        <v>489</v>
      </c>
      <c r="F39" t="e">
        <f t="shared" si="0"/>
        <v>#N/A</v>
      </c>
      <c r="G39">
        <f>IF(AND(D39=1,E39&lt;&gt;d_선택!$B$9,A39&lt;&gt;d_선택!$B$2),C39,NA())</f>
        <v>458.2</v>
      </c>
      <c r="H39" t="e">
        <f>IF(AND(D39=1,E39=d_선택!$B$9,A39&lt;&gt;d_선택!$B$2),C39,NA())</f>
        <v>#N/A</v>
      </c>
      <c r="I39" t="e">
        <f>IF(A39=d_선택!$B$2,C39,NA())</f>
        <v>#N/A</v>
      </c>
    </row>
    <row r="40" spans="1:9">
      <c r="A40" t="s">
        <v>285</v>
      </c>
      <c r="B40">
        <v>252.4</v>
      </c>
      <c r="C40">
        <v>326.10000000000002</v>
      </c>
      <c r="D40">
        <v>1</v>
      </c>
      <c r="E40" t="s">
        <v>463</v>
      </c>
      <c r="F40" t="e">
        <f t="shared" si="0"/>
        <v>#N/A</v>
      </c>
      <c r="G40">
        <f>IF(AND(D40=1,E40&lt;&gt;d_선택!$B$9,A40&lt;&gt;d_선택!$B$2),C40,NA())</f>
        <v>326.10000000000002</v>
      </c>
      <c r="H40" t="e">
        <f>IF(AND(D40=1,E40=d_선택!$B$9,A40&lt;&gt;d_선택!$B$2),C40,NA())</f>
        <v>#N/A</v>
      </c>
      <c r="I40" t="e">
        <f>IF(A40=d_선택!$B$2,C40,NA())</f>
        <v>#N/A</v>
      </c>
    </row>
    <row r="41" spans="1:9">
      <c r="A41" t="s">
        <v>649</v>
      </c>
      <c r="B41">
        <v>392.7</v>
      </c>
      <c r="C41">
        <v>232.9</v>
      </c>
      <c r="D41">
        <v>0</v>
      </c>
      <c r="F41">
        <f t="shared" si="0"/>
        <v>232.9</v>
      </c>
      <c r="G41" t="e">
        <f>IF(AND(D41=1,E41&lt;&gt;d_선택!$B$9,A41&lt;&gt;d_선택!$B$2),C41,NA())</f>
        <v>#N/A</v>
      </c>
      <c r="H41" t="e">
        <f>IF(AND(D41=1,E41=d_선택!$B$9,A41&lt;&gt;d_선택!$B$2),C41,NA())</f>
        <v>#N/A</v>
      </c>
      <c r="I41" t="e">
        <f>IF(A41=d_선택!$B$2,C41,NA())</f>
        <v>#N/A</v>
      </c>
    </row>
    <row r="42" spans="1:9">
      <c r="A42" t="s">
        <v>650</v>
      </c>
      <c r="B42">
        <v>201</v>
      </c>
      <c r="C42">
        <v>472</v>
      </c>
      <c r="D42">
        <v>0</v>
      </c>
      <c r="F42">
        <f t="shared" si="0"/>
        <v>472</v>
      </c>
      <c r="G42" t="e">
        <f>IF(AND(D42=1,E42&lt;&gt;d_선택!$B$9,A42&lt;&gt;d_선택!$B$2),C42,NA())</f>
        <v>#N/A</v>
      </c>
      <c r="H42" t="e">
        <f>IF(AND(D42=1,E42=d_선택!$B$9,A42&lt;&gt;d_선택!$B$2),C42,NA())</f>
        <v>#N/A</v>
      </c>
      <c r="I42" t="e">
        <f>IF(A42=d_선택!$B$2,C42,NA())</f>
        <v>#N/A</v>
      </c>
    </row>
    <row r="43" spans="1:9">
      <c r="A43" t="s">
        <v>270</v>
      </c>
      <c r="B43">
        <v>404.9</v>
      </c>
      <c r="C43">
        <v>236.2</v>
      </c>
      <c r="D43">
        <v>1</v>
      </c>
      <c r="E43" t="s">
        <v>456</v>
      </c>
      <c r="F43" t="e">
        <f t="shared" si="0"/>
        <v>#N/A</v>
      </c>
      <c r="G43">
        <f>IF(AND(D43=1,E43&lt;&gt;d_선택!$B$9,A43&lt;&gt;d_선택!$B$2),C43,NA())</f>
        <v>236.2</v>
      </c>
      <c r="H43" t="e">
        <f>IF(AND(D43=1,E43=d_선택!$B$9,A43&lt;&gt;d_선택!$B$2),C43,NA())</f>
        <v>#N/A</v>
      </c>
      <c r="I43" t="e">
        <f>IF(A43=d_선택!$B$2,C43,NA())</f>
        <v>#N/A</v>
      </c>
    </row>
    <row r="44" spans="1:9">
      <c r="A44" t="s">
        <v>359</v>
      </c>
      <c r="B44">
        <v>204.8</v>
      </c>
      <c r="C44">
        <v>291.3</v>
      </c>
      <c r="D44">
        <v>1</v>
      </c>
      <c r="E44" t="s">
        <v>463</v>
      </c>
      <c r="F44" t="e">
        <f t="shared" si="0"/>
        <v>#N/A</v>
      </c>
      <c r="G44">
        <f>IF(AND(D44=1,E44&lt;&gt;d_선택!$B$9,A44&lt;&gt;d_선택!$B$2),C44,NA())</f>
        <v>291.3</v>
      </c>
      <c r="H44" t="e">
        <f>IF(AND(D44=1,E44=d_선택!$B$9,A44&lt;&gt;d_선택!$B$2),C44,NA())</f>
        <v>#N/A</v>
      </c>
      <c r="I44" t="e">
        <f>IF(A44=d_선택!$B$2,C44,NA())</f>
        <v>#N/A</v>
      </c>
    </row>
    <row r="45" spans="1:9">
      <c r="A45" t="s">
        <v>307</v>
      </c>
      <c r="B45">
        <v>304</v>
      </c>
      <c r="C45">
        <v>318.7</v>
      </c>
      <c r="D45">
        <v>1</v>
      </c>
      <c r="E45" t="s">
        <v>489</v>
      </c>
      <c r="F45" t="e">
        <f t="shared" si="0"/>
        <v>#N/A</v>
      </c>
      <c r="G45">
        <f>IF(AND(D45=1,E45&lt;&gt;d_선택!$B$9,A45&lt;&gt;d_선택!$B$2),C45,NA())</f>
        <v>318.7</v>
      </c>
      <c r="H45" t="e">
        <f>IF(AND(D45=1,E45=d_선택!$B$9,A45&lt;&gt;d_선택!$B$2),C45,NA())</f>
        <v>#N/A</v>
      </c>
      <c r="I45" t="e">
        <f>IF(A45=d_선택!$B$2,C45,NA())</f>
        <v>#N/A</v>
      </c>
    </row>
    <row r="46" spans="1:9">
      <c r="A46" t="s">
        <v>297</v>
      </c>
      <c r="B46">
        <v>178.9</v>
      </c>
      <c r="C46">
        <v>491.4</v>
      </c>
      <c r="D46">
        <v>1</v>
      </c>
      <c r="E46" t="s">
        <v>489</v>
      </c>
      <c r="F46" t="e">
        <f t="shared" si="0"/>
        <v>#N/A</v>
      </c>
      <c r="G46">
        <f>IF(AND(D46=1,E46&lt;&gt;d_선택!$B$9,A46&lt;&gt;d_선택!$B$2),C46,NA())</f>
        <v>491.4</v>
      </c>
      <c r="H46" t="e">
        <f>IF(AND(D46=1,E46=d_선택!$B$9,A46&lt;&gt;d_선택!$B$2),C46,NA())</f>
        <v>#N/A</v>
      </c>
      <c r="I46" t="e">
        <f>IF(A46=d_선택!$B$2,C46,NA())</f>
        <v>#N/A</v>
      </c>
    </row>
    <row r="47" spans="1:9">
      <c r="A47" t="s">
        <v>296</v>
      </c>
      <c r="B47">
        <v>369.4</v>
      </c>
      <c r="C47">
        <v>233.6</v>
      </c>
      <c r="D47">
        <v>1</v>
      </c>
      <c r="E47" t="s">
        <v>489</v>
      </c>
      <c r="F47" t="e">
        <f t="shared" si="0"/>
        <v>#N/A</v>
      </c>
      <c r="G47">
        <f>IF(AND(D47=1,E47&lt;&gt;d_선택!$B$9,A47&lt;&gt;d_선택!$B$2),C47,NA())</f>
        <v>233.6</v>
      </c>
      <c r="H47" t="e">
        <f>IF(AND(D47=1,E47=d_선택!$B$9,A47&lt;&gt;d_선택!$B$2),C47,NA())</f>
        <v>#N/A</v>
      </c>
      <c r="I47" t="e">
        <f>IF(A47=d_선택!$B$2,C47,NA())</f>
        <v>#N/A</v>
      </c>
    </row>
    <row r="48" spans="1:9">
      <c r="A48" t="s">
        <v>269</v>
      </c>
      <c r="B48">
        <v>183</v>
      </c>
      <c r="C48">
        <v>203.6</v>
      </c>
      <c r="D48">
        <v>1</v>
      </c>
      <c r="E48" t="s">
        <v>471</v>
      </c>
      <c r="F48" t="e">
        <f t="shared" si="0"/>
        <v>#N/A</v>
      </c>
      <c r="G48">
        <f>IF(AND(D48=1,E48&lt;&gt;d_선택!$B$9,A48&lt;&gt;d_선택!$B$2),C48,NA())</f>
        <v>203.6</v>
      </c>
      <c r="H48" t="e">
        <f>IF(AND(D48=1,E48=d_선택!$B$9,A48&lt;&gt;d_선택!$B$2),C48,NA())</f>
        <v>#N/A</v>
      </c>
      <c r="I48" t="e">
        <f>IF(A48=d_선택!$B$2,C48,NA())</f>
        <v>#N/A</v>
      </c>
    </row>
    <row r="49" spans="1:9">
      <c r="A49" t="s">
        <v>651</v>
      </c>
      <c r="B49">
        <v>413.4</v>
      </c>
      <c r="C49">
        <v>261.3</v>
      </c>
      <c r="D49">
        <v>0</v>
      </c>
      <c r="F49">
        <f t="shared" si="0"/>
        <v>261.3</v>
      </c>
      <c r="G49" t="e">
        <f>IF(AND(D49=1,E49&lt;&gt;d_선택!$B$9,A49&lt;&gt;d_선택!$B$2),C49,NA())</f>
        <v>#N/A</v>
      </c>
      <c r="H49" t="e">
        <f>IF(AND(D49=1,E49=d_선택!$B$9,A49&lt;&gt;d_선택!$B$2),C49,NA())</f>
        <v>#N/A</v>
      </c>
      <c r="I49" t="e">
        <f>IF(A49=d_선택!$B$2,C49,NA())</f>
        <v>#N/A</v>
      </c>
    </row>
    <row r="50" spans="1:9">
      <c r="A50" t="s">
        <v>652</v>
      </c>
      <c r="B50">
        <v>185.8</v>
      </c>
      <c r="C50">
        <v>468.7</v>
      </c>
      <c r="D50">
        <v>0</v>
      </c>
      <c r="F50">
        <f t="shared" si="0"/>
        <v>468.7</v>
      </c>
      <c r="G50" t="e">
        <f>IF(AND(D50=1,E50&lt;&gt;d_선택!$B$9,A50&lt;&gt;d_선택!$B$2),C50,NA())</f>
        <v>#N/A</v>
      </c>
      <c r="H50" t="e">
        <f>IF(AND(D50=1,E50=d_선택!$B$9,A50&lt;&gt;d_선택!$B$2),C50,NA())</f>
        <v>#N/A</v>
      </c>
      <c r="I50" t="e">
        <f>IF(A50=d_선택!$B$2,C50,NA())</f>
        <v>#N/A</v>
      </c>
    </row>
    <row r="51" spans="1:9">
      <c r="A51" t="s">
        <v>317</v>
      </c>
      <c r="B51">
        <v>230.3</v>
      </c>
      <c r="C51">
        <v>492.4</v>
      </c>
      <c r="D51">
        <v>1</v>
      </c>
      <c r="E51" t="s">
        <v>489</v>
      </c>
      <c r="F51" t="e">
        <f t="shared" si="0"/>
        <v>#N/A</v>
      </c>
      <c r="G51">
        <f>IF(AND(D51=1,E51&lt;&gt;d_선택!$B$9,A51&lt;&gt;d_선택!$B$2),C51,NA())</f>
        <v>492.4</v>
      </c>
      <c r="H51" t="e">
        <f>IF(AND(D51=1,E51=d_선택!$B$9,A51&lt;&gt;d_선택!$B$2),C51,NA())</f>
        <v>#N/A</v>
      </c>
      <c r="I51" t="e">
        <f>IF(A51=d_선택!$B$2,C51,NA())</f>
        <v>#N/A</v>
      </c>
    </row>
    <row r="52" spans="1:9">
      <c r="A52" t="s">
        <v>288</v>
      </c>
      <c r="B52">
        <v>247.4</v>
      </c>
      <c r="C52">
        <v>251.6</v>
      </c>
      <c r="D52">
        <v>1</v>
      </c>
      <c r="E52" t="s">
        <v>489</v>
      </c>
      <c r="F52" t="e">
        <f t="shared" si="0"/>
        <v>#N/A</v>
      </c>
      <c r="G52">
        <f>IF(AND(D52=1,E52&lt;&gt;d_선택!$B$9,A52&lt;&gt;d_선택!$B$2),C52,NA())</f>
        <v>251.6</v>
      </c>
      <c r="H52" t="e">
        <f>IF(AND(D52=1,E52=d_선택!$B$9,A52&lt;&gt;d_선택!$B$2),C52,NA())</f>
        <v>#N/A</v>
      </c>
      <c r="I52" t="e">
        <f>IF(A52=d_선택!$B$2,C52,NA())</f>
        <v>#N/A</v>
      </c>
    </row>
    <row r="53" spans="1:9">
      <c r="A53" t="s">
        <v>251</v>
      </c>
      <c r="B53">
        <v>290.89999999999998</v>
      </c>
      <c r="C53">
        <v>184.2</v>
      </c>
      <c r="D53">
        <v>1</v>
      </c>
      <c r="E53" t="s">
        <v>483</v>
      </c>
      <c r="F53" t="e">
        <f t="shared" si="0"/>
        <v>#N/A</v>
      </c>
      <c r="G53" t="e">
        <f>IF(AND(D53=1,E53&lt;&gt;d_선택!$B$9,A53&lt;&gt;d_선택!$B$2),C53,NA())</f>
        <v>#N/A</v>
      </c>
      <c r="H53">
        <f>IF(AND(D53=1,E53=d_선택!$B$9,A53&lt;&gt;d_선택!$B$2),C53,NA())</f>
        <v>184.2</v>
      </c>
      <c r="I53" t="e">
        <f>IF(A53=d_선택!$B$2,C53,NA())</f>
        <v>#N/A</v>
      </c>
    </row>
    <row r="54" spans="1:9">
      <c r="A54" t="s">
        <v>653</v>
      </c>
      <c r="B54">
        <v>216.1</v>
      </c>
      <c r="C54">
        <v>492.4</v>
      </c>
      <c r="D54">
        <v>0</v>
      </c>
      <c r="F54">
        <f t="shared" si="0"/>
        <v>492.4</v>
      </c>
      <c r="G54" t="e">
        <f>IF(AND(D54=1,E54&lt;&gt;d_선택!$B$9,A54&lt;&gt;d_선택!$B$2),C54,NA())</f>
        <v>#N/A</v>
      </c>
      <c r="H54" t="e">
        <f>IF(AND(D54=1,E54=d_선택!$B$9,A54&lt;&gt;d_선택!$B$2),C54,NA())</f>
        <v>#N/A</v>
      </c>
      <c r="I54" t="e">
        <f>IF(A54=d_선택!$B$2,C54,NA())</f>
        <v>#N/A</v>
      </c>
    </row>
    <row r="55" spans="1:9">
      <c r="A55" t="s">
        <v>315</v>
      </c>
      <c r="B55">
        <v>222.8</v>
      </c>
      <c r="C55">
        <v>334.8</v>
      </c>
      <c r="D55">
        <v>1</v>
      </c>
      <c r="E55" t="s">
        <v>489</v>
      </c>
      <c r="F55" t="e">
        <f t="shared" si="0"/>
        <v>#N/A</v>
      </c>
      <c r="G55">
        <f>IF(AND(D55=1,E55&lt;&gt;d_선택!$B$9,A55&lt;&gt;d_선택!$B$2),C55,NA())</f>
        <v>334.8</v>
      </c>
      <c r="H55" t="e">
        <f>IF(AND(D55=1,E55=d_선택!$B$9,A55&lt;&gt;d_선택!$B$2),C55,NA())</f>
        <v>#N/A</v>
      </c>
      <c r="I55" t="e">
        <f>IF(A55=d_선택!$B$2,C55,NA())</f>
        <v>#N/A</v>
      </c>
    </row>
    <row r="56" spans="1:9">
      <c r="A56" t="s">
        <v>290</v>
      </c>
      <c r="B56">
        <v>332.3</v>
      </c>
      <c r="C56">
        <v>423.2</v>
      </c>
      <c r="D56">
        <v>1</v>
      </c>
      <c r="E56" t="s">
        <v>178</v>
      </c>
      <c r="F56" t="e">
        <f t="shared" si="0"/>
        <v>#N/A</v>
      </c>
      <c r="G56">
        <f>IF(AND(D56=1,E56&lt;&gt;d_선택!$B$9,A56&lt;&gt;d_선택!$B$2),C56,NA())</f>
        <v>423.2</v>
      </c>
      <c r="H56" t="e">
        <f>IF(AND(D56=1,E56=d_선택!$B$9,A56&lt;&gt;d_선택!$B$2),C56,NA())</f>
        <v>#N/A</v>
      </c>
      <c r="I56" t="e">
        <f>IF(A56=d_선택!$B$2,C56,NA())</f>
        <v>#N/A</v>
      </c>
    </row>
    <row r="57" spans="1:9">
      <c r="A57" t="s">
        <v>654</v>
      </c>
      <c r="B57">
        <v>343.8</v>
      </c>
      <c r="C57">
        <v>294.7</v>
      </c>
      <c r="D57">
        <v>0</v>
      </c>
      <c r="F57">
        <f t="shared" si="0"/>
        <v>294.7</v>
      </c>
      <c r="G57" t="e">
        <f>IF(AND(D57=1,E57&lt;&gt;d_선택!$B$9,A57&lt;&gt;d_선택!$B$2),C57,NA())</f>
        <v>#N/A</v>
      </c>
      <c r="H57" t="e">
        <f>IF(AND(D57=1,E57=d_선택!$B$9,A57&lt;&gt;d_선택!$B$2),C57,NA())</f>
        <v>#N/A</v>
      </c>
      <c r="I57" t="e">
        <f>IF(A57=d_선택!$B$2,C57,NA())</f>
        <v>#N/A</v>
      </c>
    </row>
    <row r="58" spans="1:9">
      <c r="A58" t="s">
        <v>328</v>
      </c>
      <c r="B58">
        <v>342.5</v>
      </c>
      <c r="C58">
        <v>283.8</v>
      </c>
      <c r="D58">
        <v>1</v>
      </c>
      <c r="E58" t="s">
        <v>489</v>
      </c>
      <c r="F58" t="e">
        <f t="shared" si="0"/>
        <v>#N/A</v>
      </c>
      <c r="G58">
        <f>IF(AND(D58=1,E58&lt;&gt;d_선택!$B$9,A58&lt;&gt;d_선택!$B$2),C58,NA())</f>
        <v>283.8</v>
      </c>
      <c r="H58" t="e">
        <f>IF(AND(D58=1,E58=d_선택!$B$9,A58&lt;&gt;d_선택!$B$2),C58,NA())</f>
        <v>#N/A</v>
      </c>
      <c r="I58" t="e">
        <f>IF(A58=d_선택!$B$2,C58,NA())</f>
        <v>#N/A</v>
      </c>
    </row>
    <row r="59" spans="1:9">
      <c r="A59" t="s">
        <v>358</v>
      </c>
      <c r="B59">
        <v>210.2</v>
      </c>
      <c r="C59">
        <v>235.9</v>
      </c>
      <c r="D59">
        <v>1</v>
      </c>
      <c r="E59" t="s">
        <v>463</v>
      </c>
      <c r="F59" t="e">
        <f t="shared" si="0"/>
        <v>#N/A</v>
      </c>
      <c r="G59">
        <f>IF(AND(D59=1,E59&lt;&gt;d_선택!$B$9,A59&lt;&gt;d_선택!$B$2),C59,NA())</f>
        <v>235.9</v>
      </c>
      <c r="H59" t="e">
        <f>IF(AND(D59=1,E59=d_선택!$B$9,A59&lt;&gt;d_선택!$B$2),C59,NA())</f>
        <v>#N/A</v>
      </c>
      <c r="I59" t="e">
        <f>IF(A59=d_선택!$B$2,C59,NA())</f>
        <v>#N/A</v>
      </c>
    </row>
    <row r="60" spans="1:9">
      <c r="A60" t="s">
        <v>347</v>
      </c>
      <c r="B60">
        <v>179.9</v>
      </c>
      <c r="C60">
        <v>415</v>
      </c>
      <c r="D60">
        <v>1</v>
      </c>
      <c r="E60" t="s">
        <v>489</v>
      </c>
      <c r="F60" t="e">
        <f t="shared" si="0"/>
        <v>#N/A</v>
      </c>
      <c r="G60">
        <f>IF(AND(D60=1,E60&lt;&gt;d_선택!$B$9,A60&lt;&gt;d_선택!$B$2),C60,NA())</f>
        <v>415</v>
      </c>
      <c r="H60" t="e">
        <f>IF(AND(D60=1,E60=d_선택!$B$9,A60&lt;&gt;d_선택!$B$2),C60,NA())</f>
        <v>#N/A</v>
      </c>
      <c r="I60" t="e">
        <f>IF(A60=d_선택!$B$2,C60,NA())</f>
        <v>#N/A</v>
      </c>
    </row>
    <row r="61" spans="1:9">
      <c r="A61" t="s">
        <v>655</v>
      </c>
      <c r="B61">
        <v>248.4</v>
      </c>
      <c r="C61">
        <v>357.9</v>
      </c>
      <c r="D61">
        <v>0</v>
      </c>
      <c r="F61">
        <f t="shared" si="0"/>
        <v>357.9</v>
      </c>
      <c r="G61" t="e">
        <f>IF(AND(D61=1,E61&lt;&gt;d_선택!$B$9,A61&lt;&gt;d_선택!$B$2),C61,NA())</f>
        <v>#N/A</v>
      </c>
      <c r="H61" t="e">
        <f>IF(AND(D61=1,E61=d_선택!$B$9,A61&lt;&gt;d_선택!$B$2),C61,NA())</f>
        <v>#N/A</v>
      </c>
      <c r="I61" t="e">
        <f>IF(A61=d_선택!$B$2,C61,NA())</f>
        <v>#N/A</v>
      </c>
    </row>
    <row r="62" spans="1:9">
      <c r="A62" t="s">
        <v>656</v>
      </c>
      <c r="B62">
        <v>213.2</v>
      </c>
      <c r="C62">
        <v>493.2</v>
      </c>
      <c r="D62">
        <v>0</v>
      </c>
      <c r="F62">
        <f t="shared" si="0"/>
        <v>493.2</v>
      </c>
      <c r="G62" t="e">
        <f>IF(AND(D62=1,E62&lt;&gt;d_선택!$B$9,A62&lt;&gt;d_선택!$B$2),C62,NA())</f>
        <v>#N/A</v>
      </c>
      <c r="H62" t="e">
        <f>IF(AND(D62=1,E62=d_선택!$B$9,A62&lt;&gt;d_선택!$B$2),C62,NA())</f>
        <v>#N/A</v>
      </c>
      <c r="I62" t="e">
        <f>IF(A62=d_선택!$B$2,C62,NA())</f>
        <v>#N/A</v>
      </c>
    </row>
    <row r="63" spans="1:9">
      <c r="A63" t="s">
        <v>657</v>
      </c>
      <c r="B63">
        <v>357.2</v>
      </c>
      <c r="C63">
        <v>305.8</v>
      </c>
      <c r="D63">
        <v>0</v>
      </c>
      <c r="F63">
        <f t="shared" si="0"/>
        <v>305.8</v>
      </c>
      <c r="G63" t="e">
        <f>IF(AND(D63=1,E63&lt;&gt;d_선택!$B$9,A63&lt;&gt;d_선택!$B$2),C63,NA())</f>
        <v>#N/A</v>
      </c>
      <c r="H63" t="e">
        <f>IF(AND(D63=1,E63=d_선택!$B$9,A63&lt;&gt;d_선택!$B$2),C63,NA())</f>
        <v>#N/A</v>
      </c>
      <c r="I63" t="e">
        <f>IF(A63=d_선택!$B$2,C63,NA())</f>
        <v>#N/A</v>
      </c>
    </row>
    <row r="64" spans="1:9">
      <c r="A64" t="s">
        <v>658</v>
      </c>
      <c r="B64">
        <v>214.5</v>
      </c>
      <c r="C64">
        <v>484.9</v>
      </c>
      <c r="D64">
        <v>0</v>
      </c>
      <c r="F64">
        <f t="shared" si="0"/>
        <v>484.9</v>
      </c>
      <c r="G64" t="e">
        <f>IF(AND(D64=1,E64&lt;&gt;d_선택!$B$9,A64&lt;&gt;d_선택!$B$2),C64,NA())</f>
        <v>#N/A</v>
      </c>
      <c r="H64" t="e">
        <f>IF(AND(D64=1,E64=d_선택!$B$9,A64&lt;&gt;d_선택!$B$2),C64,NA())</f>
        <v>#N/A</v>
      </c>
      <c r="I64" t="e">
        <f>IF(A64=d_선택!$B$2,C64,NA())</f>
        <v>#N/A</v>
      </c>
    </row>
    <row r="65" spans="1:9">
      <c r="A65" t="s">
        <v>367</v>
      </c>
      <c r="B65">
        <v>216.7</v>
      </c>
      <c r="C65">
        <v>520.4</v>
      </c>
      <c r="D65">
        <v>1</v>
      </c>
      <c r="E65" t="s">
        <v>489</v>
      </c>
      <c r="F65" t="e">
        <f t="shared" si="0"/>
        <v>#N/A</v>
      </c>
      <c r="G65">
        <f>IF(AND(D65=1,E65&lt;&gt;d_선택!$B$9,A65&lt;&gt;d_선택!$B$2),C65,NA())</f>
        <v>520.4</v>
      </c>
      <c r="H65" t="e">
        <f>IF(AND(D65=1,E65=d_선택!$B$9,A65&lt;&gt;d_선택!$B$2),C65,NA())</f>
        <v>#N/A</v>
      </c>
      <c r="I65" t="e">
        <f>IF(A65=d_선택!$B$2,C65,NA())</f>
        <v>#N/A</v>
      </c>
    </row>
    <row r="66" spans="1:9">
      <c r="A66" t="s">
        <v>659</v>
      </c>
      <c r="B66">
        <v>392.4</v>
      </c>
      <c r="C66">
        <v>227.6</v>
      </c>
      <c r="D66">
        <v>0</v>
      </c>
      <c r="F66">
        <f t="shared" ref="F66:F129" si="1">IF(D66=0,C66,NA())</f>
        <v>227.6</v>
      </c>
      <c r="G66" t="e">
        <f>IF(AND(D66=1,E66&lt;&gt;d_선택!$B$9,A66&lt;&gt;d_선택!$B$2),C66,NA())</f>
        <v>#N/A</v>
      </c>
      <c r="H66" t="e">
        <f>IF(AND(D66=1,E66=d_선택!$B$9,A66&lt;&gt;d_선택!$B$2),C66,NA())</f>
        <v>#N/A</v>
      </c>
      <c r="I66" t="e">
        <f>IF(A66=d_선택!$B$2,C66,NA())</f>
        <v>#N/A</v>
      </c>
    </row>
    <row r="67" spans="1:9">
      <c r="A67" t="s">
        <v>660</v>
      </c>
      <c r="B67">
        <v>205.1</v>
      </c>
      <c r="C67">
        <v>475.4</v>
      </c>
      <c r="D67">
        <v>0</v>
      </c>
      <c r="F67">
        <f t="shared" si="1"/>
        <v>475.4</v>
      </c>
      <c r="G67" t="e">
        <f>IF(AND(D67=1,E67&lt;&gt;d_선택!$B$9,A67&lt;&gt;d_선택!$B$2),C67,NA())</f>
        <v>#N/A</v>
      </c>
      <c r="H67" t="e">
        <f>IF(AND(D67=1,E67=d_선택!$B$9,A67&lt;&gt;d_선택!$B$2),C67,NA())</f>
        <v>#N/A</v>
      </c>
      <c r="I67" t="e">
        <f>IF(A67=d_선택!$B$2,C67,NA())</f>
        <v>#N/A</v>
      </c>
    </row>
    <row r="68" spans="1:9">
      <c r="A68" t="s">
        <v>333</v>
      </c>
      <c r="B68">
        <v>391.7</v>
      </c>
      <c r="C68">
        <v>477.3</v>
      </c>
      <c r="D68">
        <v>1</v>
      </c>
      <c r="E68" t="s">
        <v>178</v>
      </c>
      <c r="F68" t="e">
        <f t="shared" si="1"/>
        <v>#N/A</v>
      </c>
      <c r="G68">
        <f>IF(AND(D68=1,E68&lt;&gt;d_선택!$B$9,A68&lt;&gt;d_선택!$B$2),C68,NA())</f>
        <v>477.3</v>
      </c>
      <c r="H68" t="e">
        <f>IF(AND(D68=1,E68=d_선택!$B$9,A68&lt;&gt;d_선택!$B$2),C68,NA())</f>
        <v>#N/A</v>
      </c>
      <c r="I68" t="e">
        <f>IF(A68=d_선택!$B$2,C68,NA())</f>
        <v>#N/A</v>
      </c>
    </row>
    <row r="69" spans="1:9">
      <c r="A69" t="s">
        <v>661</v>
      </c>
      <c r="B69">
        <v>202.8</v>
      </c>
      <c r="C69">
        <v>482.4</v>
      </c>
      <c r="D69">
        <v>0</v>
      </c>
      <c r="F69">
        <f t="shared" si="1"/>
        <v>482.4</v>
      </c>
      <c r="G69" t="e">
        <f>IF(AND(D69=1,E69&lt;&gt;d_선택!$B$9,A69&lt;&gt;d_선택!$B$2),C69,NA())</f>
        <v>#N/A</v>
      </c>
      <c r="H69" t="e">
        <f>IF(AND(D69=1,E69=d_선택!$B$9,A69&lt;&gt;d_선택!$B$2),C69,NA())</f>
        <v>#N/A</v>
      </c>
      <c r="I69" t="e">
        <f>IF(A69=d_선택!$B$2,C69,NA())</f>
        <v>#N/A</v>
      </c>
    </row>
    <row r="70" spans="1:9">
      <c r="A70" t="s">
        <v>335</v>
      </c>
      <c r="B70">
        <v>157.19999999999999</v>
      </c>
      <c r="C70">
        <v>184.6</v>
      </c>
      <c r="D70">
        <v>1</v>
      </c>
      <c r="E70" t="s">
        <v>178</v>
      </c>
      <c r="F70" t="e">
        <f t="shared" si="1"/>
        <v>#N/A</v>
      </c>
      <c r="G70">
        <f>IF(AND(D70=1,E70&lt;&gt;d_선택!$B$9,A70&lt;&gt;d_선택!$B$2),C70,NA())</f>
        <v>184.6</v>
      </c>
      <c r="H70" t="e">
        <f>IF(AND(D70=1,E70=d_선택!$B$9,A70&lt;&gt;d_선택!$B$2),C70,NA())</f>
        <v>#N/A</v>
      </c>
      <c r="I70" t="e">
        <f>IF(A70=d_선택!$B$2,C70,NA())</f>
        <v>#N/A</v>
      </c>
    </row>
    <row r="71" spans="1:9">
      <c r="A71" t="s">
        <v>324</v>
      </c>
      <c r="B71">
        <v>154.30000000000001</v>
      </c>
      <c r="C71">
        <v>208.6</v>
      </c>
      <c r="D71">
        <v>1</v>
      </c>
      <c r="E71" t="s">
        <v>489</v>
      </c>
      <c r="F71" t="e">
        <f t="shared" si="1"/>
        <v>#N/A</v>
      </c>
      <c r="G71">
        <f>IF(AND(D71=1,E71&lt;&gt;d_선택!$B$9,A71&lt;&gt;d_선택!$B$2),C71,NA())</f>
        <v>208.6</v>
      </c>
      <c r="H71" t="e">
        <f>IF(AND(D71=1,E71=d_선택!$B$9,A71&lt;&gt;d_선택!$B$2),C71,NA())</f>
        <v>#N/A</v>
      </c>
      <c r="I71" t="e">
        <f>IF(A71=d_선택!$B$2,C71,NA())</f>
        <v>#N/A</v>
      </c>
    </row>
    <row r="72" spans="1:9">
      <c r="A72" t="s">
        <v>384</v>
      </c>
      <c r="B72">
        <v>271.3</v>
      </c>
      <c r="C72">
        <v>309.2</v>
      </c>
      <c r="D72">
        <v>1</v>
      </c>
      <c r="E72" t="s">
        <v>489</v>
      </c>
      <c r="F72" t="e">
        <f t="shared" si="1"/>
        <v>#N/A</v>
      </c>
      <c r="G72">
        <f>IF(AND(D72=1,E72&lt;&gt;d_선택!$B$9,A72&lt;&gt;d_선택!$B$2),C72,NA())</f>
        <v>309.2</v>
      </c>
      <c r="H72" t="e">
        <f>IF(AND(D72=1,E72=d_선택!$B$9,A72&lt;&gt;d_선택!$B$2),C72,NA())</f>
        <v>#N/A</v>
      </c>
      <c r="I72" t="e">
        <f>IF(A72=d_선택!$B$2,C72,NA())</f>
        <v>#N/A</v>
      </c>
    </row>
    <row r="73" spans="1:9">
      <c r="A73" t="s">
        <v>276</v>
      </c>
      <c r="B73">
        <v>310.5</v>
      </c>
      <c r="C73">
        <v>386.3</v>
      </c>
      <c r="D73">
        <v>1</v>
      </c>
      <c r="E73" t="s">
        <v>471</v>
      </c>
      <c r="F73" t="e">
        <f t="shared" si="1"/>
        <v>#N/A</v>
      </c>
      <c r="G73">
        <f>IF(AND(D73=1,E73&lt;&gt;d_선택!$B$9,A73&lt;&gt;d_선택!$B$2),C73,NA())</f>
        <v>386.3</v>
      </c>
      <c r="H73" t="e">
        <f>IF(AND(D73=1,E73=d_선택!$B$9,A73&lt;&gt;d_선택!$B$2),C73,NA())</f>
        <v>#N/A</v>
      </c>
      <c r="I73" t="e">
        <f>IF(A73=d_선택!$B$2,C73,NA())</f>
        <v>#N/A</v>
      </c>
    </row>
    <row r="74" spans="1:9">
      <c r="A74" t="s">
        <v>271</v>
      </c>
      <c r="B74">
        <v>367</v>
      </c>
      <c r="C74">
        <v>259.2</v>
      </c>
      <c r="D74">
        <v>1</v>
      </c>
      <c r="E74" t="s">
        <v>458</v>
      </c>
      <c r="F74" t="e">
        <f t="shared" si="1"/>
        <v>#N/A</v>
      </c>
      <c r="G74">
        <f>IF(AND(D74=1,E74&lt;&gt;d_선택!$B$9,A74&lt;&gt;d_선택!$B$2),C74,NA())</f>
        <v>259.2</v>
      </c>
      <c r="H74" t="e">
        <f>IF(AND(D74=1,E74=d_선택!$B$9,A74&lt;&gt;d_선택!$B$2),C74,NA())</f>
        <v>#N/A</v>
      </c>
      <c r="I74" t="e">
        <f>IF(A74=d_선택!$B$2,C74,NA())</f>
        <v>#N/A</v>
      </c>
    </row>
    <row r="75" spans="1:9">
      <c r="A75" t="s">
        <v>380</v>
      </c>
      <c r="B75">
        <v>171.4</v>
      </c>
      <c r="C75">
        <v>353</v>
      </c>
      <c r="D75">
        <v>1</v>
      </c>
      <c r="E75" t="s">
        <v>178</v>
      </c>
      <c r="F75" t="e">
        <f t="shared" si="1"/>
        <v>#N/A</v>
      </c>
      <c r="G75">
        <f>IF(AND(D75=1,E75&lt;&gt;d_선택!$B$9,A75&lt;&gt;d_선택!$B$2),C75,NA())</f>
        <v>353</v>
      </c>
      <c r="H75" t="e">
        <f>IF(AND(D75=1,E75=d_선택!$B$9,A75&lt;&gt;d_선택!$B$2),C75,NA())</f>
        <v>#N/A</v>
      </c>
      <c r="I75" t="e">
        <f>IF(A75=d_선택!$B$2,C75,NA())</f>
        <v>#N/A</v>
      </c>
    </row>
    <row r="76" spans="1:9">
      <c r="A76" t="s">
        <v>345</v>
      </c>
      <c r="B76">
        <v>227.6</v>
      </c>
      <c r="C76">
        <v>182.8</v>
      </c>
      <c r="D76">
        <v>1</v>
      </c>
      <c r="E76" t="s">
        <v>463</v>
      </c>
      <c r="F76" t="e">
        <f t="shared" si="1"/>
        <v>#N/A</v>
      </c>
      <c r="G76">
        <f>IF(AND(D76=1,E76&lt;&gt;d_선택!$B$9,A76&lt;&gt;d_선택!$B$2),C76,NA())</f>
        <v>182.8</v>
      </c>
      <c r="H76" t="e">
        <f>IF(AND(D76=1,E76=d_선택!$B$9,A76&lt;&gt;d_선택!$B$2),C76,NA())</f>
        <v>#N/A</v>
      </c>
      <c r="I76" t="e">
        <f>IF(A76=d_선택!$B$2,C76,NA())</f>
        <v>#N/A</v>
      </c>
    </row>
    <row r="77" spans="1:9">
      <c r="A77" t="s">
        <v>386</v>
      </c>
      <c r="B77">
        <v>272.5</v>
      </c>
      <c r="C77">
        <v>365.3</v>
      </c>
      <c r="D77">
        <v>1</v>
      </c>
      <c r="E77" t="s">
        <v>178</v>
      </c>
      <c r="F77" t="e">
        <f t="shared" si="1"/>
        <v>#N/A</v>
      </c>
      <c r="G77">
        <f>IF(AND(D77=1,E77&lt;&gt;d_선택!$B$9,A77&lt;&gt;d_선택!$B$2),C77,NA())</f>
        <v>365.3</v>
      </c>
      <c r="H77" t="e">
        <f>IF(AND(D77=1,E77=d_선택!$B$9,A77&lt;&gt;d_선택!$B$2),C77,NA())</f>
        <v>#N/A</v>
      </c>
      <c r="I77" t="e">
        <f>IF(A77=d_선택!$B$2,C77,NA())</f>
        <v>#N/A</v>
      </c>
    </row>
    <row r="78" spans="1:9">
      <c r="A78" t="s">
        <v>388</v>
      </c>
      <c r="B78">
        <v>376.7</v>
      </c>
      <c r="C78">
        <v>414</v>
      </c>
      <c r="D78">
        <v>1</v>
      </c>
      <c r="E78" t="s">
        <v>487</v>
      </c>
      <c r="F78" t="e">
        <f t="shared" si="1"/>
        <v>#N/A</v>
      </c>
      <c r="G78">
        <f>IF(AND(D78=1,E78&lt;&gt;d_선택!$B$9,A78&lt;&gt;d_선택!$B$2),C78,NA())</f>
        <v>414</v>
      </c>
      <c r="H78" t="e">
        <f>IF(AND(D78=1,E78=d_선택!$B$9,A78&lt;&gt;d_선택!$B$2),C78,NA())</f>
        <v>#N/A</v>
      </c>
      <c r="I78" t="e">
        <f>IF(A78=d_선택!$B$2,C78,NA())</f>
        <v>#N/A</v>
      </c>
    </row>
    <row r="79" spans="1:9">
      <c r="A79" t="s">
        <v>662</v>
      </c>
      <c r="B79">
        <v>389</v>
      </c>
      <c r="C79">
        <v>222.9</v>
      </c>
      <c r="D79">
        <v>0</v>
      </c>
      <c r="F79">
        <f t="shared" si="1"/>
        <v>222.9</v>
      </c>
      <c r="G79" t="e">
        <f>IF(AND(D79=1,E79&lt;&gt;d_선택!$B$9,A79&lt;&gt;d_선택!$B$2),C79,NA())</f>
        <v>#N/A</v>
      </c>
      <c r="H79" t="e">
        <f>IF(AND(D79=1,E79=d_선택!$B$9,A79&lt;&gt;d_선택!$B$2),C79,NA())</f>
        <v>#N/A</v>
      </c>
      <c r="I79" t="e">
        <f>IF(A79=d_선택!$B$2,C79,NA())</f>
        <v>#N/A</v>
      </c>
    </row>
    <row r="80" spans="1:9">
      <c r="A80" t="s">
        <v>294</v>
      </c>
      <c r="B80">
        <v>176.3</v>
      </c>
      <c r="C80">
        <v>277.39999999999998</v>
      </c>
      <c r="D80">
        <v>1</v>
      </c>
      <c r="E80" t="s">
        <v>178</v>
      </c>
      <c r="F80" t="e">
        <f t="shared" si="1"/>
        <v>#N/A</v>
      </c>
      <c r="G80">
        <f>IF(AND(D80=1,E80&lt;&gt;d_선택!$B$9,A80&lt;&gt;d_선택!$B$2),C80,NA())</f>
        <v>277.39999999999998</v>
      </c>
      <c r="H80" t="e">
        <f>IF(AND(D80=1,E80=d_선택!$B$9,A80&lt;&gt;d_선택!$B$2),C80,NA())</f>
        <v>#N/A</v>
      </c>
      <c r="I80" t="e">
        <f>IF(A80=d_선택!$B$2,C80,NA())</f>
        <v>#N/A</v>
      </c>
    </row>
    <row r="81" spans="1:9">
      <c r="A81" t="s">
        <v>282</v>
      </c>
      <c r="B81">
        <v>198.7</v>
      </c>
      <c r="C81">
        <v>341.6</v>
      </c>
      <c r="D81">
        <v>1</v>
      </c>
      <c r="E81" t="s">
        <v>471</v>
      </c>
      <c r="F81" t="e">
        <f t="shared" si="1"/>
        <v>#N/A</v>
      </c>
      <c r="G81">
        <f>IF(AND(D81=1,E81&lt;&gt;d_선택!$B$9,A81&lt;&gt;d_선택!$B$2),C81,NA())</f>
        <v>341.6</v>
      </c>
      <c r="H81" t="e">
        <f>IF(AND(D81=1,E81=d_선택!$B$9,A81&lt;&gt;d_선택!$B$2),C81,NA())</f>
        <v>#N/A</v>
      </c>
      <c r="I81" t="e">
        <f>IF(A81=d_선택!$B$2,C81,NA())</f>
        <v>#N/A</v>
      </c>
    </row>
    <row r="82" spans="1:9">
      <c r="A82" t="s">
        <v>663</v>
      </c>
      <c r="B82">
        <v>191.9</v>
      </c>
      <c r="C82">
        <v>476.3</v>
      </c>
      <c r="D82">
        <v>0</v>
      </c>
      <c r="F82">
        <f t="shared" si="1"/>
        <v>476.3</v>
      </c>
      <c r="G82" t="e">
        <f>IF(AND(D82=1,E82&lt;&gt;d_선택!$B$9,A82&lt;&gt;d_선택!$B$2),C82,NA())</f>
        <v>#N/A</v>
      </c>
      <c r="H82" t="e">
        <f>IF(AND(D82=1,E82=d_선택!$B$9,A82&lt;&gt;d_선택!$B$2),C82,NA())</f>
        <v>#N/A</v>
      </c>
      <c r="I82" t="e">
        <f>IF(A82=d_선택!$B$2,C82,NA())</f>
        <v>#N/A</v>
      </c>
    </row>
    <row r="83" spans="1:9">
      <c r="A83" t="s">
        <v>664</v>
      </c>
      <c r="B83">
        <v>186.3</v>
      </c>
      <c r="C83">
        <v>474.6</v>
      </c>
      <c r="D83">
        <v>0</v>
      </c>
      <c r="F83">
        <f t="shared" si="1"/>
        <v>474.6</v>
      </c>
      <c r="G83" t="e">
        <f>IF(AND(D83=1,E83&lt;&gt;d_선택!$B$9,A83&lt;&gt;d_선택!$B$2),C83,NA())</f>
        <v>#N/A</v>
      </c>
      <c r="H83" t="e">
        <f>IF(AND(D83=1,E83=d_선택!$B$9,A83&lt;&gt;d_선택!$B$2),C83,NA())</f>
        <v>#N/A</v>
      </c>
      <c r="I83" t="e">
        <f>IF(A83=d_선택!$B$2,C83,NA())</f>
        <v>#N/A</v>
      </c>
    </row>
    <row r="84" spans="1:9">
      <c r="A84" t="s">
        <v>665</v>
      </c>
      <c r="B84">
        <v>422.6</v>
      </c>
      <c r="C84">
        <v>270.89999999999998</v>
      </c>
      <c r="D84">
        <v>0</v>
      </c>
      <c r="F84">
        <f t="shared" si="1"/>
        <v>270.89999999999998</v>
      </c>
      <c r="G84" t="e">
        <f>IF(AND(D84=1,E84&lt;&gt;d_선택!$B$9,A84&lt;&gt;d_선택!$B$2),C84,NA())</f>
        <v>#N/A</v>
      </c>
      <c r="H84" t="e">
        <f>IF(AND(D84=1,E84=d_선택!$B$9,A84&lt;&gt;d_선택!$B$2),C84,NA())</f>
        <v>#N/A</v>
      </c>
      <c r="I84" t="e">
        <f>IF(A84=d_선택!$B$2,C84,NA())</f>
        <v>#N/A</v>
      </c>
    </row>
    <row r="85" spans="1:9">
      <c r="A85" t="s">
        <v>666</v>
      </c>
      <c r="B85">
        <v>384.2</v>
      </c>
      <c r="C85">
        <v>221.8</v>
      </c>
      <c r="D85">
        <v>0</v>
      </c>
      <c r="F85">
        <f t="shared" si="1"/>
        <v>221.8</v>
      </c>
      <c r="G85" t="e">
        <f>IF(AND(D85=1,E85&lt;&gt;d_선택!$B$9,A85&lt;&gt;d_선택!$B$2),C85,NA())</f>
        <v>#N/A</v>
      </c>
      <c r="H85" t="e">
        <f>IF(AND(D85=1,E85=d_선택!$B$9,A85&lt;&gt;d_선택!$B$2),C85,NA())</f>
        <v>#N/A</v>
      </c>
      <c r="I85" t="e">
        <f>IF(A85=d_선택!$B$2,C85,NA())</f>
        <v>#N/A</v>
      </c>
    </row>
    <row r="86" spans="1:9">
      <c r="A86" t="s">
        <v>368</v>
      </c>
      <c r="B86">
        <v>299.2</v>
      </c>
      <c r="C86">
        <v>207.8</v>
      </c>
      <c r="D86">
        <v>1</v>
      </c>
      <c r="E86" t="s">
        <v>489</v>
      </c>
      <c r="F86" t="e">
        <f t="shared" si="1"/>
        <v>#N/A</v>
      </c>
      <c r="G86">
        <f>IF(AND(D86=1,E86&lt;&gt;d_선택!$B$9,A86&lt;&gt;d_선택!$B$2),C86,NA())</f>
        <v>207.8</v>
      </c>
      <c r="H86" t="e">
        <f>IF(AND(D86=1,E86=d_선택!$B$9,A86&lt;&gt;d_선택!$B$2),C86,NA())</f>
        <v>#N/A</v>
      </c>
      <c r="I86" t="e">
        <f>IF(A86=d_선택!$B$2,C86,NA())</f>
        <v>#N/A</v>
      </c>
    </row>
    <row r="87" spans="1:9">
      <c r="A87" t="s">
        <v>667</v>
      </c>
      <c r="B87">
        <v>382</v>
      </c>
      <c r="C87">
        <v>213.9</v>
      </c>
      <c r="D87">
        <v>0</v>
      </c>
      <c r="F87">
        <f t="shared" si="1"/>
        <v>213.9</v>
      </c>
      <c r="G87" t="e">
        <f>IF(AND(D87=1,E87&lt;&gt;d_선택!$B$9,A87&lt;&gt;d_선택!$B$2),C87,NA())</f>
        <v>#N/A</v>
      </c>
      <c r="H87" t="e">
        <f>IF(AND(D87=1,E87=d_선택!$B$9,A87&lt;&gt;d_선택!$B$2),C87,NA())</f>
        <v>#N/A</v>
      </c>
      <c r="I87" t="e">
        <f>IF(A87=d_선택!$B$2,C87,NA())</f>
        <v>#N/A</v>
      </c>
    </row>
    <row r="88" spans="1:9">
      <c r="A88" t="s">
        <v>385</v>
      </c>
      <c r="B88">
        <v>288.89999999999998</v>
      </c>
      <c r="C88">
        <v>246.8</v>
      </c>
      <c r="D88">
        <v>1</v>
      </c>
      <c r="E88" t="s">
        <v>463</v>
      </c>
      <c r="F88" t="e">
        <f t="shared" si="1"/>
        <v>#N/A</v>
      </c>
      <c r="G88">
        <f>IF(AND(D88=1,E88&lt;&gt;d_선택!$B$9,A88&lt;&gt;d_선택!$B$2),C88,NA())</f>
        <v>246.8</v>
      </c>
      <c r="H88" t="e">
        <f>IF(AND(D88=1,E88=d_선택!$B$9,A88&lt;&gt;d_선택!$B$2),C88,NA())</f>
        <v>#N/A</v>
      </c>
      <c r="I88" t="e">
        <f>IF(A88=d_선택!$B$2,C88,NA())</f>
        <v>#N/A</v>
      </c>
    </row>
    <row r="89" spans="1:9">
      <c r="A89" t="s">
        <v>322</v>
      </c>
      <c r="B89">
        <v>397.6</v>
      </c>
      <c r="C89">
        <v>452.4</v>
      </c>
      <c r="D89">
        <v>1</v>
      </c>
      <c r="E89" t="s">
        <v>178</v>
      </c>
      <c r="F89" t="e">
        <f t="shared" si="1"/>
        <v>#N/A</v>
      </c>
      <c r="G89">
        <f>IF(AND(D89=1,E89&lt;&gt;d_선택!$B$9,A89&lt;&gt;d_선택!$B$2),C89,NA())</f>
        <v>452.4</v>
      </c>
      <c r="H89" t="e">
        <f>IF(AND(D89=1,E89=d_선택!$B$9,A89&lt;&gt;d_선택!$B$2),C89,NA())</f>
        <v>#N/A</v>
      </c>
      <c r="I89" t="e">
        <f>IF(A89=d_선택!$B$2,C89,NA())</f>
        <v>#N/A</v>
      </c>
    </row>
    <row r="90" spans="1:9">
      <c r="A90" t="s">
        <v>337</v>
      </c>
      <c r="B90">
        <v>301.10000000000002</v>
      </c>
      <c r="C90">
        <v>363.2</v>
      </c>
      <c r="D90">
        <v>1</v>
      </c>
      <c r="E90" t="s">
        <v>489</v>
      </c>
      <c r="F90" t="e">
        <f t="shared" si="1"/>
        <v>#N/A</v>
      </c>
      <c r="G90">
        <f>IF(AND(D90=1,E90&lt;&gt;d_선택!$B$9,A90&lt;&gt;d_선택!$B$2),C90,NA())</f>
        <v>363.2</v>
      </c>
      <c r="H90" t="e">
        <f>IF(AND(D90=1,E90=d_선택!$B$9,A90&lt;&gt;d_선택!$B$2),C90,NA())</f>
        <v>#N/A</v>
      </c>
      <c r="I90" t="e">
        <f>IF(A90=d_선택!$B$2,C90,NA())</f>
        <v>#N/A</v>
      </c>
    </row>
    <row r="91" spans="1:9">
      <c r="A91" t="s">
        <v>668</v>
      </c>
      <c r="B91">
        <v>180.5</v>
      </c>
      <c r="C91">
        <v>482.2</v>
      </c>
      <c r="D91">
        <v>0</v>
      </c>
      <c r="F91">
        <f t="shared" si="1"/>
        <v>482.2</v>
      </c>
      <c r="G91" t="e">
        <f>IF(AND(D91=1,E91&lt;&gt;d_선택!$B$9,A91&lt;&gt;d_선택!$B$2),C91,NA())</f>
        <v>#N/A</v>
      </c>
      <c r="H91" t="e">
        <f>IF(AND(D91=1,E91=d_선택!$B$9,A91&lt;&gt;d_선택!$B$2),C91,NA())</f>
        <v>#N/A</v>
      </c>
      <c r="I91" t="e">
        <f>IF(A91=d_선택!$B$2,C91,NA())</f>
        <v>#N/A</v>
      </c>
    </row>
    <row r="92" spans="1:9">
      <c r="A92" t="s">
        <v>348</v>
      </c>
      <c r="B92">
        <v>177.6</v>
      </c>
      <c r="C92">
        <v>23.9</v>
      </c>
      <c r="D92">
        <v>1</v>
      </c>
      <c r="E92" t="s">
        <v>178</v>
      </c>
      <c r="F92" t="e">
        <f t="shared" si="1"/>
        <v>#N/A</v>
      </c>
      <c r="G92">
        <f>IF(AND(D92=1,E92&lt;&gt;d_선택!$B$9,A92&lt;&gt;d_선택!$B$2),C92,NA())</f>
        <v>23.9</v>
      </c>
      <c r="H92" t="e">
        <f>IF(AND(D92=1,E92=d_선택!$B$9,A92&lt;&gt;d_선택!$B$2),C92,NA())</f>
        <v>#N/A</v>
      </c>
      <c r="I92" t="e">
        <f>IF(A92=d_선택!$B$2,C92,NA())</f>
        <v>#N/A</v>
      </c>
    </row>
    <row r="93" spans="1:9">
      <c r="A93" t="s">
        <v>669</v>
      </c>
      <c r="B93">
        <v>204.6</v>
      </c>
      <c r="C93">
        <v>484.3</v>
      </c>
      <c r="D93">
        <v>0</v>
      </c>
      <c r="F93">
        <f t="shared" si="1"/>
        <v>484.3</v>
      </c>
      <c r="G93" t="e">
        <f>IF(AND(D93=1,E93&lt;&gt;d_선택!$B$9,A93&lt;&gt;d_선택!$B$2),C93,NA())</f>
        <v>#N/A</v>
      </c>
      <c r="H93" t="e">
        <f>IF(AND(D93=1,E93=d_선택!$B$9,A93&lt;&gt;d_선택!$B$2),C93,NA())</f>
        <v>#N/A</v>
      </c>
      <c r="I93" t="e">
        <f>IF(A93=d_선택!$B$2,C93,NA())</f>
        <v>#N/A</v>
      </c>
    </row>
    <row r="94" spans="1:9">
      <c r="A94" t="s">
        <v>287</v>
      </c>
      <c r="B94">
        <v>159.1</v>
      </c>
      <c r="C94">
        <v>406.9</v>
      </c>
      <c r="D94">
        <v>1</v>
      </c>
      <c r="E94" t="s">
        <v>178</v>
      </c>
      <c r="F94" t="e">
        <f t="shared" si="1"/>
        <v>#N/A</v>
      </c>
      <c r="G94">
        <f>IF(AND(D94=1,E94&lt;&gt;d_선택!$B$9,A94&lt;&gt;d_선택!$B$2),C94,NA())</f>
        <v>406.9</v>
      </c>
      <c r="H94" t="e">
        <f>IF(AND(D94=1,E94=d_선택!$B$9,A94&lt;&gt;d_선택!$B$2),C94,NA())</f>
        <v>#N/A</v>
      </c>
      <c r="I94" t="e">
        <f>IF(A94=d_선택!$B$2,C94,NA())</f>
        <v>#N/A</v>
      </c>
    </row>
    <row r="95" spans="1:9">
      <c r="A95" t="s">
        <v>295</v>
      </c>
      <c r="B95">
        <v>179.8</v>
      </c>
      <c r="C95">
        <v>324.89999999999998</v>
      </c>
      <c r="D95">
        <v>1</v>
      </c>
      <c r="E95" t="s">
        <v>487</v>
      </c>
      <c r="F95" t="e">
        <f t="shared" si="1"/>
        <v>#N/A</v>
      </c>
      <c r="G95">
        <f>IF(AND(D95=1,E95&lt;&gt;d_선택!$B$9,A95&lt;&gt;d_선택!$B$2),C95,NA())</f>
        <v>324.89999999999998</v>
      </c>
      <c r="H95" t="e">
        <f>IF(AND(D95=1,E95=d_선택!$B$9,A95&lt;&gt;d_선택!$B$2),C95,NA())</f>
        <v>#N/A</v>
      </c>
      <c r="I95" t="e">
        <f>IF(A95=d_선택!$B$2,C95,NA())</f>
        <v>#N/A</v>
      </c>
    </row>
    <row r="96" spans="1:9">
      <c r="A96" t="s">
        <v>670</v>
      </c>
      <c r="B96">
        <v>212.8</v>
      </c>
      <c r="C96">
        <v>472.4</v>
      </c>
      <c r="D96">
        <v>0</v>
      </c>
      <c r="F96">
        <f t="shared" si="1"/>
        <v>472.4</v>
      </c>
      <c r="G96" t="e">
        <f>IF(AND(D96=1,E96&lt;&gt;d_선택!$B$9,A96&lt;&gt;d_선택!$B$2),C96,NA())</f>
        <v>#N/A</v>
      </c>
      <c r="H96" t="e">
        <f>IF(AND(D96=1,E96=d_선택!$B$9,A96&lt;&gt;d_선택!$B$2),C96,NA())</f>
        <v>#N/A</v>
      </c>
      <c r="I96" t="e">
        <f>IF(A96=d_선택!$B$2,C96,NA())</f>
        <v>#N/A</v>
      </c>
    </row>
    <row r="97" spans="1:9">
      <c r="A97" t="s">
        <v>671</v>
      </c>
      <c r="B97">
        <v>219</v>
      </c>
      <c r="C97">
        <v>461.9</v>
      </c>
      <c r="D97">
        <v>0</v>
      </c>
      <c r="F97">
        <f t="shared" si="1"/>
        <v>461.9</v>
      </c>
      <c r="G97" t="e">
        <f>IF(AND(D97=1,E97&lt;&gt;d_선택!$B$9,A97&lt;&gt;d_선택!$B$2),C97,NA())</f>
        <v>#N/A</v>
      </c>
      <c r="H97" t="e">
        <f>IF(AND(D97=1,E97=d_선택!$B$9,A97&lt;&gt;d_선택!$B$2),C97,NA())</f>
        <v>#N/A</v>
      </c>
      <c r="I97" t="e">
        <f>IF(A97=d_선택!$B$2,C97,NA())</f>
        <v>#N/A</v>
      </c>
    </row>
    <row r="98" spans="1:9">
      <c r="A98" t="s">
        <v>672</v>
      </c>
      <c r="B98">
        <v>219.8</v>
      </c>
      <c r="C98">
        <v>469.4</v>
      </c>
      <c r="D98">
        <v>0</v>
      </c>
      <c r="F98">
        <f t="shared" si="1"/>
        <v>469.4</v>
      </c>
      <c r="G98" t="e">
        <f>IF(AND(D98=1,E98&lt;&gt;d_선택!$B$9,A98&lt;&gt;d_선택!$B$2),C98,NA())</f>
        <v>#N/A</v>
      </c>
      <c r="H98" t="e">
        <f>IF(AND(D98=1,E98=d_선택!$B$9,A98&lt;&gt;d_선택!$B$2),C98,NA())</f>
        <v>#N/A</v>
      </c>
      <c r="I98" t="e">
        <f>IF(A98=d_선택!$B$2,C98,NA())</f>
        <v>#N/A</v>
      </c>
    </row>
    <row r="99" spans="1:9">
      <c r="A99" t="s">
        <v>673</v>
      </c>
      <c r="B99">
        <v>224.3</v>
      </c>
      <c r="C99">
        <v>468.7</v>
      </c>
      <c r="D99">
        <v>0</v>
      </c>
      <c r="F99">
        <f t="shared" si="1"/>
        <v>468.7</v>
      </c>
      <c r="G99" t="e">
        <f>IF(AND(D99=1,E99&lt;&gt;d_선택!$B$9,A99&lt;&gt;d_선택!$B$2),C99,NA())</f>
        <v>#N/A</v>
      </c>
      <c r="H99" t="e">
        <f>IF(AND(D99=1,E99=d_선택!$B$9,A99&lt;&gt;d_선택!$B$2),C99,NA())</f>
        <v>#N/A</v>
      </c>
      <c r="I99" t="e">
        <f>IF(A99=d_선택!$B$2,C99,NA())</f>
        <v>#N/A</v>
      </c>
    </row>
    <row r="100" spans="1:9">
      <c r="A100" t="s">
        <v>674</v>
      </c>
      <c r="B100">
        <v>213.1</v>
      </c>
      <c r="C100">
        <v>482.2</v>
      </c>
      <c r="D100">
        <v>0</v>
      </c>
      <c r="F100">
        <f t="shared" si="1"/>
        <v>482.2</v>
      </c>
      <c r="G100" t="e">
        <f>IF(AND(D100=1,E100&lt;&gt;d_선택!$B$9,A100&lt;&gt;d_선택!$B$2),C100,NA())</f>
        <v>#N/A</v>
      </c>
      <c r="H100" t="e">
        <f>IF(AND(D100=1,E100=d_선택!$B$9,A100&lt;&gt;d_선택!$B$2),C100,NA())</f>
        <v>#N/A</v>
      </c>
      <c r="I100" t="e">
        <f>IF(A100=d_선택!$B$2,C100,NA())</f>
        <v>#N/A</v>
      </c>
    </row>
    <row r="101" spans="1:9">
      <c r="A101" t="s">
        <v>675</v>
      </c>
      <c r="B101">
        <v>211.6</v>
      </c>
      <c r="C101">
        <v>487.5</v>
      </c>
      <c r="D101">
        <v>0</v>
      </c>
      <c r="F101">
        <f t="shared" si="1"/>
        <v>487.5</v>
      </c>
      <c r="G101" t="e">
        <f>IF(AND(D101=1,E101&lt;&gt;d_선택!$B$9,A101&lt;&gt;d_선택!$B$2),C101,NA())</f>
        <v>#N/A</v>
      </c>
      <c r="H101" t="e">
        <f>IF(AND(D101=1,E101=d_선택!$B$9,A101&lt;&gt;d_선택!$B$2),C101,NA())</f>
        <v>#N/A</v>
      </c>
      <c r="I101" t="e">
        <f>IF(A101=d_선택!$B$2,C101,NA())</f>
        <v>#N/A</v>
      </c>
    </row>
    <row r="102" spans="1:9">
      <c r="A102" t="s">
        <v>253</v>
      </c>
      <c r="B102">
        <v>317.10000000000002</v>
      </c>
      <c r="C102">
        <v>302.5</v>
      </c>
      <c r="D102">
        <v>1</v>
      </c>
      <c r="E102" t="s">
        <v>471</v>
      </c>
      <c r="F102" t="e">
        <f t="shared" si="1"/>
        <v>#N/A</v>
      </c>
      <c r="G102">
        <f>IF(AND(D102=1,E102&lt;&gt;d_선택!$B$9,A102&lt;&gt;d_선택!$B$2),C102,NA())</f>
        <v>302.5</v>
      </c>
      <c r="H102" t="e">
        <f>IF(AND(D102=1,E102=d_선택!$B$9,A102&lt;&gt;d_선택!$B$2),C102,NA())</f>
        <v>#N/A</v>
      </c>
      <c r="I102" t="e">
        <f>IF(A102=d_선택!$B$2,C102,NA())</f>
        <v>#N/A</v>
      </c>
    </row>
    <row r="103" spans="1:9">
      <c r="A103" t="s">
        <v>676</v>
      </c>
      <c r="B103">
        <v>233</v>
      </c>
      <c r="C103">
        <v>375.9</v>
      </c>
      <c r="D103">
        <v>0</v>
      </c>
      <c r="F103">
        <f t="shared" si="1"/>
        <v>375.9</v>
      </c>
      <c r="G103" t="e">
        <f>IF(AND(D103=1,E103&lt;&gt;d_선택!$B$9,A103&lt;&gt;d_선택!$B$2),C103,NA())</f>
        <v>#N/A</v>
      </c>
      <c r="H103" t="e">
        <f>IF(AND(D103=1,E103=d_선택!$B$9,A103&lt;&gt;d_선택!$B$2),C103,NA())</f>
        <v>#N/A</v>
      </c>
      <c r="I103" t="e">
        <f>IF(A103=d_선택!$B$2,C103,NA())</f>
        <v>#N/A</v>
      </c>
    </row>
    <row r="104" spans="1:9">
      <c r="A104" t="s">
        <v>311</v>
      </c>
      <c r="B104">
        <v>345.9</v>
      </c>
      <c r="C104">
        <v>550</v>
      </c>
      <c r="D104">
        <v>1</v>
      </c>
      <c r="E104" t="s">
        <v>178</v>
      </c>
      <c r="F104" t="e">
        <f t="shared" si="1"/>
        <v>#N/A</v>
      </c>
      <c r="G104">
        <f>IF(AND(D104=1,E104&lt;&gt;d_선택!$B$9,A104&lt;&gt;d_선택!$B$2),C104,NA())</f>
        <v>550</v>
      </c>
      <c r="H104" t="e">
        <f>IF(AND(D104=1,E104=d_선택!$B$9,A104&lt;&gt;d_선택!$B$2),C104,NA())</f>
        <v>#N/A</v>
      </c>
      <c r="I104" t="e">
        <f>IF(A104=d_선택!$B$2,C104,NA())</f>
        <v>#N/A</v>
      </c>
    </row>
    <row r="105" spans="1:9">
      <c r="A105" t="s">
        <v>677</v>
      </c>
      <c r="B105">
        <v>221</v>
      </c>
      <c r="C105">
        <v>475.5</v>
      </c>
      <c r="D105">
        <v>0</v>
      </c>
      <c r="F105">
        <f t="shared" si="1"/>
        <v>475.5</v>
      </c>
      <c r="G105" t="e">
        <f>IF(AND(D105=1,E105&lt;&gt;d_선택!$B$9,A105&lt;&gt;d_선택!$B$2),C105,NA())</f>
        <v>#N/A</v>
      </c>
      <c r="H105" t="e">
        <f>IF(AND(D105=1,E105=d_선택!$B$9,A105&lt;&gt;d_선택!$B$2),C105,NA())</f>
        <v>#N/A</v>
      </c>
      <c r="I105" t="e">
        <f>IF(A105=d_선택!$B$2,C105,NA())</f>
        <v>#N/A</v>
      </c>
    </row>
    <row r="106" spans="1:9">
      <c r="A106" t="s">
        <v>678</v>
      </c>
      <c r="B106">
        <v>355.9</v>
      </c>
      <c r="C106">
        <v>295.89999999999998</v>
      </c>
      <c r="D106">
        <v>0</v>
      </c>
      <c r="F106">
        <f t="shared" si="1"/>
        <v>295.89999999999998</v>
      </c>
      <c r="G106" t="e">
        <f>IF(AND(D106=1,E106&lt;&gt;d_선택!$B$9,A106&lt;&gt;d_선택!$B$2),C106,NA())</f>
        <v>#N/A</v>
      </c>
      <c r="H106" t="e">
        <f>IF(AND(D106=1,E106=d_선택!$B$9,A106&lt;&gt;d_선택!$B$2),C106,NA())</f>
        <v>#N/A</v>
      </c>
      <c r="I106" t="e">
        <f>IF(A106=d_선택!$B$2,C106,NA())</f>
        <v>#N/A</v>
      </c>
    </row>
    <row r="107" spans="1:9">
      <c r="A107" t="s">
        <v>679</v>
      </c>
      <c r="B107">
        <v>395</v>
      </c>
      <c r="C107">
        <v>222.8</v>
      </c>
      <c r="D107">
        <v>0</v>
      </c>
      <c r="F107">
        <f t="shared" si="1"/>
        <v>222.8</v>
      </c>
      <c r="G107" t="e">
        <f>IF(AND(D107=1,E107&lt;&gt;d_선택!$B$9,A107&lt;&gt;d_선택!$B$2),C107,NA())</f>
        <v>#N/A</v>
      </c>
      <c r="H107" t="e">
        <f>IF(AND(D107=1,E107=d_선택!$B$9,A107&lt;&gt;d_선택!$B$2),C107,NA())</f>
        <v>#N/A</v>
      </c>
      <c r="I107" t="e">
        <f>IF(A107=d_선택!$B$2,C107,NA())</f>
        <v>#N/A</v>
      </c>
    </row>
    <row r="108" spans="1:9">
      <c r="A108" t="s">
        <v>680</v>
      </c>
      <c r="B108">
        <v>207.9</v>
      </c>
      <c r="C108">
        <v>449.4</v>
      </c>
      <c r="D108">
        <v>0</v>
      </c>
      <c r="F108">
        <f t="shared" si="1"/>
        <v>449.4</v>
      </c>
      <c r="G108" t="e">
        <f>IF(AND(D108=1,E108&lt;&gt;d_선택!$B$9,A108&lt;&gt;d_선택!$B$2),C108,NA())</f>
        <v>#N/A</v>
      </c>
      <c r="H108" t="e">
        <f>IF(AND(D108=1,E108=d_선택!$B$9,A108&lt;&gt;d_선택!$B$2),C108,NA())</f>
        <v>#N/A</v>
      </c>
      <c r="I108" t="e">
        <f>IF(A108=d_선택!$B$2,C108,NA())</f>
        <v>#N/A</v>
      </c>
    </row>
    <row r="109" spans="1:9">
      <c r="A109" t="s">
        <v>681</v>
      </c>
      <c r="B109">
        <v>214.9</v>
      </c>
      <c r="C109">
        <v>450.8</v>
      </c>
      <c r="D109">
        <v>0</v>
      </c>
      <c r="F109">
        <f t="shared" si="1"/>
        <v>450.8</v>
      </c>
      <c r="G109" t="e">
        <f>IF(AND(D109=1,E109&lt;&gt;d_선택!$B$9,A109&lt;&gt;d_선택!$B$2),C109,NA())</f>
        <v>#N/A</v>
      </c>
      <c r="H109" t="e">
        <f>IF(AND(D109=1,E109=d_선택!$B$9,A109&lt;&gt;d_선택!$B$2),C109,NA())</f>
        <v>#N/A</v>
      </c>
      <c r="I109" t="e">
        <f>IF(A109=d_선택!$B$2,C109,NA())</f>
        <v>#N/A</v>
      </c>
    </row>
    <row r="110" spans="1:9">
      <c r="A110" t="s">
        <v>682</v>
      </c>
      <c r="B110">
        <v>210.6</v>
      </c>
      <c r="C110">
        <v>455.4</v>
      </c>
      <c r="D110">
        <v>0</v>
      </c>
      <c r="F110">
        <f t="shared" si="1"/>
        <v>455.4</v>
      </c>
      <c r="G110" t="e">
        <f>IF(AND(D110=1,E110&lt;&gt;d_선택!$B$9,A110&lt;&gt;d_선택!$B$2),C110,NA())</f>
        <v>#N/A</v>
      </c>
      <c r="H110" t="e">
        <f>IF(AND(D110=1,E110=d_선택!$B$9,A110&lt;&gt;d_선택!$B$2),C110,NA())</f>
        <v>#N/A</v>
      </c>
      <c r="I110" t="e">
        <f>IF(A110=d_선택!$B$2,C110,NA())</f>
        <v>#N/A</v>
      </c>
    </row>
    <row r="111" spans="1:9">
      <c r="A111" t="s">
        <v>683</v>
      </c>
      <c r="B111">
        <v>211.9</v>
      </c>
      <c r="C111">
        <v>452.3</v>
      </c>
      <c r="D111">
        <v>0</v>
      </c>
      <c r="F111">
        <f t="shared" si="1"/>
        <v>452.3</v>
      </c>
      <c r="G111" t="e">
        <f>IF(AND(D111=1,E111&lt;&gt;d_선택!$B$9,A111&lt;&gt;d_선택!$B$2),C111,NA())</f>
        <v>#N/A</v>
      </c>
      <c r="H111" t="e">
        <f>IF(AND(D111=1,E111=d_선택!$B$9,A111&lt;&gt;d_선택!$B$2),C111,NA())</f>
        <v>#N/A</v>
      </c>
      <c r="I111" t="e">
        <f>IF(A111=d_선택!$B$2,C111,NA())</f>
        <v>#N/A</v>
      </c>
    </row>
    <row r="112" spans="1:9">
      <c r="A112" t="s">
        <v>286</v>
      </c>
      <c r="B112">
        <v>216.3</v>
      </c>
      <c r="C112">
        <v>252.5</v>
      </c>
      <c r="D112">
        <v>1</v>
      </c>
      <c r="E112" t="s">
        <v>463</v>
      </c>
      <c r="F112" t="e">
        <f t="shared" si="1"/>
        <v>#N/A</v>
      </c>
      <c r="G112">
        <f>IF(AND(D112=1,E112&lt;&gt;d_선택!$B$9,A112&lt;&gt;d_선택!$B$2),C112,NA())</f>
        <v>252.5</v>
      </c>
      <c r="H112" t="e">
        <f>IF(AND(D112=1,E112=d_선택!$B$9,A112&lt;&gt;d_선택!$B$2),C112,NA())</f>
        <v>#N/A</v>
      </c>
      <c r="I112" t="e">
        <f>IF(A112=d_선택!$B$2,C112,NA())</f>
        <v>#N/A</v>
      </c>
    </row>
    <row r="113" spans="1:9">
      <c r="A113" t="s">
        <v>277</v>
      </c>
      <c r="B113">
        <v>244.8</v>
      </c>
      <c r="C113">
        <v>203.2</v>
      </c>
      <c r="D113">
        <v>1</v>
      </c>
      <c r="E113" t="s">
        <v>471</v>
      </c>
      <c r="F113" t="e">
        <f t="shared" si="1"/>
        <v>#N/A</v>
      </c>
      <c r="G113">
        <f>IF(AND(D113=1,E113&lt;&gt;d_선택!$B$9,A113&lt;&gt;d_선택!$B$2),C113,NA())</f>
        <v>203.2</v>
      </c>
      <c r="H113" t="e">
        <f>IF(AND(D113=1,E113=d_선택!$B$9,A113&lt;&gt;d_선택!$B$2),C113,NA())</f>
        <v>#N/A</v>
      </c>
      <c r="I113" t="e">
        <f>IF(A113=d_선택!$B$2,C113,NA())</f>
        <v>#N/A</v>
      </c>
    </row>
    <row r="114" spans="1:9">
      <c r="A114" t="s">
        <v>304</v>
      </c>
      <c r="B114">
        <v>190</v>
      </c>
      <c r="C114">
        <v>463.4</v>
      </c>
      <c r="D114">
        <v>1</v>
      </c>
      <c r="E114" t="s">
        <v>489</v>
      </c>
      <c r="F114" t="e">
        <f t="shared" si="1"/>
        <v>#N/A</v>
      </c>
      <c r="G114">
        <f>IF(AND(D114=1,E114&lt;&gt;d_선택!$B$9,A114&lt;&gt;d_선택!$B$2),C114,NA())</f>
        <v>463.4</v>
      </c>
      <c r="H114" t="e">
        <f>IF(AND(D114=1,E114=d_선택!$B$9,A114&lt;&gt;d_선택!$B$2),C114,NA())</f>
        <v>#N/A</v>
      </c>
      <c r="I114" t="e">
        <f>IF(A114=d_선택!$B$2,C114,NA())</f>
        <v>#N/A</v>
      </c>
    </row>
    <row r="115" spans="1:9">
      <c r="A115" t="s">
        <v>331</v>
      </c>
      <c r="B115">
        <v>140.69999999999999</v>
      </c>
      <c r="C115">
        <v>211.8</v>
      </c>
      <c r="D115">
        <v>1</v>
      </c>
      <c r="E115" t="s">
        <v>178</v>
      </c>
      <c r="F115" t="e">
        <f t="shared" si="1"/>
        <v>#N/A</v>
      </c>
      <c r="G115">
        <f>IF(AND(D115=1,E115&lt;&gt;d_선택!$B$9,A115&lt;&gt;d_선택!$B$2),C115,NA())</f>
        <v>211.8</v>
      </c>
      <c r="H115" t="e">
        <f>IF(AND(D115=1,E115=d_선택!$B$9,A115&lt;&gt;d_선택!$B$2),C115,NA())</f>
        <v>#N/A</v>
      </c>
      <c r="I115" t="e">
        <f>IF(A115=d_선택!$B$2,C115,NA())</f>
        <v>#N/A</v>
      </c>
    </row>
    <row r="116" spans="1:9">
      <c r="A116" t="s">
        <v>272</v>
      </c>
      <c r="B116">
        <v>209.4</v>
      </c>
      <c r="C116">
        <v>400.2</v>
      </c>
      <c r="D116">
        <v>1</v>
      </c>
      <c r="E116" t="s">
        <v>471</v>
      </c>
      <c r="F116" t="e">
        <f t="shared" si="1"/>
        <v>#N/A</v>
      </c>
      <c r="G116">
        <f>IF(AND(D116=1,E116&lt;&gt;d_선택!$B$9,A116&lt;&gt;d_선택!$B$2),C116,NA())</f>
        <v>400.2</v>
      </c>
      <c r="H116" t="e">
        <f>IF(AND(D116=1,E116=d_선택!$B$9,A116&lt;&gt;d_선택!$B$2),C116,NA())</f>
        <v>#N/A</v>
      </c>
      <c r="I116" t="e">
        <f>IF(A116=d_선택!$B$2,C116,NA())</f>
        <v>#N/A</v>
      </c>
    </row>
    <row r="117" spans="1:9">
      <c r="A117" t="s">
        <v>157</v>
      </c>
      <c r="B117">
        <v>363.2</v>
      </c>
      <c r="C117">
        <v>376.1</v>
      </c>
      <c r="D117">
        <v>1</v>
      </c>
      <c r="E117" t="s">
        <v>483</v>
      </c>
      <c r="F117" t="e">
        <f t="shared" si="1"/>
        <v>#N/A</v>
      </c>
      <c r="G117" t="e">
        <f>IF(AND(D117=1,E117&lt;&gt;d_선택!$B$9,A117&lt;&gt;d_선택!$B$2),C117,NA())</f>
        <v>#N/A</v>
      </c>
      <c r="H117" t="e">
        <f>IF(AND(D117=1,E117=d_선택!$B$9,A117&lt;&gt;d_선택!$B$2),C117,NA())</f>
        <v>#N/A</v>
      </c>
      <c r="I117">
        <f>IF(A117=d_선택!$B$2,C117,NA())</f>
        <v>376.1</v>
      </c>
    </row>
    <row r="118" spans="1:9">
      <c r="A118" t="s">
        <v>684</v>
      </c>
      <c r="B118">
        <v>174.3</v>
      </c>
      <c r="C118">
        <v>448</v>
      </c>
      <c r="D118">
        <v>0</v>
      </c>
      <c r="F118">
        <f t="shared" si="1"/>
        <v>448</v>
      </c>
      <c r="G118" t="e">
        <f>IF(AND(D118=1,E118&lt;&gt;d_선택!$B$9,A118&lt;&gt;d_선택!$B$2),C118,NA())</f>
        <v>#N/A</v>
      </c>
      <c r="H118" t="e">
        <f>IF(AND(D118=1,E118=d_선택!$B$9,A118&lt;&gt;d_선택!$B$2),C118,NA())</f>
        <v>#N/A</v>
      </c>
      <c r="I118" t="e">
        <f>IF(A118=d_선택!$B$2,C118,NA())</f>
        <v>#N/A</v>
      </c>
    </row>
    <row r="119" spans="1:9">
      <c r="A119" t="s">
        <v>685</v>
      </c>
      <c r="B119">
        <v>198.6</v>
      </c>
      <c r="C119">
        <v>455.4</v>
      </c>
      <c r="D119">
        <v>0</v>
      </c>
      <c r="F119">
        <f t="shared" si="1"/>
        <v>455.4</v>
      </c>
      <c r="G119" t="e">
        <f>IF(AND(D119=1,E119&lt;&gt;d_선택!$B$9,A119&lt;&gt;d_선택!$B$2),C119,NA())</f>
        <v>#N/A</v>
      </c>
      <c r="H119" t="e">
        <f>IF(AND(D119=1,E119=d_선택!$B$9,A119&lt;&gt;d_선택!$B$2),C119,NA())</f>
        <v>#N/A</v>
      </c>
      <c r="I119" t="e">
        <f>IF(A119=d_선택!$B$2,C119,NA())</f>
        <v>#N/A</v>
      </c>
    </row>
    <row r="120" spans="1:9">
      <c r="A120" t="s">
        <v>366</v>
      </c>
      <c r="B120">
        <v>235.7</v>
      </c>
      <c r="C120">
        <v>425.7</v>
      </c>
      <c r="D120">
        <v>1</v>
      </c>
      <c r="E120" t="s">
        <v>489</v>
      </c>
      <c r="F120" t="e">
        <f t="shared" si="1"/>
        <v>#N/A</v>
      </c>
      <c r="G120">
        <f>IF(AND(D120=1,E120&lt;&gt;d_선택!$B$9,A120&lt;&gt;d_선택!$B$2),C120,NA())</f>
        <v>425.7</v>
      </c>
      <c r="H120" t="e">
        <f>IF(AND(D120=1,E120=d_선택!$B$9,A120&lt;&gt;d_선택!$B$2),C120,NA())</f>
        <v>#N/A</v>
      </c>
      <c r="I120" t="e">
        <f>IF(A120=d_선택!$B$2,C120,NA())</f>
        <v>#N/A</v>
      </c>
    </row>
    <row r="121" spans="1:9">
      <c r="A121" t="s">
        <v>686</v>
      </c>
      <c r="B121">
        <v>206.5</v>
      </c>
      <c r="C121">
        <v>464.1</v>
      </c>
      <c r="D121">
        <v>0</v>
      </c>
      <c r="F121">
        <f t="shared" si="1"/>
        <v>464.1</v>
      </c>
      <c r="G121" t="e">
        <f>IF(AND(D121=1,E121&lt;&gt;d_선택!$B$9,A121&lt;&gt;d_선택!$B$2),C121,NA())</f>
        <v>#N/A</v>
      </c>
      <c r="H121" t="e">
        <f>IF(AND(D121=1,E121=d_선택!$B$9,A121&lt;&gt;d_선택!$B$2),C121,NA())</f>
        <v>#N/A</v>
      </c>
      <c r="I121" t="e">
        <f>IF(A121=d_선택!$B$2,C121,NA())</f>
        <v>#N/A</v>
      </c>
    </row>
    <row r="122" spans="1:9">
      <c r="A122" t="s">
        <v>687</v>
      </c>
      <c r="B122">
        <v>202.2</v>
      </c>
      <c r="C122">
        <v>466.1</v>
      </c>
      <c r="D122">
        <v>0</v>
      </c>
      <c r="F122">
        <f t="shared" si="1"/>
        <v>466.1</v>
      </c>
      <c r="G122" t="e">
        <f>IF(AND(D122=1,E122&lt;&gt;d_선택!$B$9,A122&lt;&gt;d_선택!$B$2),C122,NA())</f>
        <v>#N/A</v>
      </c>
      <c r="H122" t="e">
        <f>IF(AND(D122=1,E122=d_선택!$B$9,A122&lt;&gt;d_선택!$B$2),C122,NA())</f>
        <v>#N/A</v>
      </c>
      <c r="I122" t="e">
        <f>IF(A122=d_선택!$B$2,C122,NA())</f>
        <v>#N/A</v>
      </c>
    </row>
    <row r="123" spans="1:9">
      <c r="A123" t="s">
        <v>362</v>
      </c>
      <c r="B123">
        <v>299.10000000000002</v>
      </c>
      <c r="C123">
        <v>548.29999999999995</v>
      </c>
      <c r="D123">
        <v>1</v>
      </c>
      <c r="E123" t="s">
        <v>489</v>
      </c>
      <c r="F123" t="e">
        <f t="shared" si="1"/>
        <v>#N/A</v>
      </c>
      <c r="G123">
        <f>IF(AND(D123=1,E123&lt;&gt;d_선택!$B$9,A123&lt;&gt;d_선택!$B$2),C123,NA())</f>
        <v>548.29999999999995</v>
      </c>
      <c r="H123" t="e">
        <f>IF(AND(D123=1,E123=d_선택!$B$9,A123&lt;&gt;d_선택!$B$2),C123,NA())</f>
        <v>#N/A</v>
      </c>
      <c r="I123" t="e">
        <f>IF(A123=d_선택!$B$2,C123,NA())</f>
        <v>#N/A</v>
      </c>
    </row>
    <row r="124" spans="1:9">
      <c r="A124" t="s">
        <v>299</v>
      </c>
      <c r="B124">
        <v>389.7</v>
      </c>
      <c r="C124">
        <v>248.9</v>
      </c>
      <c r="D124">
        <v>1</v>
      </c>
      <c r="E124" t="s">
        <v>489</v>
      </c>
      <c r="F124" t="e">
        <f t="shared" si="1"/>
        <v>#N/A</v>
      </c>
      <c r="G124">
        <f>IF(AND(D124=1,E124&lt;&gt;d_선택!$B$9,A124&lt;&gt;d_선택!$B$2),C124,NA())</f>
        <v>248.9</v>
      </c>
      <c r="H124" t="e">
        <f>IF(AND(D124=1,E124=d_선택!$B$9,A124&lt;&gt;d_선택!$B$2),C124,NA())</f>
        <v>#N/A</v>
      </c>
      <c r="I124" t="e">
        <f>IF(A124=d_선택!$B$2,C124,NA())</f>
        <v>#N/A</v>
      </c>
    </row>
    <row r="125" spans="1:9">
      <c r="A125" t="s">
        <v>260</v>
      </c>
      <c r="B125">
        <v>354.9</v>
      </c>
      <c r="C125">
        <v>530</v>
      </c>
      <c r="D125">
        <v>1</v>
      </c>
      <c r="E125" t="s">
        <v>483</v>
      </c>
      <c r="F125" t="e">
        <f t="shared" si="1"/>
        <v>#N/A</v>
      </c>
      <c r="G125" t="e">
        <f>IF(AND(D125=1,E125&lt;&gt;d_선택!$B$9,A125&lt;&gt;d_선택!$B$2),C125,NA())</f>
        <v>#N/A</v>
      </c>
      <c r="H125">
        <f>IF(AND(D125=1,E125=d_선택!$B$9,A125&lt;&gt;d_선택!$B$2),C125,NA())</f>
        <v>530</v>
      </c>
      <c r="I125" t="e">
        <f>IF(A125=d_선택!$B$2,C125,NA())</f>
        <v>#N/A</v>
      </c>
    </row>
    <row r="126" spans="1:9">
      <c r="A126" t="s">
        <v>318</v>
      </c>
      <c r="B126">
        <v>209.3</v>
      </c>
      <c r="C126">
        <v>509.3</v>
      </c>
      <c r="D126">
        <v>1</v>
      </c>
      <c r="E126" t="s">
        <v>489</v>
      </c>
      <c r="F126" t="e">
        <f t="shared" si="1"/>
        <v>#N/A</v>
      </c>
      <c r="G126">
        <f>IF(AND(D126=1,E126&lt;&gt;d_선택!$B$9,A126&lt;&gt;d_선택!$B$2),C126,NA())</f>
        <v>509.3</v>
      </c>
      <c r="H126" t="e">
        <f>IF(AND(D126=1,E126=d_선택!$B$9,A126&lt;&gt;d_선택!$B$2),C126,NA())</f>
        <v>#N/A</v>
      </c>
      <c r="I126" t="e">
        <f>IF(A126=d_선택!$B$2,C126,NA())</f>
        <v>#N/A</v>
      </c>
    </row>
    <row r="127" spans="1:9">
      <c r="A127" t="s">
        <v>688</v>
      </c>
      <c r="B127">
        <v>197.8</v>
      </c>
      <c r="C127">
        <v>478.8</v>
      </c>
      <c r="D127">
        <v>0</v>
      </c>
      <c r="F127">
        <f t="shared" si="1"/>
        <v>478.8</v>
      </c>
      <c r="G127" t="e">
        <f>IF(AND(D127=1,E127&lt;&gt;d_선택!$B$9,A127&lt;&gt;d_선택!$B$2),C127,NA())</f>
        <v>#N/A</v>
      </c>
      <c r="H127" t="e">
        <f>IF(AND(D127=1,E127=d_선택!$B$9,A127&lt;&gt;d_선택!$B$2),C127,NA())</f>
        <v>#N/A</v>
      </c>
      <c r="I127" t="e">
        <f>IF(A127=d_선택!$B$2,C127,NA())</f>
        <v>#N/A</v>
      </c>
    </row>
    <row r="128" spans="1:9">
      <c r="A128" t="s">
        <v>370</v>
      </c>
      <c r="B128">
        <v>260.3</v>
      </c>
      <c r="C128">
        <v>477.5</v>
      </c>
      <c r="D128">
        <v>1</v>
      </c>
      <c r="E128" t="s">
        <v>178</v>
      </c>
      <c r="F128" t="e">
        <f t="shared" si="1"/>
        <v>#N/A</v>
      </c>
      <c r="G128">
        <f>IF(AND(D128=1,E128&lt;&gt;d_선택!$B$9,A128&lt;&gt;d_선택!$B$2),C128,NA())</f>
        <v>477.5</v>
      </c>
      <c r="H128" t="e">
        <f>IF(AND(D128=1,E128=d_선택!$B$9,A128&lt;&gt;d_선택!$B$2),C128,NA())</f>
        <v>#N/A</v>
      </c>
      <c r="I128" t="e">
        <f>IF(A128=d_선택!$B$2,C128,NA())</f>
        <v>#N/A</v>
      </c>
    </row>
    <row r="129" spans="1:9">
      <c r="A129" t="s">
        <v>327</v>
      </c>
      <c r="B129">
        <v>264.5</v>
      </c>
      <c r="C129">
        <v>177.6</v>
      </c>
      <c r="D129">
        <v>1</v>
      </c>
      <c r="E129" t="s">
        <v>178</v>
      </c>
      <c r="F129" t="e">
        <f t="shared" si="1"/>
        <v>#N/A</v>
      </c>
      <c r="G129">
        <f>IF(AND(D129=1,E129&lt;&gt;d_선택!$B$9,A129&lt;&gt;d_선택!$B$2),C129,NA())</f>
        <v>177.6</v>
      </c>
      <c r="H129" t="e">
        <f>IF(AND(D129=1,E129=d_선택!$B$9,A129&lt;&gt;d_선택!$B$2),C129,NA())</f>
        <v>#N/A</v>
      </c>
      <c r="I129" t="e">
        <f>IF(A129=d_선택!$B$2,C129,NA())</f>
        <v>#N/A</v>
      </c>
    </row>
    <row r="130" spans="1:9">
      <c r="A130" t="s">
        <v>343</v>
      </c>
      <c r="B130">
        <v>261.3</v>
      </c>
      <c r="C130">
        <v>455.8</v>
      </c>
      <c r="D130">
        <v>1</v>
      </c>
      <c r="E130" t="s">
        <v>485</v>
      </c>
      <c r="F130" t="e">
        <f t="shared" ref="F130:F193" si="2">IF(D130=0,C130,NA())</f>
        <v>#N/A</v>
      </c>
      <c r="G130">
        <f>IF(AND(D130=1,E130&lt;&gt;d_선택!$B$9,A130&lt;&gt;d_선택!$B$2),C130,NA())</f>
        <v>455.8</v>
      </c>
      <c r="H130" t="e">
        <f>IF(AND(D130=1,E130=d_선택!$B$9,A130&lt;&gt;d_선택!$B$2),C130,NA())</f>
        <v>#N/A</v>
      </c>
      <c r="I130" t="e">
        <f>IF(A130=d_선택!$B$2,C130,NA())</f>
        <v>#N/A</v>
      </c>
    </row>
    <row r="131" spans="1:9">
      <c r="A131" t="s">
        <v>689</v>
      </c>
      <c r="B131">
        <v>179.1</v>
      </c>
      <c r="C131">
        <v>463.3</v>
      </c>
      <c r="D131">
        <v>0</v>
      </c>
      <c r="F131">
        <f t="shared" si="2"/>
        <v>463.3</v>
      </c>
      <c r="G131" t="e">
        <f>IF(AND(D131=1,E131&lt;&gt;d_선택!$B$9,A131&lt;&gt;d_선택!$B$2),C131,NA())</f>
        <v>#N/A</v>
      </c>
      <c r="H131" t="e">
        <f>IF(AND(D131=1,E131=d_선택!$B$9,A131&lt;&gt;d_선택!$B$2),C131,NA())</f>
        <v>#N/A</v>
      </c>
      <c r="I131" t="e">
        <f>IF(A131=d_선택!$B$2,C131,NA())</f>
        <v>#N/A</v>
      </c>
    </row>
    <row r="132" spans="1:9">
      <c r="A132" t="s">
        <v>690</v>
      </c>
      <c r="B132">
        <v>392.5</v>
      </c>
      <c r="C132">
        <v>225</v>
      </c>
      <c r="D132">
        <v>0</v>
      </c>
      <c r="F132">
        <f t="shared" si="2"/>
        <v>225</v>
      </c>
      <c r="G132" t="e">
        <f>IF(AND(D132=1,E132&lt;&gt;d_선택!$B$9,A132&lt;&gt;d_선택!$B$2),C132,NA())</f>
        <v>#N/A</v>
      </c>
      <c r="H132" t="e">
        <f>IF(AND(D132=1,E132=d_선택!$B$9,A132&lt;&gt;d_선택!$B$2),C132,NA())</f>
        <v>#N/A</v>
      </c>
      <c r="I132" t="e">
        <f>IF(A132=d_선택!$B$2,C132,NA())</f>
        <v>#N/A</v>
      </c>
    </row>
    <row r="133" spans="1:9">
      <c r="A133" t="s">
        <v>278</v>
      </c>
      <c r="B133">
        <v>210.7</v>
      </c>
      <c r="C133">
        <v>539.5</v>
      </c>
      <c r="D133">
        <v>1</v>
      </c>
      <c r="E133" t="s">
        <v>471</v>
      </c>
      <c r="F133" t="e">
        <f t="shared" si="2"/>
        <v>#N/A</v>
      </c>
      <c r="G133">
        <f>IF(AND(D133=1,E133&lt;&gt;d_선택!$B$9,A133&lt;&gt;d_선택!$B$2),C133,NA())</f>
        <v>539.5</v>
      </c>
      <c r="H133" t="e">
        <f>IF(AND(D133=1,E133=d_선택!$B$9,A133&lt;&gt;d_선택!$B$2),C133,NA())</f>
        <v>#N/A</v>
      </c>
      <c r="I133" t="e">
        <f>IF(A133=d_선택!$B$2,C133,NA())</f>
        <v>#N/A</v>
      </c>
    </row>
    <row r="134" spans="1:9">
      <c r="A134" t="s">
        <v>353</v>
      </c>
      <c r="B134">
        <v>160.4</v>
      </c>
      <c r="C134">
        <v>238.6</v>
      </c>
      <c r="D134">
        <v>1</v>
      </c>
      <c r="E134" t="s">
        <v>489</v>
      </c>
      <c r="F134" t="e">
        <f t="shared" si="2"/>
        <v>#N/A</v>
      </c>
      <c r="G134">
        <f>IF(AND(D134=1,E134&lt;&gt;d_선택!$B$9,A134&lt;&gt;d_선택!$B$2),C134,NA())</f>
        <v>238.6</v>
      </c>
      <c r="H134" t="e">
        <f>IF(AND(D134=1,E134=d_선택!$B$9,A134&lt;&gt;d_선택!$B$2),C134,NA())</f>
        <v>#N/A</v>
      </c>
      <c r="I134" t="e">
        <f>IF(A134=d_선택!$B$2,C134,NA())</f>
        <v>#N/A</v>
      </c>
    </row>
    <row r="135" spans="1:9">
      <c r="A135" t="s">
        <v>265</v>
      </c>
      <c r="B135">
        <v>415.9</v>
      </c>
      <c r="C135">
        <v>362.5</v>
      </c>
      <c r="D135">
        <v>1</v>
      </c>
      <c r="E135" t="s">
        <v>483</v>
      </c>
      <c r="F135" t="e">
        <f t="shared" si="2"/>
        <v>#N/A</v>
      </c>
      <c r="G135" t="e">
        <f>IF(AND(D135=1,E135&lt;&gt;d_선택!$B$9,A135&lt;&gt;d_선택!$B$2),C135,NA())</f>
        <v>#N/A</v>
      </c>
      <c r="H135">
        <f>IF(AND(D135=1,E135=d_선택!$B$9,A135&lt;&gt;d_선택!$B$2),C135,NA())</f>
        <v>362.5</v>
      </c>
      <c r="I135" t="e">
        <f>IF(A135=d_선택!$B$2,C135,NA())</f>
        <v>#N/A</v>
      </c>
    </row>
    <row r="136" spans="1:9">
      <c r="A136" t="s">
        <v>691</v>
      </c>
      <c r="B136">
        <v>391.3</v>
      </c>
      <c r="C136">
        <v>213.5</v>
      </c>
      <c r="D136">
        <v>0</v>
      </c>
      <c r="F136">
        <f t="shared" si="2"/>
        <v>213.5</v>
      </c>
      <c r="G136" t="e">
        <f>IF(AND(D136=1,E136&lt;&gt;d_선택!$B$9,A136&lt;&gt;d_선택!$B$2),C136,NA())</f>
        <v>#N/A</v>
      </c>
      <c r="H136" t="e">
        <f>IF(AND(D136=1,E136=d_선택!$B$9,A136&lt;&gt;d_선택!$B$2),C136,NA())</f>
        <v>#N/A</v>
      </c>
      <c r="I136" t="e">
        <f>IF(A136=d_선택!$B$2,C136,NA())</f>
        <v>#N/A</v>
      </c>
    </row>
    <row r="137" spans="1:9">
      <c r="A137" t="s">
        <v>352</v>
      </c>
      <c r="B137">
        <v>281.39999999999998</v>
      </c>
      <c r="C137">
        <v>330.7</v>
      </c>
      <c r="D137">
        <v>1</v>
      </c>
      <c r="E137" t="s">
        <v>489</v>
      </c>
      <c r="F137" t="e">
        <f t="shared" si="2"/>
        <v>#N/A</v>
      </c>
      <c r="G137">
        <f>IF(AND(D137=1,E137&lt;&gt;d_선택!$B$9,A137&lt;&gt;d_선택!$B$2),C137,NA())</f>
        <v>330.7</v>
      </c>
      <c r="H137" t="e">
        <f>IF(AND(D137=1,E137=d_선택!$B$9,A137&lt;&gt;d_선택!$B$2),C137,NA())</f>
        <v>#N/A</v>
      </c>
      <c r="I137" t="e">
        <f>IF(A137=d_선택!$B$2,C137,NA())</f>
        <v>#N/A</v>
      </c>
    </row>
    <row r="138" spans="1:9">
      <c r="A138" t="s">
        <v>692</v>
      </c>
      <c r="B138">
        <v>201.3</v>
      </c>
      <c r="C138">
        <v>477.9</v>
      </c>
      <c r="D138">
        <v>0</v>
      </c>
      <c r="F138">
        <f t="shared" si="2"/>
        <v>477.9</v>
      </c>
      <c r="G138" t="e">
        <f>IF(AND(D138=1,E138&lt;&gt;d_선택!$B$9,A138&lt;&gt;d_선택!$B$2),C138,NA())</f>
        <v>#N/A</v>
      </c>
      <c r="H138" t="e">
        <f>IF(AND(D138=1,E138=d_선택!$B$9,A138&lt;&gt;d_선택!$B$2),C138,NA())</f>
        <v>#N/A</v>
      </c>
      <c r="I138" t="e">
        <f>IF(A138=d_선택!$B$2,C138,NA())</f>
        <v>#N/A</v>
      </c>
    </row>
    <row r="139" spans="1:9">
      <c r="A139" t="s">
        <v>389</v>
      </c>
      <c r="B139">
        <v>173.2</v>
      </c>
      <c r="C139">
        <v>185.1</v>
      </c>
      <c r="D139">
        <v>1</v>
      </c>
      <c r="E139" t="s">
        <v>463</v>
      </c>
      <c r="F139" t="e">
        <f t="shared" si="2"/>
        <v>#N/A</v>
      </c>
      <c r="G139">
        <f>IF(AND(D139=1,E139&lt;&gt;d_선택!$B$9,A139&lt;&gt;d_선택!$B$2),C139,NA())</f>
        <v>185.1</v>
      </c>
      <c r="H139" t="e">
        <f>IF(AND(D139=1,E139=d_선택!$B$9,A139&lt;&gt;d_선택!$B$2),C139,NA())</f>
        <v>#N/A</v>
      </c>
      <c r="I139" t="e">
        <f>IF(A139=d_선택!$B$2,C139,NA())</f>
        <v>#N/A</v>
      </c>
    </row>
    <row r="140" spans="1:9">
      <c r="A140" t="s">
        <v>387</v>
      </c>
      <c r="B140">
        <v>399.7</v>
      </c>
      <c r="C140">
        <v>389.7</v>
      </c>
      <c r="D140">
        <v>1</v>
      </c>
      <c r="E140" t="s">
        <v>489</v>
      </c>
      <c r="F140" t="e">
        <f t="shared" si="2"/>
        <v>#N/A</v>
      </c>
      <c r="G140">
        <f>IF(AND(D140=1,E140&lt;&gt;d_선택!$B$9,A140&lt;&gt;d_선택!$B$2),C140,NA())</f>
        <v>389.7</v>
      </c>
      <c r="H140" t="e">
        <f>IF(AND(D140=1,E140=d_선택!$B$9,A140&lt;&gt;d_선택!$B$2),C140,NA())</f>
        <v>#N/A</v>
      </c>
      <c r="I140" t="e">
        <f>IF(A140=d_선택!$B$2,C140,NA())</f>
        <v>#N/A</v>
      </c>
    </row>
    <row r="141" spans="1:9">
      <c r="A141" t="s">
        <v>303</v>
      </c>
      <c r="B141">
        <v>339.8</v>
      </c>
      <c r="C141">
        <v>443.9</v>
      </c>
      <c r="D141">
        <v>1</v>
      </c>
      <c r="E141" t="s">
        <v>489</v>
      </c>
      <c r="F141" t="e">
        <f t="shared" si="2"/>
        <v>#N/A</v>
      </c>
      <c r="G141">
        <f>IF(AND(D141=1,E141&lt;&gt;d_선택!$B$9,A141&lt;&gt;d_선택!$B$2),C141,NA())</f>
        <v>443.9</v>
      </c>
      <c r="H141" t="e">
        <f>IF(AND(D141=1,E141=d_선택!$B$9,A141&lt;&gt;d_선택!$B$2),C141,NA())</f>
        <v>#N/A</v>
      </c>
      <c r="I141" t="e">
        <f>IF(A141=d_선택!$B$2,C141,NA())</f>
        <v>#N/A</v>
      </c>
    </row>
    <row r="142" spans="1:9">
      <c r="A142" t="s">
        <v>256</v>
      </c>
      <c r="B142">
        <v>352.3</v>
      </c>
      <c r="C142">
        <v>405.9</v>
      </c>
      <c r="D142">
        <v>1</v>
      </c>
      <c r="E142" t="s">
        <v>471</v>
      </c>
      <c r="F142" t="e">
        <f t="shared" si="2"/>
        <v>#N/A</v>
      </c>
      <c r="G142">
        <f>IF(AND(D142=1,E142&lt;&gt;d_선택!$B$9,A142&lt;&gt;d_선택!$B$2),C142,NA())</f>
        <v>405.9</v>
      </c>
      <c r="H142" t="e">
        <f>IF(AND(D142=1,E142=d_선택!$B$9,A142&lt;&gt;d_선택!$B$2),C142,NA())</f>
        <v>#N/A</v>
      </c>
      <c r="I142" t="e">
        <f>IF(A142=d_선택!$B$2,C142,NA())</f>
        <v>#N/A</v>
      </c>
    </row>
    <row r="143" spans="1:9">
      <c r="A143" t="s">
        <v>310</v>
      </c>
      <c r="B143">
        <v>378.8</v>
      </c>
      <c r="C143">
        <v>314.2</v>
      </c>
      <c r="D143">
        <v>1</v>
      </c>
      <c r="E143" t="s">
        <v>463</v>
      </c>
      <c r="F143" t="e">
        <f t="shared" si="2"/>
        <v>#N/A</v>
      </c>
      <c r="G143">
        <f>IF(AND(D143=1,E143&lt;&gt;d_선택!$B$9,A143&lt;&gt;d_선택!$B$2),C143,NA())</f>
        <v>314.2</v>
      </c>
      <c r="H143" t="e">
        <f>IF(AND(D143=1,E143=d_선택!$B$9,A143&lt;&gt;d_선택!$B$2),C143,NA())</f>
        <v>#N/A</v>
      </c>
      <c r="I143" t="e">
        <f>IF(A143=d_선택!$B$2,C143,NA())</f>
        <v>#N/A</v>
      </c>
    </row>
    <row r="144" spans="1:9">
      <c r="A144" t="s">
        <v>258</v>
      </c>
      <c r="B144">
        <v>190</v>
      </c>
      <c r="C144">
        <v>387.1</v>
      </c>
      <c r="D144">
        <v>1</v>
      </c>
      <c r="E144" t="s">
        <v>471</v>
      </c>
      <c r="F144" t="e">
        <f t="shared" si="2"/>
        <v>#N/A</v>
      </c>
      <c r="G144">
        <f>IF(AND(D144=1,E144&lt;&gt;d_선택!$B$9,A144&lt;&gt;d_선택!$B$2),C144,NA())</f>
        <v>387.1</v>
      </c>
      <c r="H144" t="e">
        <f>IF(AND(D144=1,E144=d_선택!$B$9,A144&lt;&gt;d_선택!$B$2),C144,NA())</f>
        <v>#N/A</v>
      </c>
      <c r="I144" t="e">
        <f>IF(A144=d_선택!$B$2,C144,NA())</f>
        <v>#N/A</v>
      </c>
    </row>
    <row r="145" spans="1:9">
      <c r="A145" t="s">
        <v>379</v>
      </c>
      <c r="B145">
        <v>334.2</v>
      </c>
      <c r="C145">
        <v>382.7</v>
      </c>
      <c r="D145">
        <v>1</v>
      </c>
      <c r="E145" t="s">
        <v>489</v>
      </c>
      <c r="F145" t="e">
        <f t="shared" si="2"/>
        <v>#N/A</v>
      </c>
      <c r="G145">
        <f>IF(AND(D145=1,E145&lt;&gt;d_선택!$B$9,A145&lt;&gt;d_선택!$B$2),C145,NA())</f>
        <v>382.7</v>
      </c>
      <c r="H145" t="e">
        <f>IF(AND(D145=1,E145=d_선택!$B$9,A145&lt;&gt;d_선택!$B$2),C145,NA())</f>
        <v>#N/A</v>
      </c>
      <c r="I145" t="e">
        <f>IF(A145=d_선택!$B$2,C145,NA())</f>
        <v>#N/A</v>
      </c>
    </row>
    <row r="146" spans="1:9">
      <c r="A146" t="s">
        <v>341</v>
      </c>
      <c r="B146">
        <v>213.7</v>
      </c>
      <c r="C146">
        <v>439.7</v>
      </c>
      <c r="D146">
        <v>1</v>
      </c>
      <c r="E146" t="s">
        <v>489</v>
      </c>
      <c r="F146" t="e">
        <f t="shared" si="2"/>
        <v>#N/A</v>
      </c>
      <c r="G146">
        <f>IF(AND(D146=1,E146&lt;&gt;d_선택!$B$9,A146&lt;&gt;d_선택!$B$2),C146,NA())</f>
        <v>439.7</v>
      </c>
      <c r="H146" t="e">
        <f>IF(AND(D146=1,E146=d_선택!$B$9,A146&lt;&gt;d_선택!$B$2),C146,NA())</f>
        <v>#N/A</v>
      </c>
      <c r="I146" t="e">
        <f>IF(A146=d_선택!$B$2,C146,NA())</f>
        <v>#N/A</v>
      </c>
    </row>
    <row r="147" spans="1:9">
      <c r="A147" t="s">
        <v>325</v>
      </c>
      <c r="B147">
        <v>267.3</v>
      </c>
      <c r="C147">
        <v>348.5</v>
      </c>
      <c r="D147">
        <v>1</v>
      </c>
      <c r="E147" t="s">
        <v>489</v>
      </c>
      <c r="F147" t="e">
        <f t="shared" si="2"/>
        <v>#N/A</v>
      </c>
      <c r="G147">
        <f>IF(AND(D147=1,E147&lt;&gt;d_선택!$B$9,A147&lt;&gt;d_선택!$B$2),C147,NA())</f>
        <v>348.5</v>
      </c>
      <c r="H147" t="e">
        <f>IF(AND(D147=1,E147=d_선택!$B$9,A147&lt;&gt;d_선택!$B$2),C147,NA())</f>
        <v>#N/A</v>
      </c>
      <c r="I147" t="e">
        <f>IF(A147=d_선택!$B$2,C147,NA())</f>
        <v>#N/A</v>
      </c>
    </row>
    <row r="148" spans="1:9">
      <c r="A148" t="s">
        <v>306</v>
      </c>
      <c r="B148">
        <v>7.8</v>
      </c>
      <c r="C148">
        <v>525.29999999999995</v>
      </c>
      <c r="D148">
        <v>1</v>
      </c>
      <c r="E148" t="s">
        <v>178</v>
      </c>
      <c r="F148" t="e">
        <f t="shared" si="2"/>
        <v>#N/A</v>
      </c>
      <c r="G148">
        <f>IF(AND(D148=1,E148&lt;&gt;d_선택!$B$9,A148&lt;&gt;d_선택!$B$2),C148,NA())</f>
        <v>525.29999999999995</v>
      </c>
      <c r="H148" t="e">
        <f>IF(AND(D148=1,E148=d_선택!$B$9,A148&lt;&gt;d_선택!$B$2),C148,NA())</f>
        <v>#N/A</v>
      </c>
      <c r="I148" t="e">
        <f>IF(A148=d_선택!$B$2,C148,NA())</f>
        <v>#N/A</v>
      </c>
    </row>
    <row r="149" spans="1:9">
      <c r="A149" t="s">
        <v>390</v>
      </c>
      <c r="B149">
        <v>184.1</v>
      </c>
      <c r="C149">
        <v>133.69999999999999</v>
      </c>
      <c r="D149">
        <v>1</v>
      </c>
      <c r="E149" t="s">
        <v>489</v>
      </c>
      <c r="F149" t="e">
        <f t="shared" si="2"/>
        <v>#N/A</v>
      </c>
      <c r="G149">
        <f>IF(AND(D149=1,E149&lt;&gt;d_선택!$B$9,A149&lt;&gt;d_선택!$B$2),C149,NA())</f>
        <v>133.69999999999999</v>
      </c>
      <c r="H149" t="e">
        <f>IF(AND(D149=1,E149=d_선택!$B$9,A149&lt;&gt;d_선택!$B$2),C149,NA())</f>
        <v>#N/A</v>
      </c>
      <c r="I149" t="e">
        <f>IF(A149=d_선택!$B$2,C149,NA())</f>
        <v>#N/A</v>
      </c>
    </row>
    <row r="150" spans="1:9">
      <c r="A150" t="s">
        <v>255</v>
      </c>
      <c r="B150">
        <v>226.7</v>
      </c>
      <c r="C150">
        <v>301</v>
      </c>
      <c r="D150">
        <v>1</v>
      </c>
      <c r="E150" t="s">
        <v>458</v>
      </c>
      <c r="F150" t="e">
        <f t="shared" si="2"/>
        <v>#N/A</v>
      </c>
      <c r="G150">
        <f>IF(AND(D150=1,E150&lt;&gt;d_선택!$B$9,A150&lt;&gt;d_선택!$B$2),C150,NA())</f>
        <v>301</v>
      </c>
      <c r="H150" t="e">
        <f>IF(AND(D150=1,E150=d_선택!$B$9,A150&lt;&gt;d_선택!$B$2),C150,NA())</f>
        <v>#N/A</v>
      </c>
      <c r="I150" t="e">
        <f>IF(A150=d_선택!$B$2,C150,NA())</f>
        <v>#N/A</v>
      </c>
    </row>
    <row r="151" spans="1:9">
      <c r="A151" t="s">
        <v>693</v>
      </c>
      <c r="B151">
        <v>208.2</v>
      </c>
      <c r="C151">
        <v>480.1</v>
      </c>
      <c r="D151">
        <v>0</v>
      </c>
      <c r="F151">
        <f t="shared" si="2"/>
        <v>480.1</v>
      </c>
      <c r="G151" t="e">
        <f>IF(AND(D151=1,E151&lt;&gt;d_선택!$B$9,A151&lt;&gt;d_선택!$B$2),C151,NA())</f>
        <v>#N/A</v>
      </c>
      <c r="H151" t="e">
        <f>IF(AND(D151=1,E151=d_선택!$B$9,A151&lt;&gt;d_선택!$B$2),C151,NA())</f>
        <v>#N/A</v>
      </c>
      <c r="I151" t="e">
        <f>IF(A151=d_선택!$B$2,C151,NA())</f>
        <v>#N/A</v>
      </c>
    </row>
    <row r="152" spans="1:9">
      <c r="A152" t="s">
        <v>694</v>
      </c>
      <c r="B152">
        <v>219.6</v>
      </c>
      <c r="C152">
        <v>450.5</v>
      </c>
      <c r="D152">
        <v>0</v>
      </c>
      <c r="F152">
        <f t="shared" si="2"/>
        <v>450.5</v>
      </c>
      <c r="G152" t="e">
        <f>IF(AND(D152=1,E152&lt;&gt;d_선택!$B$9,A152&lt;&gt;d_선택!$B$2),C152,NA())</f>
        <v>#N/A</v>
      </c>
      <c r="H152" t="e">
        <f>IF(AND(D152=1,E152=d_선택!$B$9,A152&lt;&gt;d_선택!$B$2),C152,NA())</f>
        <v>#N/A</v>
      </c>
      <c r="I152" t="e">
        <f>IF(A152=d_선택!$B$2,C152,NA())</f>
        <v>#N/A</v>
      </c>
    </row>
    <row r="153" spans="1:9">
      <c r="A153" t="s">
        <v>695</v>
      </c>
      <c r="B153">
        <v>216.7</v>
      </c>
      <c r="C153">
        <v>458.3</v>
      </c>
      <c r="D153">
        <v>0</v>
      </c>
      <c r="F153">
        <f t="shared" si="2"/>
        <v>458.3</v>
      </c>
      <c r="G153" t="e">
        <f>IF(AND(D153=1,E153&lt;&gt;d_선택!$B$9,A153&lt;&gt;d_선택!$B$2),C153,NA())</f>
        <v>#N/A</v>
      </c>
      <c r="H153" t="e">
        <f>IF(AND(D153=1,E153=d_선택!$B$9,A153&lt;&gt;d_선택!$B$2),C153,NA())</f>
        <v>#N/A</v>
      </c>
      <c r="I153" t="e">
        <f>IF(A153=d_선택!$B$2,C153,NA())</f>
        <v>#N/A</v>
      </c>
    </row>
    <row r="154" spans="1:9">
      <c r="A154" t="s">
        <v>696</v>
      </c>
      <c r="B154">
        <v>232.8</v>
      </c>
      <c r="C154">
        <v>443.7</v>
      </c>
      <c r="D154">
        <v>0</v>
      </c>
      <c r="F154">
        <f t="shared" si="2"/>
        <v>443.7</v>
      </c>
      <c r="G154" t="e">
        <f>IF(AND(D154=1,E154&lt;&gt;d_선택!$B$9,A154&lt;&gt;d_선택!$B$2),C154,NA())</f>
        <v>#N/A</v>
      </c>
      <c r="H154" t="e">
        <f>IF(AND(D154=1,E154=d_선택!$B$9,A154&lt;&gt;d_선택!$B$2),C154,NA())</f>
        <v>#N/A</v>
      </c>
      <c r="I154" t="e">
        <f>IF(A154=d_선택!$B$2,C154,NA())</f>
        <v>#N/A</v>
      </c>
    </row>
    <row r="155" spans="1:9">
      <c r="A155" t="s">
        <v>314</v>
      </c>
      <c r="B155">
        <v>547.70000000000005</v>
      </c>
      <c r="C155">
        <v>475.6</v>
      </c>
      <c r="D155">
        <v>0</v>
      </c>
      <c r="F155">
        <f t="shared" si="2"/>
        <v>475.6</v>
      </c>
      <c r="G155" t="e">
        <f>IF(AND(D155=1,E155&lt;&gt;d_선택!$B$9,A155&lt;&gt;d_선택!$B$2),C155,NA())</f>
        <v>#N/A</v>
      </c>
      <c r="H155" t="e">
        <f>IF(AND(D155=1,E155=d_선택!$B$9,A155&lt;&gt;d_선택!$B$2),C155,NA())</f>
        <v>#N/A</v>
      </c>
      <c r="I155" t="e">
        <f>IF(A155=d_선택!$B$2,C155,NA())</f>
        <v>#N/A</v>
      </c>
    </row>
    <row r="156" spans="1:9">
      <c r="A156" t="s">
        <v>356</v>
      </c>
      <c r="B156">
        <v>405.4</v>
      </c>
      <c r="C156">
        <v>259.39999999999998</v>
      </c>
      <c r="D156">
        <v>1</v>
      </c>
      <c r="E156" t="s">
        <v>474</v>
      </c>
      <c r="F156" t="e">
        <f t="shared" si="2"/>
        <v>#N/A</v>
      </c>
      <c r="G156">
        <f>IF(AND(D156=1,E156&lt;&gt;d_선택!$B$9,A156&lt;&gt;d_선택!$B$2),C156,NA())</f>
        <v>259.39999999999998</v>
      </c>
      <c r="H156" t="e">
        <f>IF(AND(D156=1,E156=d_선택!$B$9,A156&lt;&gt;d_선택!$B$2),C156,NA())</f>
        <v>#N/A</v>
      </c>
      <c r="I156" t="e">
        <f>IF(A156=d_선택!$B$2,C156,NA())</f>
        <v>#N/A</v>
      </c>
    </row>
    <row r="157" spans="1:9">
      <c r="A157" t="s">
        <v>250</v>
      </c>
      <c r="B157">
        <v>413.8</v>
      </c>
      <c r="C157">
        <v>411.9</v>
      </c>
      <c r="D157">
        <v>1</v>
      </c>
      <c r="E157" t="s">
        <v>483</v>
      </c>
      <c r="F157" t="e">
        <f t="shared" si="2"/>
        <v>#N/A</v>
      </c>
      <c r="G157" t="e">
        <f>IF(AND(D157=1,E157&lt;&gt;d_선택!$B$9,A157&lt;&gt;d_선택!$B$2),C157,NA())</f>
        <v>#N/A</v>
      </c>
      <c r="H157">
        <f>IF(AND(D157=1,E157=d_선택!$B$9,A157&lt;&gt;d_선택!$B$2),C157,NA())</f>
        <v>411.9</v>
      </c>
      <c r="I157" t="e">
        <f>IF(A157=d_선택!$B$2,C157,NA())</f>
        <v>#N/A</v>
      </c>
    </row>
    <row r="158" spans="1:9">
      <c r="A158" t="s">
        <v>349</v>
      </c>
      <c r="B158">
        <v>293.8</v>
      </c>
      <c r="C158">
        <v>455</v>
      </c>
      <c r="D158">
        <v>1</v>
      </c>
      <c r="E158" t="s">
        <v>489</v>
      </c>
      <c r="F158" t="e">
        <f t="shared" si="2"/>
        <v>#N/A</v>
      </c>
      <c r="G158">
        <f>IF(AND(D158=1,E158&lt;&gt;d_선택!$B$9,A158&lt;&gt;d_선택!$B$2),C158,NA())</f>
        <v>455</v>
      </c>
      <c r="H158" t="e">
        <f>IF(AND(D158=1,E158=d_선택!$B$9,A158&lt;&gt;d_선택!$B$2),C158,NA())</f>
        <v>#N/A</v>
      </c>
      <c r="I158" t="e">
        <f>IF(A158=d_선택!$B$2,C158,NA())</f>
        <v>#N/A</v>
      </c>
    </row>
    <row r="159" spans="1:9">
      <c r="A159" t="s">
        <v>697</v>
      </c>
      <c r="B159">
        <v>239.6</v>
      </c>
      <c r="C159">
        <v>354.4</v>
      </c>
      <c r="D159">
        <v>0</v>
      </c>
      <c r="F159">
        <f t="shared" si="2"/>
        <v>354.4</v>
      </c>
      <c r="G159" t="e">
        <f>IF(AND(D159=1,E159&lt;&gt;d_선택!$B$9,A159&lt;&gt;d_선택!$B$2),C159,NA())</f>
        <v>#N/A</v>
      </c>
      <c r="H159" t="e">
        <f>IF(AND(D159=1,E159=d_선택!$B$9,A159&lt;&gt;d_선택!$B$2),C159,NA())</f>
        <v>#N/A</v>
      </c>
      <c r="I159" t="e">
        <f>IF(A159=d_선택!$B$2,C159,NA())</f>
        <v>#N/A</v>
      </c>
    </row>
    <row r="160" spans="1:9">
      <c r="A160" t="s">
        <v>698</v>
      </c>
      <c r="B160">
        <v>203</v>
      </c>
      <c r="C160">
        <v>488.5</v>
      </c>
      <c r="D160">
        <v>0</v>
      </c>
      <c r="F160">
        <f t="shared" si="2"/>
        <v>488.5</v>
      </c>
      <c r="G160" t="e">
        <f>IF(AND(D160=1,E160&lt;&gt;d_선택!$B$9,A160&lt;&gt;d_선택!$B$2),C160,NA())</f>
        <v>#N/A</v>
      </c>
      <c r="H160" t="e">
        <f>IF(AND(D160=1,E160=d_선택!$B$9,A160&lt;&gt;d_선택!$B$2),C160,NA())</f>
        <v>#N/A</v>
      </c>
      <c r="I160" t="e">
        <f>IF(A160=d_선택!$B$2,C160,NA())</f>
        <v>#N/A</v>
      </c>
    </row>
    <row r="161" spans="1:9">
      <c r="A161" t="s">
        <v>257</v>
      </c>
      <c r="B161">
        <v>263.89999999999998</v>
      </c>
      <c r="C161">
        <v>419.1</v>
      </c>
      <c r="D161">
        <v>1</v>
      </c>
      <c r="E161" t="s">
        <v>471</v>
      </c>
      <c r="F161" t="e">
        <f t="shared" si="2"/>
        <v>#N/A</v>
      </c>
      <c r="G161">
        <f>IF(AND(D161=1,E161&lt;&gt;d_선택!$B$9,A161&lt;&gt;d_선택!$B$2),C161,NA())</f>
        <v>419.1</v>
      </c>
      <c r="H161" t="e">
        <f>IF(AND(D161=1,E161=d_선택!$B$9,A161&lt;&gt;d_선택!$B$2),C161,NA())</f>
        <v>#N/A</v>
      </c>
      <c r="I161" t="e">
        <f>IF(A161=d_선택!$B$2,C161,NA())</f>
        <v>#N/A</v>
      </c>
    </row>
    <row r="162" spans="1:9">
      <c r="A162" t="s">
        <v>283</v>
      </c>
      <c r="B162">
        <v>319.89999999999998</v>
      </c>
      <c r="C162">
        <v>247.5</v>
      </c>
      <c r="D162">
        <v>1</v>
      </c>
      <c r="E162" t="s">
        <v>458</v>
      </c>
      <c r="F162" t="e">
        <f t="shared" si="2"/>
        <v>#N/A</v>
      </c>
      <c r="G162">
        <f>IF(AND(D162=1,E162&lt;&gt;d_선택!$B$9,A162&lt;&gt;d_선택!$B$2),C162,NA())</f>
        <v>247.5</v>
      </c>
      <c r="H162" t="e">
        <f>IF(AND(D162=1,E162=d_선택!$B$9,A162&lt;&gt;d_선택!$B$2),C162,NA())</f>
        <v>#N/A</v>
      </c>
      <c r="I162" t="e">
        <f>IF(A162=d_선택!$B$2,C162,NA())</f>
        <v>#N/A</v>
      </c>
    </row>
    <row r="163" spans="1:9">
      <c r="A163" t="s">
        <v>259</v>
      </c>
      <c r="B163">
        <v>349.4</v>
      </c>
      <c r="C163">
        <v>353.1</v>
      </c>
      <c r="D163">
        <v>1</v>
      </c>
      <c r="E163" t="s">
        <v>458</v>
      </c>
      <c r="F163" t="e">
        <f t="shared" si="2"/>
        <v>#N/A</v>
      </c>
      <c r="G163">
        <f>IF(AND(D163=1,E163&lt;&gt;d_선택!$B$9,A163&lt;&gt;d_선택!$B$2),C163,NA())</f>
        <v>353.1</v>
      </c>
      <c r="H163" t="e">
        <f>IF(AND(D163=1,E163=d_선택!$B$9,A163&lt;&gt;d_선택!$B$2),C163,NA())</f>
        <v>#N/A</v>
      </c>
      <c r="I163" t="e">
        <f>IF(A163=d_선택!$B$2,C163,NA())</f>
        <v>#N/A</v>
      </c>
    </row>
    <row r="164" spans="1:9">
      <c r="A164" t="s">
        <v>365</v>
      </c>
      <c r="B164">
        <v>208.3</v>
      </c>
      <c r="C164">
        <v>460.7</v>
      </c>
      <c r="D164">
        <v>1</v>
      </c>
      <c r="E164" t="s">
        <v>492</v>
      </c>
      <c r="F164" t="e">
        <f t="shared" si="2"/>
        <v>#N/A</v>
      </c>
      <c r="G164">
        <f>IF(AND(D164=1,E164&lt;&gt;d_선택!$B$9,A164&lt;&gt;d_선택!$B$2),C164,NA())</f>
        <v>460.7</v>
      </c>
      <c r="H164" t="e">
        <f>IF(AND(D164=1,E164=d_선택!$B$9,A164&lt;&gt;d_선택!$B$2),C164,NA())</f>
        <v>#N/A</v>
      </c>
      <c r="I164" t="e">
        <f>IF(A164=d_선택!$B$2,C164,NA())</f>
        <v>#N/A</v>
      </c>
    </row>
    <row r="165" spans="1:9">
      <c r="A165" t="s">
        <v>329</v>
      </c>
      <c r="B165">
        <v>216.4</v>
      </c>
      <c r="C165">
        <v>501.5</v>
      </c>
      <c r="D165">
        <v>1</v>
      </c>
      <c r="E165" t="s">
        <v>489</v>
      </c>
      <c r="F165" t="e">
        <f t="shared" si="2"/>
        <v>#N/A</v>
      </c>
      <c r="G165">
        <f>IF(AND(D165=1,E165&lt;&gt;d_선택!$B$9,A165&lt;&gt;d_선택!$B$2),C165,NA())</f>
        <v>501.5</v>
      </c>
      <c r="H165" t="e">
        <f>IF(AND(D165=1,E165=d_선택!$B$9,A165&lt;&gt;d_선택!$B$2),C165,NA())</f>
        <v>#N/A</v>
      </c>
      <c r="I165" t="e">
        <f>IF(A165=d_선택!$B$2,C165,NA())</f>
        <v>#N/A</v>
      </c>
    </row>
    <row r="166" spans="1:9">
      <c r="A166" t="s">
        <v>292</v>
      </c>
      <c r="B166">
        <v>253.2</v>
      </c>
      <c r="C166">
        <v>443</v>
      </c>
      <c r="D166">
        <v>1</v>
      </c>
      <c r="E166" t="s">
        <v>489</v>
      </c>
      <c r="F166" t="e">
        <f t="shared" si="2"/>
        <v>#N/A</v>
      </c>
      <c r="G166">
        <f>IF(AND(D166=1,E166&lt;&gt;d_선택!$B$9,A166&lt;&gt;d_선택!$B$2),C166,NA())</f>
        <v>443</v>
      </c>
      <c r="H166" t="e">
        <f>IF(AND(D166=1,E166=d_선택!$B$9,A166&lt;&gt;d_선택!$B$2),C166,NA())</f>
        <v>#N/A</v>
      </c>
      <c r="I166" t="e">
        <f>IF(A166=d_선택!$B$2,C166,NA())</f>
        <v>#N/A</v>
      </c>
    </row>
    <row r="167" spans="1:9">
      <c r="A167" t="s">
        <v>281</v>
      </c>
      <c r="B167">
        <v>208.9</v>
      </c>
      <c r="C167">
        <v>313</v>
      </c>
      <c r="D167">
        <v>1</v>
      </c>
      <c r="E167" t="s">
        <v>471</v>
      </c>
      <c r="F167" t="e">
        <f t="shared" si="2"/>
        <v>#N/A</v>
      </c>
      <c r="G167">
        <f>IF(AND(D167=1,E167&lt;&gt;d_선택!$B$9,A167&lt;&gt;d_선택!$B$2),C167,NA())</f>
        <v>313</v>
      </c>
      <c r="H167" t="e">
        <f>IF(AND(D167=1,E167=d_선택!$B$9,A167&lt;&gt;d_선택!$B$2),C167,NA())</f>
        <v>#N/A</v>
      </c>
      <c r="I167" t="e">
        <f>IF(A167=d_선택!$B$2,C167,NA())</f>
        <v>#N/A</v>
      </c>
    </row>
    <row r="168" spans="1:9">
      <c r="A168" t="s">
        <v>254</v>
      </c>
      <c r="B168">
        <v>319.60000000000002</v>
      </c>
      <c r="C168">
        <v>539.5</v>
      </c>
      <c r="D168">
        <v>1</v>
      </c>
      <c r="E168" t="s">
        <v>458</v>
      </c>
      <c r="F168" t="e">
        <f t="shared" si="2"/>
        <v>#N/A</v>
      </c>
      <c r="G168">
        <f>IF(AND(D168=1,E168&lt;&gt;d_선택!$B$9,A168&lt;&gt;d_선택!$B$2),C168,NA())</f>
        <v>539.5</v>
      </c>
      <c r="H168" t="e">
        <f>IF(AND(D168=1,E168=d_선택!$B$9,A168&lt;&gt;d_선택!$B$2),C168,NA())</f>
        <v>#N/A</v>
      </c>
      <c r="I168" t="e">
        <f>IF(A168=d_선택!$B$2,C168,NA())</f>
        <v>#N/A</v>
      </c>
    </row>
    <row r="169" spans="1:9">
      <c r="A169" t="s">
        <v>364</v>
      </c>
      <c r="B169">
        <v>230.8</v>
      </c>
      <c r="C169">
        <v>271.10000000000002</v>
      </c>
      <c r="D169">
        <v>1</v>
      </c>
      <c r="E169" t="s">
        <v>463</v>
      </c>
      <c r="F169" t="e">
        <f t="shared" si="2"/>
        <v>#N/A</v>
      </c>
      <c r="G169">
        <f>IF(AND(D169=1,E169&lt;&gt;d_선택!$B$9,A169&lt;&gt;d_선택!$B$2),C169,NA())</f>
        <v>271.10000000000002</v>
      </c>
      <c r="H169" t="e">
        <f>IF(AND(D169=1,E169=d_선택!$B$9,A169&lt;&gt;d_선택!$B$2),C169,NA())</f>
        <v>#N/A</v>
      </c>
      <c r="I169" t="e">
        <f>IF(A169=d_선택!$B$2,C169,NA())</f>
        <v>#N/A</v>
      </c>
    </row>
    <row r="170" spans="1:9">
      <c r="A170" t="s">
        <v>383</v>
      </c>
      <c r="B170">
        <v>189.2</v>
      </c>
      <c r="C170">
        <v>240</v>
      </c>
      <c r="D170">
        <v>1</v>
      </c>
      <c r="E170" t="s">
        <v>463</v>
      </c>
      <c r="F170" t="e">
        <f t="shared" si="2"/>
        <v>#N/A</v>
      </c>
      <c r="G170">
        <f>IF(AND(D170=1,E170&lt;&gt;d_선택!$B$9,A170&lt;&gt;d_선택!$B$2),C170,NA())</f>
        <v>240</v>
      </c>
      <c r="H170" t="e">
        <f>IF(AND(D170=1,E170=d_선택!$B$9,A170&lt;&gt;d_선택!$B$2),C170,NA())</f>
        <v>#N/A</v>
      </c>
      <c r="I170" t="e">
        <f>IF(A170=d_선택!$B$2,C170,NA())</f>
        <v>#N/A</v>
      </c>
    </row>
    <row r="171" spans="1:9">
      <c r="A171" t="s">
        <v>381</v>
      </c>
      <c r="B171">
        <v>257.8</v>
      </c>
      <c r="C171">
        <v>276.7</v>
      </c>
      <c r="D171">
        <v>1</v>
      </c>
      <c r="E171" t="s">
        <v>463</v>
      </c>
      <c r="F171" t="e">
        <f t="shared" si="2"/>
        <v>#N/A</v>
      </c>
      <c r="G171">
        <f>IF(AND(D171=1,E171&lt;&gt;d_선택!$B$9,A171&lt;&gt;d_선택!$B$2),C171,NA())</f>
        <v>276.7</v>
      </c>
      <c r="H171" t="e">
        <f>IF(AND(D171=1,E171=d_선택!$B$9,A171&lt;&gt;d_선택!$B$2),C171,NA())</f>
        <v>#N/A</v>
      </c>
      <c r="I171" t="e">
        <f>IF(A171=d_선택!$B$2,C171,NA())</f>
        <v>#N/A</v>
      </c>
    </row>
    <row r="172" spans="1:9">
      <c r="A172" t="s">
        <v>382</v>
      </c>
      <c r="B172">
        <v>205.2</v>
      </c>
      <c r="C172">
        <v>163.5</v>
      </c>
      <c r="D172">
        <v>1</v>
      </c>
      <c r="E172" t="s">
        <v>489</v>
      </c>
      <c r="F172" t="e">
        <f t="shared" si="2"/>
        <v>#N/A</v>
      </c>
      <c r="G172">
        <f>IF(AND(D172=1,E172&lt;&gt;d_선택!$B$9,A172&lt;&gt;d_선택!$B$2),C172,NA())</f>
        <v>163.5</v>
      </c>
      <c r="H172" t="e">
        <f>IF(AND(D172=1,E172=d_선택!$B$9,A172&lt;&gt;d_선택!$B$2),C172,NA())</f>
        <v>#N/A</v>
      </c>
      <c r="I172" t="e">
        <f>IF(A172=d_선택!$B$2,C172,NA())</f>
        <v>#N/A</v>
      </c>
    </row>
    <row r="173" spans="1:9">
      <c r="A173" t="s">
        <v>699</v>
      </c>
      <c r="B173">
        <v>220.2</v>
      </c>
      <c r="C173">
        <v>298.3</v>
      </c>
      <c r="D173">
        <v>0</v>
      </c>
      <c r="F173">
        <f t="shared" si="2"/>
        <v>298.3</v>
      </c>
      <c r="G173" t="e">
        <f>IF(AND(D173=1,E173&lt;&gt;d_선택!$B$9,A173&lt;&gt;d_선택!$B$2),C173,NA())</f>
        <v>#N/A</v>
      </c>
      <c r="H173" t="e">
        <f>IF(AND(D173=1,E173=d_선택!$B$9,A173&lt;&gt;d_선택!$B$2),C173,NA())</f>
        <v>#N/A</v>
      </c>
      <c r="I173" t="e">
        <f>IF(A173=d_선택!$B$2,C173,NA())</f>
        <v>#N/A</v>
      </c>
    </row>
    <row r="174" spans="1:9">
      <c r="A174" t="s">
        <v>700</v>
      </c>
      <c r="B174">
        <v>220.1</v>
      </c>
      <c r="C174">
        <v>291.8</v>
      </c>
      <c r="D174">
        <v>0</v>
      </c>
      <c r="F174">
        <f t="shared" si="2"/>
        <v>291.8</v>
      </c>
      <c r="G174" t="e">
        <f>IF(AND(D174=1,E174&lt;&gt;d_선택!$B$9,A174&lt;&gt;d_선택!$B$2),C174,NA())</f>
        <v>#N/A</v>
      </c>
      <c r="H174" t="e">
        <f>IF(AND(D174=1,E174=d_선택!$B$9,A174&lt;&gt;d_선택!$B$2),C174,NA())</f>
        <v>#N/A</v>
      </c>
      <c r="I174" t="e">
        <f>IF(A174=d_선택!$B$2,C174,NA())</f>
        <v>#N/A</v>
      </c>
    </row>
    <row r="175" spans="1:9">
      <c r="A175" t="s">
        <v>301</v>
      </c>
      <c r="B175">
        <v>363.8</v>
      </c>
      <c r="C175">
        <v>464.1</v>
      </c>
      <c r="D175">
        <v>1</v>
      </c>
      <c r="E175" t="s">
        <v>178</v>
      </c>
      <c r="F175" t="e">
        <f t="shared" si="2"/>
        <v>#N/A</v>
      </c>
      <c r="G175">
        <f>IF(AND(D175=1,E175&lt;&gt;d_선택!$B$9,A175&lt;&gt;d_선택!$B$2),C175,NA())</f>
        <v>464.1</v>
      </c>
      <c r="H175" t="e">
        <f>IF(AND(D175=1,E175=d_선택!$B$9,A175&lt;&gt;d_선택!$B$2),C175,NA())</f>
        <v>#N/A</v>
      </c>
      <c r="I175" t="e">
        <f>IF(A175=d_선택!$B$2,C175,NA())</f>
        <v>#N/A</v>
      </c>
    </row>
    <row r="176" spans="1:9">
      <c r="A176" t="s">
        <v>284</v>
      </c>
      <c r="B176">
        <v>202.2</v>
      </c>
      <c r="C176">
        <v>269.5</v>
      </c>
      <c r="D176">
        <v>1</v>
      </c>
      <c r="E176" t="s">
        <v>489</v>
      </c>
      <c r="F176" t="e">
        <f t="shared" si="2"/>
        <v>#N/A</v>
      </c>
      <c r="G176">
        <f>IF(AND(D176=1,E176&lt;&gt;d_선택!$B$9,A176&lt;&gt;d_선택!$B$2),C176,NA())</f>
        <v>269.5</v>
      </c>
      <c r="H176" t="e">
        <f>IF(AND(D176=1,E176=d_선택!$B$9,A176&lt;&gt;d_선택!$B$2),C176,NA())</f>
        <v>#N/A</v>
      </c>
      <c r="I176" t="e">
        <f>IF(A176=d_선택!$B$2,C176,NA())</f>
        <v>#N/A</v>
      </c>
    </row>
    <row r="177" spans="1:9">
      <c r="A177" t="s">
        <v>350</v>
      </c>
      <c r="B177">
        <v>163.19999999999999</v>
      </c>
      <c r="C177">
        <v>37.299999999999997</v>
      </c>
      <c r="D177">
        <v>1</v>
      </c>
      <c r="E177" t="s">
        <v>489</v>
      </c>
      <c r="F177" t="e">
        <f t="shared" si="2"/>
        <v>#N/A</v>
      </c>
      <c r="G177">
        <f>IF(AND(D177=1,E177&lt;&gt;d_선택!$B$9,A177&lt;&gt;d_선택!$B$2),C177,NA())</f>
        <v>37.299999999999997</v>
      </c>
      <c r="H177" t="e">
        <f>IF(AND(D177=1,E177=d_선택!$B$9,A177&lt;&gt;d_선택!$B$2),C177,NA())</f>
        <v>#N/A</v>
      </c>
      <c r="I177" t="e">
        <f>IF(A177=d_선택!$B$2,C177,NA())</f>
        <v>#N/A</v>
      </c>
    </row>
    <row r="178" spans="1:9">
      <c r="A178" t="s">
        <v>309</v>
      </c>
      <c r="B178">
        <v>310.60000000000002</v>
      </c>
      <c r="C178">
        <v>429.7</v>
      </c>
      <c r="D178">
        <v>1</v>
      </c>
      <c r="E178" t="s">
        <v>489</v>
      </c>
      <c r="F178" t="e">
        <f t="shared" si="2"/>
        <v>#N/A</v>
      </c>
      <c r="G178">
        <f>IF(AND(D178=1,E178&lt;&gt;d_선택!$B$9,A178&lt;&gt;d_선택!$B$2),C178,NA())</f>
        <v>429.7</v>
      </c>
      <c r="H178" t="e">
        <f>IF(AND(D178=1,E178=d_선택!$B$9,A178&lt;&gt;d_선택!$B$2),C178,NA())</f>
        <v>#N/A</v>
      </c>
      <c r="I178" t="e">
        <f>IF(A178=d_선택!$B$2,C178,NA())</f>
        <v>#N/A</v>
      </c>
    </row>
    <row r="179" spans="1:9">
      <c r="A179" t="s">
        <v>701</v>
      </c>
      <c r="B179">
        <v>208.4</v>
      </c>
      <c r="C179">
        <v>486.1</v>
      </c>
      <c r="D179">
        <v>0</v>
      </c>
      <c r="F179">
        <f t="shared" si="2"/>
        <v>486.1</v>
      </c>
      <c r="G179" t="e">
        <f>IF(AND(D179=1,E179&lt;&gt;d_선택!$B$9,A179&lt;&gt;d_선택!$B$2),C179,NA())</f>
        <v>#N/A</v>
      </c>
      <c r="H179" t="e">
        <f>IF(AND(D179=1,E179=d_선택!$B$9,A179&lt;&gt;d_선택!$B$2),C179,NA())</f>
        <v>#N/A</v>
      </c>
      <c r="I179" t="e">
        <f>IF(A179=d_선택!$B$2,C179,NA())</f>
        <v>#N/A</v>
      </c>
    </row>
    <row r="180" spans="1:9">
      <c r="A180" t="s">
        <v>702</v>
      </c>
      <c r="B180">
        <v>160.19999999999999</v>
      </c>
      <c r="C180">
        <v>472.1</v>
      </c>
      <c r="D180">
        <v>0</v>
      </c>
      <c r="F180">
        <f t="shared" si="2"/>
        <v>472.1</v>
      </c>
      <c r="G180" t="e">
        <f>IF(AND(D180=1,E180&lt;&gt;d_선택!$B$9,A180&lt;&gt;d_선택!$B$2),C180,NA())</f>
        <v>#N/A</v>
      </c>
      <c r="H180" t="e">
        <f>IF(AND(D180=1,E180=d_선택!$B$9,A180&lt;&gt;d_선택!$B$2),C180,NA())</f>
        <v>#N/A</v>
      </c>
      <c r="I180" t="e">
        <f>IF(A180=d_선택!$B$2,C180,NA())</f>
        <v>#N/A</v>
      </c>
    </row>
    <row r="181" spans="1:9">
      <c r="A181" t="s">
        <v>703</v>
      </c>
      <c r="B181">
        <v>218</v>
      </c>
      <c r="C181">
        <v>486.3</v>
      </c>
      <c r="D181">
        <v>0</v>
      </c>
      <c r="F181">
        <f t="shared" si="2"/>
        <v>486.3</v>
      </c>
      <c r="G181" t="e">
        <f>IF(AND(D181=1,E181&lt;&gt;d_선택!$B$9,A181&lt;&gt;d_선택!$B$2),C181,NA())</f>
        <v>#N/A</v>
      </c>
      <c r="H181" t="e">
        <f>IF(AND(D181=1,E181=d_선택!$B$9,A181&lt;&gt;d_선택!$B$2),C181,NA())</f>
        <v>#N/A</v>
      </c>
      <c r="I181" t="e">
        <f>IF(A181=d_선택!$B$2,C181,NA())</f>
        <v>#N/A</v>
      </c>
    </row>
    <row r="182" spans="1:9">
      <c r="A182" t="s">
        <v>338</v>
      </c>
      <c r="B182">
        <v>263.2</v>
      </c>
      <c r="C182">
        <v>399.1</v>
      </c>
      <c r="D182">
        <v>1</v>
      </c>
      <c r="E182" t="s">
        <v>492</v>
      </c>
      <c r="F182" t="e">
        <f t="shared" si="2"/>
        <v>#N/A</v>
      </c>
      <c r="G182">
        <f>IF(AND(D182=1,E182&lt;&gt;d_선택!$B$9,A182&lt;&gt;d_선택!$B$2),C182,NA())</f>
        <v>399.1</v>
      </c>
      <c r="H182" t="e">
        <f>IF(AND(D182=1,E182=d_선택!$B$9,A182&lt;&gt;d_선택!$B$2),C182,NA())</f>
        <v>#N/A</v>
      </c>
      <c r="I182" t="e">
        <f>IF(A182=d_선택!$B$2,C182,NA())</f>
        <v>#N/A</v>
      </c>
    </row>
    <row r="183" spans="1:9">
      <c r="A183" t="s">
        <v>377</v>
      </c>
      <c r="B183">
        <v>145.9</v>
      </c>
      <c r="C183">
        <v>144.1</v>
      </c>
      <c r="D183">
        <v>1</v>
      </c>
      <c r="E183" t="s">
        <v>178</v>
      </c>
      <c r="F183" t="e">
        <f t="shared" si="2"/>
        <v>#N/A</v>
      </c>
      <c r="G183">
        <f>IF(AND(D183=1,E183&lt;&gt;d_선택!$B$9,A183&lt;&gt;d_선택!$B$2),C183,NA())</f>
        <v>144.1</v>
      </c>
      <c r="H183" t="e">
        <f>IF(AND(D183=1,E183=d_선택!$B$9,A183&lt;&gt;d_선택!$B$2),C183,NA())</f>
        <v>#N/A</v>
      </c>
      <c r="I183" t="e">
        <f>IF(A183=d_선택!$B$2,C183,NA())</f>
        <v>#N/A</v>
      </c>
    </row>
    <row r="184" spans="1:9">
      <c r="A184" t="s">
        <v>252</v>
      </c>
      <c r="B184">
        <v>247.9</v>
      </c>
      <c r="C184">
        <v>295</v>
      </c>
      <c r="D184">
        <v>1</v>
      </c>
      <c r="E184" t="s">
        <v>458</v>
      </c>
      <c r="F184" t="e">
        <f t="shared" si="2"/>
        <v>#N/A</v>
      </c>
      <c r="G184">
        <f>IF(AND(D184=1,E184&lt;&gt;d_선택!$B$9,A184&lt;&gt;d_선택!$B$2),C184,NA())</f>
        <v>295</v>
      </c>
      <c r="H184" t="e">
        <f>IF(AND(D184=1,E184=d_선택!$B$9,A184&lt;&gt;d_선택!$B$2),C184,NA())</f>
        <v>#N/A</v>
      </c>
      <c r="I184" t="e">
        <f>IF(A184=d_선택!$B$2,C184,NA())</f>
        <v>#N/A</v>
      </c>
    </row>
    <row r="185" spans="1:9">
      <c r="A185" t="s">
        <v>378</v>
      </c>
      <c r="B185">
        <v>309.5</v>
      </c>
      <c r="C185">
        <v>225.9</v>
      </c>
      <c r="D185">
        <v>1</v>
      </c>
      <c r="E185" t="s">
        <v>489</v>
      </c>
      <c r="F185" t="e">
        <f t="shared" si="2"/>
        <v>#N/A</v>
      </c>
      <c r="G185">
        <f>IF(AND(D185=1,E185&lt;&gt;d_선택!$B$9,A185&lt;&gt;d_선택!$B$2),C185,NA())</f>
        <v>225.9</v>
      </c>
      <c r="H185" t="e">
        <f>IF(AND(D185=1,E185=d_선택!$B$9,A185&lt;&gt;d_선택!$B$2),C185,NA())</f>
        <v>#N/A</v>
      </c>
      <c r="I185" t="e">
        <f>IF(A185=d_선택!$B$2,C185,NA())</f>
        <v>#N/A</v>
      </c>
    </row>
    <row r="186" spans="1:9">
      <c r="A186" t="s">
        <v>264</v>
      </c>
      <c r="B186">
        <v>249.5</v>
      </c>
      <c r="C186">
        <v>408.6</v>
      </c>
      <c r="D186">
        <v>1</v>
      </c>
      <c r="E186" t="s">
        <v>471</v>
      </c>
      <c r="F186" t="e">
        <f t="shared" si="2"/>
        <v>#N/A</v>
      </c>
      <c r="G186">
        <f>IF(AND(D186=1,E186&lt;&gt;d_선택!$B$9,A186&lt;&gt;d_선택!$B$2),C186,NA())</f>
        <v>408.6</v>
      </c>
      <c r="H186" t="e">
        <f>IF(AND(D186=1,E186=d_선택!$B$9,A186&lt;&gt;d_선택!$B$2),C186,NA())</f>
        <v>#N/A</v>
      </c>
      <c r="I186" t="e">
        <f>IF(A186=d_선택!$B$2,C186,NA())</f>
        <v>#N/A</v>
      </c>
    </row>
    <row r="187" spans="1:9">
      <c r="A187" t="s">
        <v>289</v>
      </c>
      <c r="B187">
        <v>342.2</v>
      </c>
      <c r="C187">
        <v>262</v>
      </c>
      <c r="D187">
        <v>1</v>
      </c>
      <c r="E187" t="s">
        <v>492</v>
      </c>
      <c r="F187" t="e">
        <f t="shared" si="2"/>
        <v>#N/A</v>
      </c>
      <c r="G187">
        <f>IF(AND(D187=1,E187&lt;&gt;d_선택!$B$9,A187&lt;&gt;d_선택!$B$2),C187,NA())</f>
        <v>262</v>
      </c>
      <c r="H187" t="e">
        <f>IF(AND(D187=1,E187=d_선택!$B$9,A187&lt;&gt;d_선택!$B$2),C187,NA())</f>
        <v>#N/A</v>
      </c>
      <c r="I187" t="e">
        <f>IF(A187=d_선택!$B$2,C187,NA())</f>
        <v>#N/A</v>
      </c>
    </row>
    <row r="188" spans="1:9">
      <c r="A188" t="s">
        <v>704</v>
      </c>
      <c r="B188">
        <v>344.8</v>
      </c>
      <c r="C188">
        <v>216.9</v>
      </c>
      <c r="D188">
        <v>0</v>
      </c>
      <c r="F188">
        <f t="shared" si="2"/>
        <v>216.9</v>
      </c>
      <c r="G188" t="e">
        <f>IF(AND(D188=1,E188&lt;&gt;d_선택!$B$9,A188&lt;&gt;d_선택!$B$2),C188,NA())</f>
        <v>#N/A</v>
      </c>
      <c r="H188" t="e">
        <f>IF(AND(D188=1,E188=d_선택!$B$9,A188&lt;&gt;d_선택!$B$2),C188,NA())</f>
        <v>#N/A</v>
      </c>
      <c r="I188" t="e">
        <f>IF(A188=d_선택!$B$2,C188,NA())</f>
        <v>#N/A</v>
      </c>
    </row>
    <row r="189" spans="1:9">
      <c r="A189" t="s">
        <v>705</v>
      </c>
      <c r="B189">
        <v>345.9</v>
      </c>
      <c r="C189">
        <v>230.6</v>
      </c>
      <c r="D189">
        <v>0</v>
      </c>
      <c r="F189">
        <f t="shared" si="2"/>
        <v>230.6</v>
      </c>
      <c r="G189" t="e">
        <f>IF(AND(D189=1,E189&lt;&gt;d_선택!$B$9,A189&lt;&gt;d_선택!$B$2),C189,NA())</f>
        <v>#N/A</v>
      </c>
      <c r="H189" t="e">
        <f>IF(AND(D189=1,E189=d_선택!$B$9,A189&lt;&gt;d_선택!$B$2),C189,NA())</f>
        <v>#N/A</v>
      </c>
      <c r="I189" t="e">
        <f>IF(A189=d_선택!$B$2,C189,NA())</f>
        <v>#N/A</v>
      </c>
    </row>
    <row r="190" spans="1:9">
      <c r="A190" t="s">
        <v>706</v>
      </c>
      <c r="B190">
        <v>354.9</v>
      </c>
      <c r="C190">
        <v>226.5</v>
      </c>
      <c r="D190">
        <v>0</v>
      </c>
      <c r="F190">
        <f t="shared" si="2"/>
        <v>226.5</v>
      </c>
      <c r="G190" t="e">
        <f>IF(AND(D190=1,E190&lt;&gt;d_선택!$B$9,A190&lt;&gt;d_선택!$B$2),C190,NA())</f>
        <v>#N/A</v>
      </c>
      <c r="H190" t="e">
        <f>IF(AND(D190=1,E190=d_선택!$B$9,A190&lt;&gt;d_선택!$B$2),C190,NA())</f>
        <v>#N/A</v>
      </c>
      <c r="I190" t="e">
        <f>IF(A190=d_선택!$B$2,C190,NA())</f>
        <v>#N/A</v>
      </c>
    </row>
    <row r="191" spans="1:9">
      <c r="A191" t="s">
        <v>707</v>
      </c>
      <c r="B191">
        <v>355.9</v>
      </c>
      <c r="C191">
        <v>238.2</v>
      </c>
      <c r="D191">
        <v>0</v>
      </c>
      <c r="F191">
        <f t="shared" si="2"/>
        <v>238.2</v>
      </c>
      <c r="G191" t="e">
        <f>IF(AND(D191=1,E191&lt;&gt;d_선택!$B$9,A191&lt;&gt;d_선택!$B$2),C191,NA())</f>
        <v>#N/A</v>
      </c>
      <c r="H191" t="e">
        <f>IF(AND(D191=1,E191=d_선택!$B$9,A191&lt;&gt;d_선택!$B$2),C191,NA())</f>
        <v>#N/A</v>
      </c>
      <c r="I191" t="e">
        <f>IF(A191=d_선택!$B$2,C191,NA())</f>
        <v>#N/A</v>
      </c>
    </row>
    <row r="192" spans="1:9">
      <c r="A192" t="s">
        <v>708</v>
      </c>
      <c r="B192">
        <v>361</v>
      </c>
      <c r="C192">
        <v>217.5</v>
      </c>
      <c r="D192">
        <v>0</v>
      </c>
      <c r="F192">
        <f t="shared" si="2"/>
        <v>217.5</v>
      </c>
      <c r="G192" t="e">
        <f>IF(AND(D192=1,E192&lt;&gt;d_선택!$B$9,A192&lt;&gt;d_선택!$B$2),C192,NA())</f>
        <v>#N/A</v>
      </c>
      <c r="H192" t="e">
        <f>IF(AND(D192=1,E192=d_선택!$B$9,A192&lt;&gt;d_선택!$B$2),C192,NA())</f>
        <v>#N/A</v>
      </c>
      <c r="I192" t="e">
        <f>IF(A192=d_선택!$B$2,C192,NA())</f>
        <v>#N/A</v>
      </c>
    </row>
    <row r="193" spans="1:9">
      <c r="A193" t="s">
        <v>709</v>
      </c>
      <c r="B193">
        <v>229.4</v>
      </c>
      <c r="C193">
        <v>394.9</v>
      </c>
      <c r="D193">
        <v>0</v>
      </c>
      <c r="F193">
        <f t="shared" si="2"/>
        <v>394.9</v>
      </c>
      <c r="G193" t="e">
        <f>IF(AND(D193=1,E193&lt;&gt;d_선택!$B$9,A193&lt;&gt;d_선택!$B$2),C193,NA())</f>
        <v>#N/A</v>
      </c>
      <c r="H193" t="e">
        <f>IF(AND(D193=1,E193=d_선택!$B$9,A193&lt;&gt;d_선택!$B$2),C193,NA())</f>
        <v>#N/A</v>
      </c>
      <c r="I193" t="e">
        <f>IF(A193=d_선택!$B$2,C193,NA())</f>
        <v>#N/A</v>
      </c>
    </row>
    <row r="194" spans="1:9">
      <c r="A194" t="s">
        <v>710</v>
      </c>
      <c r="B194">
        <v>223.7</v>
      </c>
      <c r="C194">
        <v>409.8</v>
      </c>
      <c r="D194">
        <v>0</v>
      </c>
      <c r="F194">
        <f t="shared" ref="F194:F228" si="3">IF(D194=0,C194,NA())</f>
        <v>409.8</v>
      </c>
      <c r="G194" t="e">
        <f>IF(AND(D194=1,E194&lt;&gt;d_선택!$B$9,A194&lt;&gt;d_선택!$B$2),C194,NA())</f>
        <v>#N/A</v>
      </c>
      <c r="H194" t="e">
        <f>IF(AND(D194=1,E194=d_선택!$B$9,A194&lt;&gt;d_선택!$B$2),C194,NA())</f>
        <v>#N/A</v>
      </c>
      <c r="I194" t="e">
        <f>IF(A194=d_선택!$B$2,C194,NA())</f>
        <v>#N/A</v>
      </c>
    </row>
    <row r="195" spans="1:9">
      <c r="A195" t="s">
        <v>334</v>
      </c>
      <c r="B195">
        <v>247.7</v>
      </c>
      <c r="C195">
        <v>557</v>
      </c>
      <c r="D195">
        <v>1</v>
      </c>
      <c r="E195" t="s">
        <v>489</v>
      </c>
      <c r="F195" t="e">
        <f t="shared" si="3"/>
        <v>#N/A</v>
      </c>
      <c r="G195">
        <f>IF(AND(D195=1,E195&lt;&gt;d_선택!$B$9,A195&lt;&gt;d_선택!$B$2),C195,NA())</f>
        <v>557</v>
      </c>
      <c r="H195" t="e">
        <f>IF(AND(D195=1,E195=d_선택!$B$9,A195&lt;&gt;d_선택!$B$2),C195,NA())</f>
        <v>#N/A</v>
      </c>
      <c r="I195" t="e">
        <f>IF(A195=d_선택!$B$2,C195,NA())</f>
        <v>#N/A</v>
      </c>
    </row>
    <row r="196" spans="1:9">
      <c r="A196" t="s">
        <v>263</v>
      </c>
      <c r="B196">
        <v>367.4</v>
      </c>
      <c r="C196">
        <v>281.10000000000002</v>
      </c>
      <c r="D196">
        <v>1</v>
      </c>
      <c r="E196" t="s">
        <v>458</v>
      </c>
      <c r="F196" t="e">
        <f t="shared" si="3"/>
        <v>#N/A</v>
      </c>
      <c r="G196">
        <f>IF(AND(D196=1,E196&lt;&gt;d_선택!$B$9,A196&lt;&gt;d_선택!$B$2),C196,NA())</f>
        <v>281.10000000000002</v>
      </c>
      <c r="H196" t="e">
        <f>IF(AND(D196=1,E196=d_선택!$B$9,A196&lt;&gt;d_선택!$B$2),C196,NA())</f>
        <v>#N/A</v>
      </c>
      <c r="I196" t="e">
        <f>IF(A196=d_선택!$B$2,C196,NA())</f>
        <v>#N/A</v>
      </c>
    </row>
    <row r="197" spans="1:9">
      <c r="A197" t="s">
        <v>360</v>
      </c>
      <c r="B197">
        <v>388.5</v>
      </c>
      <c r="C197">
        <v>353</v>
      </c>
      <c r="D197">
        <v>1</v>
      </c>
      <c r="E197" t="s">
        <v>487</v>
      </c>
      <c r="F197" t="e">
        <f t="shared" si="3"/>
        <v>#N/A</v>
      </c>
      <c r="G197">
        <f>IF(AND(D197=1,E197&lt;&gt;d_선택!$B$9,A197&lt;&gt;d_선택!$B$2),C197,NA())</f>
        <v>353</v>
      </c>
      <c r="H197" t="e">
        <f>IF(AND(D197=1,E197=d_선택!$B$9,A197&lt;&gt;d_선택!$B$2),C197,NA())</f>
        <v>#N/A</v>
      </c>
      <c r="I197" t="e">
        <f>IF(A197=d_선택!$B$2,C197,NA())</f>
        <v>#N/A</v>
      </c>
    </row>
    <row r="198" spans="1:9">
      <c r="A198" t="s">
        <v>355</v>
      </c>
      <c r="B198">
        <v>197.8</v>
      </c>
      <c r="C198">
        <v>359.4</v>
      </c>
      <c r="D198">
        <v>1</v>
      </c>
      <c r="E198" t="s">
        <v>489</v>
      </c>
      <c r="F198" t="e">
        <f t="shared" si="3"/>
        <v>#N/A</v>
      </c>
      <c r="G198">
        <f>IF(AND(D198=1,E198&lt;&gt;d_선택!$B$9,A198&lt;&gt;d_선택!$B$2),C198,NA())</f>
        <v>359.4</v>
      </c>
      <c r="H198" t="e">
        <f>IF(AND(D198=1,E198=d_선택!$B$9,A198&lt;&gt;d_선택!$B$2),C198,NA())</f>
        <v>#N/A</v>
      </c>
      <c r="I198" t="e">
        <f>IF(A198=d_선택!$B$2,C198,NA())</f>
        <v>#N/A</v>
      </c>
    </row>
    <row r="199" spans="1:9">
      <c r="A199" t="s">
        <v>711</v>
      </c>
      <c r="B199">
        <v>261</v>
      </c>
      <c r="C199">
        <v>376.4</v>
      </c>
      <c r="D199">
        <v>0</v>
      </c>
      <c r="F199">
        <f t="shared" si="3"/>
        <v>376.4</v>
      </c>
      <c r="G199" t="e">
        <f>IF(AND(D199=1,E199&lt;&gt;d_선택!$B$9,A199&lt;&gt;d_선택!$B$2),C199,NA())</f>
        <v>#N/A</v>
      </c>
      <c r="H199" t="e">
        <f>IF(AND(D199=1,E199=d_선택!$B$9,A199&lt;&gt;d_선택!$B$2),C199,NA())</f>
        <v>#N/A</v>
      </c>
      <c r="I199" t="e">
        <f>IF(A199=d_선택!$B$2,C199,NA())</f>
        <v>#N/A</v>
      </c>
    </row>
    <row r="200" spans="1:9">
      <c r="A200" t="s">
        <v>712</v>
      </c>
      <c r="B200">
        <v>248.7</v>
      </c>
      <c r="C200">
        <v>374.4</v>
      </c>
      <c r="D200">
        <v>0</v>
      </c>
      <c r="F200">
        <f t="shared" si="3"/>
        <v>374.4</v>
      </c>
      <c r="G200" t="e">
        <f>IF(AND(D200=1,E200&lt;&gt;d_선택!$B$9,A200&lt;&gt;d_선택!$B$2),C200,NA())</f>
        <v>#N/A</v>
      </c>
      <c r="H200" t="e">
        <f>IF(AND(D200=1,E200=d_선택!$B$9,A200&lt;&gt;d_선택!$B$2),C200,NA())</f>
        <v>#N/A</v>
      </c>
      <c r="I200" t="e">
        <f>IF(A200=d_선택!$B$2,C200,NA())</f>
        <v>#N/A</v>
      </c>
    </row>
    <row r="201" spans="1:9">
      <c r="A201" t="s">
        <v>713</v>
      </c>
      <c r="B201">
        <v>249.6</v>
      </c>
      <c r="C201">
        <v>392.1</v>
      </c>
      <c r="D201">
        <v>0</v>
      </c>
      <c r="F201">
        <f t="shared" si="3"/>
        <v>392.1</v>
      </c>
      <c r="G201" t="e">
        <f>IF(AND(D201=1,E201&lt;&gt;d_선택!$B$9,A201&lt;&gt;d_선택!$B$2),C201,NA())</f>
        <v>#N/A</v>
      </c>
      <c r="H201" t="e">
        <f>IF(AND(D201=1,E201=d_선택!$B$9,A201&lt;&gt;d_선택!$B$2),C201,NA())</f>
        <v>#N/A</v>
      </c>
      <c r="I201" t="e">
        <f>IF(A201=d_선택!$B$2,C201,NA())</f>
        <v>#N/A</v>
      </c>
    </row>
    <row r="202" spans="1:9">
      <c r="A202" t="s">
        <v>714</v>
      </c>
      <c r="B202">
        <v>242.9</v>
      </c>
      <c r="C202">
        <v>384.1</v>
      </c>
      <c r="D202">
        <v>0</v>
      </c>
      <c r="F202">
        <f t="shared" si="3"/>
        <v>384.1</v>
      </c>
      <c r="G202" t="e">
        <f>IF(AND(D202=1,E202&lt;&gt;d_선택!$B$9,A202&lt;&gt;d_선택!$B$2),C202,NA())</f>
        <v>#N/A</v>
      </c>
      <c r="H202" t="e">
        <f>IF(AND(D202=1,E202=d_선택!$B$9,A202&lt;&gt;d_선택!$B$2),C202,NA())</f>
        <v>#N/A</v>
      </c>
      <c r="I202" t="e">
        <f>IF(A202=d_선택!$B$2,C202,NA())</f>
        <v>#N/A</v>
      </c>
    </row>
    <row r="203" spans="1:9">
      <c r="A203" t="s">
        <v>369</v>
      </c>
      <c r="B203">
        <v>275.60000000000002</v>
      </c>
      <c r="C203">
        <v>518.20000000000005</v>
      </c>
      <c r="D203">
        <v>1</v>
      </c>
      <c r="E203" t="s">
        <v>178</v>
      </c>
      <c r="F203" t="e">
        <f t="shared" si="3"/>
        <v>#N/A</v>
      </c>
      <c r="G203">
        <f>IF(AND(D203=1,E203&lt;&gt;d_선택!$B$9,A203&lt;&gt;d_선택!$B$2),C203,NA())</f>
        <v>518.20000000000005</v>
      </c>
      <c r="H203" t="e">
        <f>IF(AND(D203=1,E203=d_선택!$B$9,A203&lt;&gt;d_선택!$B$2),C203,NA())</f>
        <v>#N/A</v>
      </c>
      <c r="I203" t="e">
        <f>IF(A203=d_선택!$B$2,C203,NA())</f>
        <v>#N/A</v>
      </c>
    </row>
    <row r="204" spans="1:9">
      <c r="A204" t="s">
        <v>305</v>
      </c>
      <c r="B204">
        <v>288.39999999999998</v>
      </c>
      <c r="C204">
        <v>422.3</v>
      </c>
      <c r="D204">
        <v>1</v>
      </c>
      <c r="E204" t="s">
        <v>489</v>
      </c>
      <c r="F204" t="e">
        <f t="shared" si="3"/>
        <v>#N/A</v>
      </c>
      <c r="G204">
        <f>IF(AND(D204=1,E204&lt;&gt;d_선택!$B$9,A204&lt;&gt;d_선택!$B$2),C204,NA())</f>
        <v>422.3</v>
      </c>
      <c r="H204" t="e">
        <f>IF(AND(D204=1,E204=d_선택!$B$9,A204&lt;&gt;d_선택!$B$2),C204,NA())</f>
        <v>#N/A</v>
      </c>
      <c r="I204" t="e">
        <f>IF(A204=d_선택!$B$2,C204,NA())</f>
        <v>#N/A</v>
      </c>
    </row>
    <row r="205" spans="1:9">
      <c r="A205" t="s">
        <v>326</v>
      </c>
      <c r="B205">
        <v>337.7</v>
      </c>
      <c r="C205">
        <v>314.8</v>
      </c>
      <c r="D205">
        <v>1</v>
      </c>
      <c r="E205" t="s">
        <v>492</v>
      </c>
      <c r="F205" t="e">
        <f t="shared" si="3"/>
        <v>#N/A</v>
      </c>
      <c r="G205">
        <f>IF(AND(D205=1,E205&lt;&gt;d_선택!$B$9,A205&lt;&gt;d_선택!$B$2),C205,NA())</f>
        <v>314.8</v>
      </c>
      <c r="H205" t="e">
        <f>IF(AND(D205=1,E205=d_선택!$B$9,A205&lt;&gt;d_선택!$B$2),C205,NA())</f>
        <v>#N/A</v>
      </c>
      <c r="I205" t="e">
        <f>IF(A205=d_선택!$B$2,C205,NA())</f>
        <v>#N/A</v>
      </c>
    </row>
    <row r="206" spans="1:9">
      <c r="A206" t="s">
        <v>308</v>
      </c>
      <c r="B206">
        <v>383</v>
      </c>
      <c r="C206">
        <v>441.3</v>
      </c>
      <c r="D206">
        <v>1</v>
      </c>
      <c r="E206" t="s">
        <v>489</v>
      </c>
      <c r="F206" t="e">
        <f t="shared" si="3"/>
        <v>#N/A</v>
      </c>
      <c r="G206">
        <f>IF(AND(D206=1,E206&lt;&gt;d_선택!$B$9,A206&lt;&gt;d_선택!$B$2),C206,NA())</f>
        <v>441.3</v>
      </c>
      <c r="H206" t="e">
        <f>IF(AND(D206=1,E206=d_선택!$B$9,A206&lt;&gt;d_선택!$B$2),C206,NA())</f>
        <v>#N/A</v>
      </c>
      <c r="I206" t="e">
        <f>IF(A206=d_선택!$B$2,C206,NA())</f>
        <v>#N/A</v>
      </c>
    </row>
    <row r="207" spans="1:9">
      <c r="A207" t="s">
        <v>291</v>
      </c>
      <c r="B207">
        <v>140.30000000000001</v>
      </c>
      <c r="C207">
        <v>396.7</v>
      </c>
      <c r="D207">
        <v>1</v>
      </c>
      <c r="E207" t="s">
        <v>178</v>
      </c>
      <c r="F207" t="e">
        <f t="shared" si="3"/>
        <v>#N/A</v>
      </c>
      <c r="G207">
        <f>IF(AND(D207=1,E207&lt;&gt;d_선택!$B$9,A207&lt;&gt;d_선택!$B$2),C207,NA())</f>
        <v>396.7</v>
      </c>
      <c r="H207" t="e">
        <f>IF(AND(D207=1,E207=d_선택!$B$9,A207&lt;&gt;d_선택!$B$2),C207,NA())</f>
        <v>#N/A</v>
      </c>
      <c r="I207" t="e">
        <f>IF(A207=d_선택!$B$2,C207,NA())</f>
        <v>#N/A</v>
      </c>
    </row>
    <row r="208" spans="1:9">
      <c r="A208" t="s">
        <v>346</v>
      </c>
      <c r="B208">
        <v>332.2</v>
      </c>
      <c r="C208">
        <v>192.8</v>
      </c>
      <c r="D208">
        <v>1</v>
      </c>
      <c r="E208" t="s">
        <v>178</v>
      </c>
      <c r="F208" t="e">
        <f t="shared" si="3"/>
        <v>#N/A</v>
      </c>
      <c r="G208">
        <f>IF(AND(D208=1,E208&lt;&gt;d_선택!$B$9,A208&lt;&gt;d_선택!$B$2),C208,NA())</f>
        <v>192.8</v>
      </c>
      <c r="H208" t="e">
        <f>IF(AND(D208=1,E208=d_선택!$B$9,A208&lt;&gt;d_선택!$B$2),C208,NA())</f>
        <v>#N/A</v>
      </c>
      <c r="I208" t="e">
        <f>IF(A208=d_선택!$B$2,C208,NA())</f>
        <v>#N/A</v>
      </c>
    </row>
    <row r="209" spans="1:9">
      <c r="A209" t="s">
        <v>319</v>
      </c>
      <c r="B209">
        <v>193.7</v>
      </c>
      <c r="C209">
        <v>516</v>
      </c>
      <c r="D209">
        <v>1</v>
      </c>
      <c r="E209" t="s">
        <v>489</v>
      </c>
      <c r="F209" t="e">
        <f t="shared" si="3"/>
        <v>#N/A</v>
      </c>
      <c r="G209">
        <f>IF(AND(D209=1,E209&lt;&gt;d_선택!$B$9,A209&lt;&gt;d_선택!$B$2),C209,NA())</f>
        <v>516</v>
      </c>
      <c r="H209" t="e">
        <f>IF(AND(D209=1,E209=d_선택!$B$9,A209&lt;&gt;d_선택!$B$2),C209,NA())</f>
        <v>#N/A</v>
      </c>
      <c r="I209" t="e">
        <f>IF(A209=d_선택!$B$2,C209,NA())</f>
        <v>#N/A</v>
      </c>
    </row>
    <row r="210" spans="1:9">
      <c r="A210" t="s">
        <v>375</v>
      </c>
      <c r="B210">
        <v>341.1</v>
      </c>
      <c r="C210">
        <v>479.9</v>
      </c>
      <c r="D210">
        <v>1</v>
      </c>
      <c r="E210" t="s">
        <v>178</v>
      </c>
      <c r="F210" t="e">
        <f t="shared" si="3"/>
        <v>#N/A</v>
      </c>
      <c r="G210">
        <f>IF(AND(D210=1,E210&lt;&gt;d_선택!$B$9,A210&lt;&gt;d_선택!$B$2),C210,NA())</f>
        <v>479.9</v>
      </c>
      <c r="H210" t="e">
        <f>IF(AND(D210=1,E210=d_선택!$B$9,A210&lt;&gt;d_선택!$B$2),C210,NA())</f>
        <v>#N/A</v>
      </c>
      <c r="I210" t="e">
        <f>IF(A210=d_선택!$B$2,C210,NA())</f>
        <v>#N/A</v>
      </c>
    </row>
    <row r="211" spans="1:9">
      <c r="A211" t="s">
        <v>261</v>
      </c>
      <c r="B211">
        <v>209.6</v>
      </c>
      <c r="C211">
        <v>425.9</v>
      </c>
      <c r="D211">
        <v>1</v>
      </c>
      <c r="E211" t="s">
        <v>471</v>
      </c>
      <c r="F211" t="e">
        <f t="shared" si="3"/>
        <v>#N/A</v>
      </c>
      <c r="G211">
        <f>IF(AND(D211=1,E211&lt;&gt;d_선택!$B$9,A211&lt;&gt;d_선택!$B$2),C211,NA())</f>
        <v>425.9</v>
      </c>
      <c r="H211" t="e">
        <f>IF(AND(D211=1,E211=d_선택!$B$9,A211&lt;&gt;d_선택!$B$2),C211,NA())</f>
        <v>#N/A</v>
      </c>
      <c r="I211" t="e">
        <f>IF(A211=d_선택!$B$2,C211,NA())</f>
        <v>#N/A</v>
      </c>
    </row>
    <row r="212" spans="1:9">
      <c r="A212" t="s">
        <v>354</v>
      </c>
      <c r="B212">
        <v>231.1</v>
      </c>
      <c r="C212">
        <v>528.1</v>
      </c>
      <c r="D212">
        <v>1</v>
      </c>
      <c r="E212" t="s">
        <v>487</v>
      </c>
      <c r="F212" t="e">
        <f t="shared" si="3"/>
        <v>#N/A</v>
      </c>
      <c r="G212">
        <f>IF(AND(D212=1,E212&lt;&gt;d_선택!$B$9,A212&lt;&gt;d_선택!$B$2),C212,NA())</f>
        <v>528.1</v>
      </c>
      <c r="H212" t="e">
        <f>IF(AND(D212=1,E212=d_선택!$B$9,A212&lt;&gt;d_선택!$B$2),C212,NA())</f>
        <v>#N/A</v>
      </c>
      <c r="I212" t="e">
        <f>IF(A212=d_선택!$B$2,C212,NA())</f>
        <v>#N/A</v>
      </c>
    </row>
    <row r="213" spans="1:9">
      <c r="A213" t="s">
        <v>715</v>
      </c>
      <c r="B213">
        <v>428.4</v>
      </c>
      <c r="C213">
        <v>310.39999999999998</v>
      </c>
      <c r="D213">
        <v>0</v>
      </c>
      <c r="F213">
        <f t="shared" si="3"/>
        <v>310.39999999999998</v>
      </c>
      <c r="G213" t="e">
        <f>IF(AND(D213=1,E213&lt;&gt;d_선택!$B$9,A213&lt;&gt;d_선택!$B$2),C213,NA())</f>
        <v>#N/A</v>
      </c>
      <c r="H213" t="e">
        <f>IF(AND(D213=1,E213=d_선택!$B$9,A213&lt;&gt;d_선택!$B$2),C213,NA())</f>
        <v>#N/A</v>
      </c>
      <c r="I213" t="e">
        <f>IF(A213=d_선택!$B$2,C213,NA())</f>
        <v>#N/A</v>
      </c>
    </row>
    <row r="214" spans="1:9">
      <c r="A214" t="s">
        <v>716</v>
      </c>
      <c r="B214">
        <v>408.5</v>
      </c>
      <c r="C214">
        <v>330.1</v>
      </c>
      <c r="D214">
        <v>0</v>
      </c>
      <c r="F214">
        <f t="shared" si="3"/>
        <v>330.1</v>
      </c>
      <c r="G214" t="e">
        <f>IF(AND(D214=1,E214&lt;&gt;d_선택!$B$9,A214&lt;&gt;d_선택!$B$2),C214,NA())</f>
        <v>#N/A</v>
      </c>
      <c r="H214" t="e">
        <f>IF(AND(D214=1,E214=d_선택!$B$9,A214&lt;&gt;d_선택!$B$2),C214,NA())</f>
        <v>#N/A</v>
      </c>
      <c r="I214" t="e">
        <f>IF(A214=d_선택!$B$2,C214,NA())</f>
        <v>#N/A</v>
      </c>
    </row>
    <row r="215" spans="1:9">
      <c r="A215" t="s">
        <v>280</v>
      </c>
      <c r="B215">
        <v>227.1</v>
      </c>
      <c r="C215">
        <v>477.9</v>
      </c>
      <c r="D215">
        <v>1</v>
      </c>
      <c r="E215" t="s">
        <v>471</v>
      </c>
      <c r="F215" t="e">
        <f t="shared" si="3"/>
        <v>#N/A</v>
      </c>
      <c r="G215">
        <f>IF(AND(D215=1,E215&lt;&gt;d_선택!$B$9,A215&lt;&gt;d_선택!$B$2),C215,NA())</f>
        <v>477.9</v>
      </c>
      <c r="H215" t="e">
        <f>IF(AND(D215=1,E215=d_선택!$B$9,A215&lt;&gt;d_선택!$B$2),C215,NA())</f>
        <v>#N/A</v>
      </c>
      <c r="I215" t="e">
        <f>IF(A215=d_선택!$B$2,C215,NA())</f>
        <v>#N/A</v>
      </c>
    </row>
    <row r="216" spans="1:9">
      <c r="A216" t="s">
        <v>321</v>
      </c>
      <c r="B216">
        <v>282.2</v>
      </c>
      <c r="C216">
        <v>213</v>
      </c>
      <c r="D216">
        <v>1</v>
      </c>
      <c r="E216" t="s">
        <v>463</v>
      </c>
      <c r="F216" t="e">
        <f t="shared" si="3"/>
        <v>#N/A</v>
      </c>
      <c r="G216">
        <f>IF(AND(D216=1,E216&lt;&gt;d_선택!$B$9,A216&lt;&gt;d_선택!$B$2),C216,NA())</f>
        <v>213</v>
      </c>
      <c r="H216" t="e">
        <f>IF(AND(D216=1,E216=d_선택!$B$9,A216&lt;&gt;d_선택!$B$2),C216,NA())</f>
        <v>#N/A</v>
      </c>
      <c r="I216" t="e">
        <f>IF(A216=d_선택!$B$2,C216,NA())</f>
        <v>#N/A</v>
      </c>
    </row>
    <row r="217" spans="1:9">
      <c r="A217" t="s">
        <v>351</v>
      </c>
      <c r="B217">
        <v>335.5</v>
      </c>
      <c r="C217">
        <v>236.5</v>
      </c>
      <c r="D217">
        <v>1</v>
      </c>
      <c r="E217" t="s">
        <v>463</v>
      </c>
      <c r="F217" t="e">
        <f t="shared" si="3"/>
        <v>#N/A</v>
      </c>
      <c r="G217">
        <f>IF(AND(D217=1,E217&lt;&gt;d_선택!$B$9,A217&lt;&gt;d_선택!$B$2),C217,NA())</f>
        <v>236.5</v>
      </c>
      <c r="H217" t="e">
        <f>IF(AND(D217=1,E217=d_선택!$B$9,A217&lt;&gt;d_선택!$B$2),C217,NA())</f>
        <v>#N/A</v>
      </c>
      <c r="I217" t="e">
        <f>IF(A217=d_선택!$B$2,C217,NA())</f>
        <v>#N/A</v>
      </c>
    </row>
    <row r="218" spans="1:9">
      <c r="A218" t="s">
        <v>332</v>
      </c>
      <c r="B218">
        <v>273.2</v>
      </c>
      <c r="C218">
        <v>264.7</v>
      </c>
      <c r="D218">
        <v>1</v>
      </c>
      <c r="E218" t="s">
        <v>487</v>
      </c>
      <c r="F218" t="e">
        <f t="shared" si="3"/>
        <v>#N/A</v>
      </c>
      <c r="G218">
        <f>IF(AND(D218=1,E218&lt;&gt;d_선택!$B$9,A218&lt;&gt;d_선택!$B$2),C218,NA())</f>
        <v>264.7</v>
      </c>
      <c r="H218" t="e">
        <f>IF(AND(D218=1,E218=d_선택!$B$9,A218&lt;&gt;d_선택!$B$2),C218,NA())</f>
        <v>#N/A</v>
      </c>
      <c r="I218" t="e">
        <f>IF(A218=d_선택!$B$2,C218,NA())</f>
        <v>#N/A</v>
      </c>
    </row>
    <row r="219" spans="1:9">
      <c r="A219" t="s">
        <v>302</v>
      </c>
      <c r="B219">
        <v>169.6</v>
      </c>
      <c r="C219">
        <v>216.3</v>
      </c>
      <c r="D219">
        <v>1</v>
      </c>
      <c r="E219" t="s">
        <v>463</v>
      </c>
      <c r="F219" t="e">
        <f t="shared" si="3"/>
        <v>#N/A</v>
      </c>
      <c r="G219">
        <f>IF(AND(D219=1,E219&lt;&gt;d_선택!$B$9,A219&lt;&gt;d_선택!$B$2),C219,NA())</f>
        <v>216.3</v>
      </c>
      <c r="H219" t="e">
        <f>IF(AND(D219=1,E219=d_선택!$B$9,A219&lt;&gt;d_선택!$B$2),C219,NA())</f>
        <v>#N/A</v>
      </c>
      <c r="I219" t="e">
        <f>IF(A219=d_선택!$B$2,C219,NA())</f>
        <v>#N/A</v>
      </c>
    </row>
    <row r="220" spans="1:9">
      <c r="A220" t="s">
        <v>293</v>
      </c>
      <c r="B220">
        <v>311.10000000000002</v>
      </c>
      <c r="C220">
        <v>268.89999999999998</v>
      </c>
      <c r="D220">
        <v>1</v>
      </c>
      <c r="E220" t="s">
        <v>463</v>
      </c>
      <c r="F220" t="e">
        <f t="shared" si="3"/>
        <v>#N/A</v>
      </c>
      <c r="G220">
        <f>IF(AND(D220=1,E220&lt;&gt;d_선택!$B$9,A220&lt;&gt;d_선택!$B$2),C220,NA())</f>
        <v>268.89999999999998</v>
      </c>
      <c r="H220" t="e">
        <f>IF(AND(D220=1,E220=d_선택!$B$9,A220&lt;&gt;d_선택!$B$2),C220,NA())</f>
        <v>#N/A</v>
      </c>
      <c r="I220" t="e">
        <f>IF(A220=d_선택!$B$2,C220,NA())</f>
        <v>#N/A</v>
      </c>
    </row>
    <row r="221" spans="1:9">
      <c r="A221" t="s">
        <v>374</v>
      </c>
      <c r="B221">
        <v>163.19999999999999</v>
      </c>
      <c r="C221">
        <v>151.9</v>
      </c>
      <c r="D221">
        <v>1</v>
      </c>
      <c r="E221" t="s">
        <v>489</v>
      </c>
      <c r="F221" t="e">
        <f t="shared" si="3"/>
        <v>#N/A</v>
      </c>
      <c r="G221">
        <f>IF(AND(D221=1,E221&lt;&gt;d_선택!$B$9,A221&lt;&gt;d_선택!$B$2),C221,NA())</f>
        <v>151.9</v>
      </c>
      <c r="H221" t="e">
        <f>IF(AND(D221=1,E221=d_선택!$B$9,A221&lt;&gt;d_선택!$B$2),C221,NA())</f>
        <v>#N/A</v>
      </c>
      <c r="I221" t="e">
        <f>IF(A221=d_선택!$B$2,C221,NA())</f>
        <v>#N/A</v>
      </c>
    </row>
    <row r="222" spans="1:9">
      <c r="A222" t="s">
        <v>717</v>
      </c>
      <c r="B222">
        <v>399.8</v>
      </c>
      <c r="C222">
        <v>225</v>
      </c>
      <c r="D222">
        <v>0</v>
      </c>
      <c r="F222">
        <f t="shared" si="3"/>
        <v>225</v>
      </c>
      <c r="G222" t="e">
        <f>IF(AND(D222=1,E222&lt;&gt;d_선택!$B$9,A222&lt;&gt;d_선택!$B$2),C222,NA())</f>
        <v>#N/A</v>
      </c>
      <c r="H222" t="e">
        <f>IF(AND(D222=1,E222=d_선택!$B$9,A222&lt;&gt;d_선택!$B$2),C222,NA())</f>
        <v>#N/A</v>
      </c>
      <c r="I222" t="e">
        <f>IF(A222=d_선택!$B$2,C222,NA())</f>
        <v>#N/A</v>
      </c>
    </row>
    <row r="223" spans="1:9">
      <c r="A223" t="s">
        <v>300</v>
      </c>
      <c r="B223">
        <v>176.3</v>
      </c>
      <c r="C223">
        <v>374.5</v>
      </c>
      <c r="D223">
        <v>1</v>
      </c>
      <c r="E223" t="s">
        <v>489</v>
      </c>
      <c r="F223" t="e">
        <f t="shared" si="3"/>
        <v>#N/A</v>
      </c>
      <c r="G223">
        <f>IF(AND(D223=1,E223&lt;&gt;d_선택!$B$9,A223&lt;&gt;d_선택!$B$2),C223,NA())</f>
        <v>374.5</v>
      </c>
      <c r="H223" t="e">
        <f>IF(AND(D223=1,E223=d_선택!$B$9,A223&lt;&gt;d_선택!$B$2),C223,NA())</f>
        <v>#N/A</v>
      </c>
      <c r="I223" t="e">
        <f>IF(A223=d_선택!$B$2,C223,NA())</f>
        <v>#N/A</v>
      </c>
    </row>
    <row r="224" spans="1:9">
      <c r="A224" t="s">
        <v>372</v>
      </c>
      <c r="B224">
        <v>300</v>
      </c>
      <c r="C224">
        <v>502.3</v>
      </c>
      <c r="D224">
        <v>1</v>
      </c>
      <c r="E224" t="s">
        <v>178</v>
      </c>
      <c r="F224" t="e">
        <f t="shared" si="3"/>
        <v>#N/A</v>
      </c>
      <c r="G224">
        <f>IF(AND(D224=1,E224&lt;&gt;d_선택!$B$9,A224&lt;&gt;d_선택!$B$2),C224,NA())</f>
        <v>502.3</v>
      </c>
      <c r="H224" t="e">
        <f>IF(AND(D224=1,E224=d_선택!$B$9,A224&lt;&gt;d_선택!$B$2),C224,NA())</f>
        <v>#N/A</v>
      </c>
      <c r="I224" t="e">
        <f>IF(A224=d_선택!$B$2,C224,NA())</f>
        <v>#N/A</v>
      </c>
    </row>
    <row r="225" spans="1:9">
      <c r="A225" t="s">
        <v>393</v>
      </c>
      <c r="B225">
        <v>199.2</v>
      </c>
      <c r="C225">
        <v>442.5</v>
      </c>
      <c r="D225">
        <v>1</v>
      </c>
      <c r="E225" t="s">
        <v>471</v>
      </c>
      <c r="F225" t="e">
        <f t="shared" si="3"/>
        <v>#N/A</v>
      </c>
      <c r="G225">
        <f>IF(AND(D225=1,E225&lt;&gt;d_선택!$B$9,A225&lt;&gt;d_선택!$B$2),C225,NA())</f>
        <v>442.5</v>
      </c>
      <c r="H225" t="e">
        <f>IF(AND(D225=1,E225=d_선택!$B$9,A225&lt;&gt;d_선택!$B$2),C225,NA())</f>
        <v>#N/A</v>
      </c>
      <c r="I225" t="e">
        <f>IF(A225=d_선택!$B$2,C225,NA())</f>
        <v>#N/A</v>
      </c>
    </row>
    <row r="226" spans="1:9">
      <c r="A226" t="s">
        <v>279</v>
      </c>
      <c r="B226">
        <v>211.7</v>
      </c>
      <c r="C226">
        <v>205.8</v>
      </c>
      <c r="D226">
        <v>1</v>
      </c>
      <c r="E226" t="s">
        <v>458</v>
      </c>
      <c r="F226" t="e">
        <f t="shared" si="3"/>
        <v>#N/A</v>
      </c>
      <c r="G226">
        <f>IF(AND(D226=1,E226&lt;&gt;d_선택!$B$9,A226&lt;&gt;d_선택!$B$2),C226,NA())</f>
        <v>205.8</v>
      </c>
      <c r="H226" t="e">
        <f>IF(AND(D226=1,E226=d_선택!$B$9,A226&lt;&gt;d_선택!$B$2),C226,NA())</f>
        <v>#N/A</v>
      </c>
      <c r="I226" t="e">
        <f>IF(A226=d_선택!$B$2,C226,NA())</f>
        <v>#N/A</v>
      </c>
    </row>
    <row r="227" spans="1:9">
      <c r="A227" t="s">
        <v>313</v>
      </c>
      <c r="B227">
        <v>269.89999999999998</v>
      </c>
      <c r="C227">
        <v>543.79999999999995</v>
      </c>
      <c r="D227">
        <v>1</v>
      </c>
      <c r="E227" t="s">
        <v>489</v>
      </c>
      <c r="F227" t="e">
        <f t="shared" si="3"/>
        <v>#N/A</v>
      </c>
      <c r="G227">
        <f>IF(AND(D227=1,E227&lt;&gt;d_선택!$B$9,A227&lt;&gt;d_선택!$B$2),C227,NA())</f>
        <v>543.79999999999995</v>
      </c>
      <c r="H227" t="e">
        <f>IF(AND(D227=1,E227=d_선택!$B$9,A227&lt;&gt;d_선택!$B$2),C227,NA())</f>
        <v>#N/A</v>
      </c>
      <c r="I227" t="e">
        <f>IF(A227=d_선택!$B$2,C227,NA())</f>
        <v>#N/A</v>
      </c>
    </row>
    <row r="228" spans="1:9">
      <c r="A228" t="s">
        <v>273</v>
      </c>
      <c r="B228">
        <v>301</v>
      </c>
      <c r="C228">
        <v>474.6</v>
      </c>
      <c r="D228">
        <v>1</v>
      </c>
      <c r="E228" t="s">
        <v>471</v>
      </c>
      <c r="F228" t="e">
        <f t="shared" si="3"/>
        <v>#N/A</v>
      </c>
      <c r="G228">
        <f>IF(AND(D228=1,E228&lt;&gt;d_선택!$B$9,A228&lt;&gt;d_선택!$B$2),C228,NA())</f>
        <v>474.6</v>
      </c>
      <c r="H228" t="e">
        <f>IF(AND(D228=1,E228=d_선택!$B$9,A228&lt;&gt;d_선택!$B$2),C228,NA())</f>
        <v>#N/A</v>
      </c>
      <c r="I228" t="e">
        <f>IF(A228=d_선택!$B$2,C228,NA())</f>
        <v>#N/A</v>
      </c>
    </row>
  </sheetData>
  <phoneticPr fontId="4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17</vt:i4>
      </vt:variant>
      <vt:variant>
        <vt:lpstr>이름 지정된 범위</vt:lpstr>
      </vt:variant>
      <vt:variant>
        <vt:i4>6</vt:i4>
      </vt:variant>
    </vt:vector>
  </HeadingPairs>
  <TitlesOfParts>
    <vt:vector size="23" baseType="lpstr">
      <vt:lpstr>한눈에</vt:lpstr>
      <vt:lpstr>1 문제</vt:lpstr>
      <vt:lpstr>2 해법</vt:lpstr>
      <vt:lpstr>3 기대효과</vt:lpstr>
      <vt:lpstr>4 시·군 진단</vt:lpstr>
      <vt:lpstr>출처</vt:lpstr>
      <vt:lpstr>d_시군</vt:lpstr>
      <vt:lpstr>d_문제</vt:lpstr>
      <vt:lpstr>d_시나리오</vt:lpstr>
      <vt:lpstr>d_순위</vt:lpstr>
      <vt:lpstr>d_자</vt:lpstr>
      <vt:lpstr>d_진단</vt:lpstr>
      <vt:lpstr>d_목록</vt:lpstr>
      <vt:lpstr>d_선택</vt:lpstr>
      <vt:lpstr>d_유형</vt:lpstr>
      <vt:lpstr>d_경계</vt:lpstr>
      <vt:lpstr>d_지도</vt:lpstr>
      <vt:lpstr>'1 문제'!Print_Area</vt:lpstr>
      <vt:lpstr>'2 해법'!Print_Area</vt:lpstr>
      <vt:lpstr>'3 기대효과'!Print_Area</vt:lpstr>
      <vt:lpstr>'4 시·군 진단'!Print_Area</vt:lpstr>
      <vt:lpstr>출처!Print_Area</vt:lpstr>
      <vt:lpstr>한눈에!Print_Area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고윤서</cp:lastModifiedBy>
  <dcterms:created xsi:type="dcterms:W3CDTF">2026-09-28T13:43:56Z</dcterms:created>
  <dcterms:modified xsi:type="dcterms:W3CDTF">2026-09-28T13:44:22Z</dcterms:modified>
</cp:coreProperties>
</file>