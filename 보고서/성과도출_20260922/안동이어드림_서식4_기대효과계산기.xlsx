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법" sheetId="1" state="visible" r:id="rId3"/>
    <sheet name="입력" sheetId="2" state="visible" r:id="rId4"/>
    <sheet name="기대효과" sheetId="3" state="visible" r:id="rId5"/>
    <sheet name="서식4_초안" sheetId="4" state="visible" r:id="rId6"/>
    <sheet name="사용데이터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<sst xmlns="http://schemas.openxmlformats.org/spreadsheetml/2006/main" count="312" uniqueCount="249">
  <si>
    <t xml:space="preserve">안동 이어드림 · 서식4 기대효과 계산기 (2026-09-22)</t>
  </si>
  <si>
    <t xml:space="preserve">이 파일로 하는 일</t>
  </si>
  <si>
    <t xml:space="preserve">1. 「입력」 시트의 노란 칸에 참여율·가격·운영일·예산을 넣는다.</t>
  </si>
  <si>
    <t xml:space="preserve">2. 「기대효과」 시트에서 단계별 이용 건수, 참여자 지출, 추가 소비, 기대효과 %가 자동으로 나온다.</t>
  </si>
  <si>
    <t xml:space="preserve">3. 「서식4_초안」 시트의 4) 추진성과·기대효과 문장에 그 숫자가 자동으로 들어간다. 1)~3) 칸은 교수 브리핑(9/22)에서 확정한 문장이다.</t>
  </si>
  <si>
    <t xml:space="preserve">4. 「사용데이터」 시트는 서식4 머리칸(데이터랩 데이터·타분야 데이터)과 참고자료 zip의 데이터 목록이다.</t>
  </si>
  <si>
    <t xml:space="preserve">칸 색</t>
  </si>
  <si>
    <t xml:space="preserve">노란 바탕 + 파란 글자 = 바꿔 넣는 입력값(시나리오)</t>
  </si>
  <si>
    <t xml:space="preserve">파란 글자 = 기준 데이터(보유 자료에서 계산한 고정값, 옆 칸에 출처)</t>
  </si>
  <si>
    <t xml:space="preserve">검은 글자 = 수식. 직접 고치지 않는다</t>
  </si>
  <si>
    <t xml:space="preserve">초록 글자 = 다른 시트 값을 끌어온 것</t>
  </si>
  <si>
    <t xml:space="preserve">읽는 법</t>
  </si>
  <si>
    <t xml:space="preserve">보수·기준·낙관 세 열은 참여율 가정만 다른 세 시나리오다. 보수·기준 참여율은 안동 실측값(주민증 평균 이용률 0.061%, 혜택이 있는 하회마을 이용률 0.90%)이고, 낙관 5%는 근거 자료가 없는 가정이다.</t>
  </si>
  <si>
    <t xml:space="preserve">참여자 총지출 ≠ 추가 소비. 사업이 없어도 썼을 돈(반사실 몫, 입력값)을 뺀 것이 추가 소비다.</t>
  </si>
  <si>
    <t xml:space="preserve">기대효과는 시행 전 "조건부 예상 효과"다. 실제 소비가 늘었다고 쓰지 않는다. 모의실험 구간이나 비용편익비(B/C)가 아니다.</t>
  </si>
  <si>
    <t xml:space="preserve">기준 기간은 2026년 1~8월(주말 70일)이다. 운영일을 바꾸면 방문기회가 그 비율로 늘거나 준다.</t>
  </si>
  <si>
    <t xml:space="preserve">입력 · 시나리오 (노란 칸만 바꾼다)</t>
  </si>
  <si>
    <t xml:space="preserve">항목</t>
  </si>
  <si>
    <t xml:space="preserve">보수</t>
  </si>
  <si>
    <t xml:space="preserve">기준</t>
  </si>
  <si>
    <t xml:space="preserve">낙관</t>
  </si>
  <si>
    <t xml:space="preserve">단위</t>
  </si>
  <si>
    <t xml:space="preserve">근거·메모</t>
  </si>
  <si>
    <t xml:space="preserve">1단계 체험 결제 참여율
(원도심 주말 방문기회 중)</t>
  </si>
  <si>
    <t xml:space="preserve">%</t>
  </si>
  <si>
    <t xml:space="preserve">보수 = 안동 주민증 평균 이용률(월 887.5건 ÷ 월 외지인 방문, R1·데이터랩) · 기준 = 하회마을 주민증 이용률(이용 표시값 11,045 ÷ 입장객 2024.6~2026.6) · 낙관 = 가정(근거 없음)</t>
  </si>
  <si>
    <t xml:space="preserve">2단계 이어가기 비율
(체험 참여자 중 월영교까지 이동)</t>
  </si>
  <si>
    <t xml:space="preserve">가정 — 자료 없음. 현장 안내카드 QR·설문으로 확인할 값</t>
  </si>
  <si>
    <t xml:space="preserve">3단계 팝업 이용률
(월영교 권역 주말 저녁 방문기회 중)</t>
  </si>
  <si>
    <t xml:space="preserve">1단계와 같은 근거(주민증 조건형 혜택 이용률)</t>
  </si>
  <si>
    <t xml:space="preserve">체험 1건 가격</t>
  </si>
  <si>
    <t xml:space="preserve">원</t>
  </si>
  <si>
    <t xml:space="preserve">조사/03: 공예문화전시관 5천~3.9만, 구름에 1.2만~2.2만, 문보트 3인 2.8만(미확인)</t>
  </si>
  <si>
    <t xml:space="preserve">팝업 1인 객단가</t>
  </si>
  <si>
    <t xml:space="preserve">문화관광축제 56개 외지인 방문당 소비(2025) P10·중앙·P90. 축제 기간 지역 전체 소비라 상한 참고값(부스 매출 아님)</t>
  </si>
  <si>
    <t xml:space="preserve">반사실 몫
(사업 없어도 안동에서 썼을 비율)</t>
  </si>
  <si>
    <t xml:space="preserve">가정 — 현장 설문 "이 혜택이 없었다면 이 돈을 어디에 썼을지"로 확인</t>
  </si>
  <si>
    <t xml:space="preserve">운영일 수(주말 하루 단위)</t>
  </si>
  <si>
    <t xml:space="preserve">일</t>
  </si>
  <si>
    <t xml:space="preserve">기본 70 = 2026년 1~8월 주말 전체. 금·토만 운영하면 줄여 넣는다</t>
  </si>
  <si>
    <t xml:space="preserve">사업 예산(원)</t>
  </si>
  <si>
    <t xml:space="preserve">비워 두면 "예산 1원당 추가 소비"는 계산하지 않음. B/C가 아닌 운영 참고 지표</t>
  </si>
  <si>
    <t xml:space="preserve">택시 1대당 저녁 창(18:30~21:00) 운행 횟수</t>
  </si>
  <si>
    <t xml:space="preserve">회</t>
  </si>
  <si>
    <t xml:space="preserve">가정 — 원도심↔월영교 3.2km 왕복·대기 포함 약 50분으로 보고 150분에 3회. 현2 실측으로 교체</t>
  </si>
  <si>
    <t xml:space="preserve">기준 데이터 (고정값 · 바꾸지 않음)</t>
  </si>
  <si>
    <t xml:space="preserve">값</t>
  </si>
  <si>
    <t xml:space="preserve">출처</t>
  </si>
  <si>
    <t xml:space="preserve">안동 외지인 방문 연인원 2026 1~8월</t>
  </si>
  <si>
    <t xml:space="preserve">명</t>
  </si>
  <si>
    <t xml:space="preserve">데이터랩 BDT_01_01_006(이동통신, 외지인)</t>
  </si>
  <si>
    <t xml:space="preserve">방문당 체험·문화 소비 2024 1~8월</t>
  </si>
  <si>
    <t xml:space="preserve">데이터랩 BDT_02_01_003 외지인 카드(문화서비스+관광유원시설+기타레저) ÷ 방문</t>
  </si>
  <si>
    <t xml:space="preserve">방문당 체험·문화 소비 2026 1~8월</t>
  </si>
  <si>
    <t xml:space="preserve">같음</t>
  </si>
  <si>
    <t xml:space="preserve">전국 146개 시·군 중앙 변화율</t>
  </si>
  <si>
    <t xml:space="preserve">중구동(원도심) 외지인 방문 2026 1~8월</t>
  </si>
  <si>
    <t xml:space="preserve">데이터랩 BDT_01_01_005_1 읍면동별 외지인 방문</t>
  </si>
  <si>
    <t xml:space="preserve">안동 외지인 주말(토·일) 방문 비중</t>
  </si>
  <si>
    <t xml:space="preserve">데이터랩 BDT_01_01_006 요일별, 2026 1~8월</t>
  </si>
  <si>
    <t xml:space="preserve">강남동(월영교) 외지인 방문 2026 1~8월</t>
  </si>
  <si>
    <t xml:space="preserve">데이터랩 BDT_01_01_005_1</t>
  </si>
  <si>
    <t xml:space="preserve">안동 외지인 주말 18~21시 방문 비중</t>
  </si>
  <si>
    <t xml:space="preserve">데이터랩 BDT_01_01_006 시간대, 주말. 시 단위 분포를 강남동에 적용(가정)</t>
  </si>
  <si>
    <t xml:space="preserve">강남동 외지인 관광총소비 2026 1~8월</t>
  </si>
  <si>
    <t xml:space="preserve">데이터랩 지역별 관광지출액 화면(9/19 전사)</t>
  </si>
  <si>
    <t xml:space="preserve">기준 기간 주말 일수</t>
  </si>
  <si>
    <t xml:space="preserve">2026-01-01~08-31 토·일</t>
  </si>
  <si>
    <t xml:space="preserve">택시 1대 정원</t>
  </si>
  <si>
    <t xml:space="preserve">일반 승용 기준</t>
  </si>
  <si>
    <t xml:space="preserve">관광택시 비수기 하루 운행 대수(상한)</t>
  </si>
  <si>
    <t xml:space="preserve">대</t>
  </si>
  <si>
    <t xml:space="preserve">안동시관광협의회 전화문의 9/22: 비수기 하루 3~4대</t>
  </si>
  <si>
    <t xml:space="preserve">월영교 1km 21시까지 식사 가능 식당</t>
  </si>
  <si>
    <t xml:space="preserve">곳</t>
  </si>
  <si>
    <t xml:space="preserve">조사/16, 영업 중 16곳 중(9/19 확인)</t>
  </si>
  <si>
    <t xml:space="preserve">월영교 1km 영업 중 음식점</t>
  </si>
  <si>
    <t xml:space="preserve">예시: 기준 열은 "혜택이 있는 하회마을에서 주민증을 쓰는 비율(0.90%)만큼 원도심 방문객이 체험을 결제하면"이라는 뜻이다.</t>
  </si>
  <si>
    <t xml:space="preserve">기대효과 계산 (수식 · 입력 시트를 바꾸면 자동 갱신)</t>
  </si>
  <si>
    <t xml:space="preserve">단계 · 지표</t>
  </si>
  <si>
    <t xml:space="preserve">계산식</t>
  </si>
  <si>
    <t xml:space="preserve">1단계 · 원도심 식음 → 체험</t>
  </si>
  <si>
    <t xml:space="preserve">원도심 주말 방문기회</t>
  </si>
  <si>
    <t xml:space="preserve">중구동 외지인 방문 × 주말 비중 × 운영일/70</t>
  </si>
  <si>
    <t xml:space="preserve">체험 결제 건수</t>
  </si>
  <si>
    <t xml:space="preserve">건</t>
  </si>
  <si>
    <t xml:space="preserve">방문기회 × 참여율</t>
  </si>
  <si>
    <t xml:space="preserve">참여자 총지출(체험)</t>
  </si>
  <si>
    <t xml:space="preserve">건수 × 체험 가격</t>
  </si>
  <si>
    <t xml:space="preserve">추가 소비(체험)</t>
  </si>
  <si>
    <t xml:space="preserve">총지출 × (1 − 반사실 몫)</t>
  </si>
  <si>
    <t xml:space="preserve">방문당 체험·문화 소비 증가</t>
  </si>
  <si>
    <t xml:space="preserve">추가 소비 ÷ 외지인 방문 연인원</t>
  </si>
  <si>
    <t xml:space="preserve">방문당 체험·문화 소비 증가율</t>
  </si>
  <si>
    <t xml:space="preserve">증가액 ÷ 2026년 152.7원</t>
  </si>
  <si>
    <t xml:space="preserve">회복 목표(전국 중앙 수준)</t>
  </si>
  <si>
    <t xml:space="preserve">183.5원이 전국 중앙만큼만 줄었을 때 ÷ 152.7원 − 1</t>
  </si>
  <si>
    <t xml:space="preserve">목표 달성률</t>
  </si>
  <si>
    <t xml:space="preserve">증가율 ÷ 회복 목표</t>
  </si>
  <si>
    <t xml:space="preserve">목표 달성에 필요한 참여율(역산)</t>
  </si>
  <si>
    <t xml:space="preserve">목표 증가액 × 방문 ÷ (1−반사실) ÷ 가격 ÷ 방문기회</t>
  </si>
  <si>
    <t xml:space="preserve">2단계 · 야간 이동(원도심 → 월영교, 18:30~21:00)</t>
  </si>
  <si>
    <t xml:space="preserve">이동 이용자</t>
  </si>
  <si>
    <t xml:space="preserve">체험 참여자 × 이어가기 비율</t>
  </si>
  <si>
    <t xml:space="preserve">주말 하루 이동 이용자</t>
  </si>
  <si>
    <t xml:space="preserve">명/일</t>
  </si>
  <si>
    <t xml:space="preserve">÷ 운영일</t>
  </si>
  <si>
    <t xml:space="preserve">주말 하루 필요 택시 운행(4인)</t>
  </si>
  <si>
    <t xml:space="preserve">회/일</t>
  </si>
  <si>
    <t xml:space="preserve">올림(하루 이용자 ÷ 정원)</t>
  </si>
  <si>
    <t xml:space="preserve">관광택시 비수기 가용 대수로 감당?</t>
  </si>
  <si>
    <t xml:space="preserve">하루 필요 운행 ≤ 비수기 4대 × 1대당 운행 횟수</t>
  </si>
  <si>
    <t xml:space="preserve">3단계 · 월영교 야간 팝업</t>
  </si>
  <si>
    <t xml:space="preserve">월영교 권역 주말 저녁 방문기회</t>
  </si>
  <si>
    <t xml:space="preserve">강남동 외지인 × 주말 비중 × 주말 18~21시 비중 × 운영일/70</t>
  </si>
  <si>
    <t xml:space="preserve">팝업 이용자</t>
  </si>
  <si>
    <t xml:space="preserve">방문기회 × 이용률</t>
  </si>
  <si>
    <t xml:space="preserve">주말 하루 팝업 이용자</t>
  </si>
  <si>
    <t xml:space="preserve">참여자 총지출(팝업)</t>
  </si>
  <si>
    <t xml:space="preserve">이용자 × 객단가</t>
  </si>
  <si>
    <t xml:space="preserve">추가 소비(팝업)</t>
  </si>
  <si>
    <t xml:space="preserve">강남동 외지인 관광소비 대비 증가율</t>
  </si>
  <si>
    <t xml:space="preserve">추가 소비 ÷ 강남동 관광총소비(1~8월)</t>
  </si>
  <si>
    <t xml:space="preserve">합계</t>
  </si>
  <si>
    <t xml:space="preserve">참여자 총지출(체험+팝업)</t>
  </si>
  <si>
    <t xml:space="preserve">지출 ① + 지출 ②</t>
  </si>
  <si>
    <t xml:space="preserve">안동 내 추가 소비(체험+팝업)</t>
  </si>
  <si>
    <t xml:space="preserve">반사실 차감 후</t>
  </si>
  <si>
    <t xml:space="preserve">추가 소비(억 원)</t>
  </si>
  <si>
    <t xml:space="preserve">억 원</t>
  </si>
  <si>
    <t xml:space="preserve">예산 1원당 추가 소비</t>
  </si>
  <si>
    <t xml:space="preserve">B/C 아님 — 운영 참고 지표</t>
  </si>
  <si>
    <t xml:space="preserve">※ 1단계와 3단계는 방문기회를 따로 센다(릴레이 완주율 자료가 없음). 참여율이 같아도 두 지출을 더한 값은 상한 쪽이다.</t>
  </si>
  <si>
    <t xml:space="preserve">※ 이 표는 시행 전 조건부 예상 효과다. 정책 순효과는 시행 후 비교 지역과 대조해서만 말한다(⑥ 사후 검증계획).</t>
  </si>
  <si>
    <t xml:space="preserve">서식4 활용사례 초안 — 개조식 2~3장, 머리칸 + 본문 네 칸 (교수 브리핑 9/22 15절 기준)</t>
  </si>
  <si>
    <t xml:space="preserve">칸</t>
  </si>
  <si>
    <t xml:space="preserve">들어갈 내용(개조식)</t>
  </si>
  <si>
    <t xml:space="preserve">분량·근거</t>
  </si>
  <si>
    <t xml:space="preserve">머리칸 · 제목</t>
  </si>
  <si>
    <t xml:space="preserve">사람 없는 곳에 붙은 혜택, 막차 앞에서 끊긴 밤: 데이터로 다시 잇는 안동 이어드림</t>
  </si>
  <si>
    <t xml:space="preserve">초안, 팀 결정 필요</t>
  </si>
  <si>
    <t xml:space="preserve">머리칸 · 데이터랩 데이터</t>
  </si>
  <si>
    <t xml:space="preserve">지역별 관광 현황(외지인 방문·시간대), 신용카드 관광소비, 읍면동 방문자, 중심·연관 관광지, 내비게이션 검색, 야간관광 현황, 축제 현황</t>
  </si>
  <si>
    <t xml:space="preserve">「사용데이터」 시트</t>
  </si>
  <si>
    <t xml:space="preserve">머리칸 · 타분야 데이터</t>
  </si>
  <si>
    <t xml:space="preserve">코레일 안동역 시간대별 승하차, 소상공인 상가(상권)정보, 안동시 디지털관광주민증 혜택업체(정보공개청구), 한국철도공사 8대 도시 가명결합 분석, 안동시 버스정보시스템 시간표</t>
  </si>
  <si>
    <t xml:space="preserve">머리칸 · 성과분야</t>
  </si>
  <si>
    <t xml:space="preserve">전략수립 및 기획</t>
  </si>
  <si>
    <t xml:space="preserve">1개 선택</t>
  </si>
  <si>
    <t xml:space="preserve">머리칸 · 핵심성과</t>
  </si>
  <si>
    <t xml:space="preserve">데이터랩 방문·소비 자료와 철도·상가·주민증 자료를 결합해 혜택 배치의 공백과 막차 제약을 찾아내고, 원도심과 월영교를 잇는 3단계 야간 릴레이 운영안을 설계</t>
  </si>
  <si>
    <t xml:space="preserve">초안</t>
  </si>
  <si>
    <t xml:space="preserve">머리칸 · 계량성과</t>
  </si>
  <si>
    <t xml:space="preserve">현장조사 후 입력: 섭외 동의 업소 수, 안내카드 배포 수 대비 QR 스캔 수, 택시 호출 대기시간 (실제로 센 숫자만)</t>
  </si>
  <si>
    <t xml:space="preserve">설계 수치·예상 효과는 쓰지 않음</t>
  </si>
  <si>
    <t xml:space="preserve">1) 문제점</t>
  </si>
  <si>
    <t xml:space="preserve">○ 방문당 체험·문화 소비 −16.8% (2024→2026년 1~8월, 전국 중앙 −2.0%, 146곳 중 감소폭 22번째)
○ 하회마을 소비 전환 배율 0.06 (방문 6.29% vs 소비 건수 0.40%, 2022년 4~6월)
○ 월영교 반경 1km 주점 0곳, 21시까지 식사 가능 16곳 중 3곳 / 원도심→월영교 112번 막차 18:45
※ 먼저 기각: 관광객 감소 아님(방문 +5.6%), 당일치기 증가 아님(무박 86.3→86.4%)</t>
  </si>
  <si>
    <t xml:space="preserve">0.4장</t>
  </si>
  <si>
    <t xml:space="preserve">2) 데이터 활용 방안</t>
  </si>
  <si>
    <t xml:space="preserve">○ ① 혜택 배치 진단: 외지인 방문 1위 중구동(12.5%) 혜택업체 0곳, 12위 도산면(2.4%) 6곳 [그림]
○ ② 운영 시간 창: 안동역 주말 승차 18~19시 13,454명 최대, 막차 21~22시 → 18:30~21:00 [그림]
○ ④ 야간 공백: 월영교 1km 식당 10곳 중 7곳 20:30까지 마감, 22시 이후 카페만, 주점 0곳</t>
  </si>
  <si>
    <t xml:space="preserve">1장 · 그림 2개</t>
  </si>
  <si>
    <t xml:space="preserve">3) 사업 개선·적용</t>
  </si>
  <si>
    <t xml:space="preserve">○ 운영 시간 18:30~21:00(②) · 1단계 섭외 우선 권역 중구동(①) · 3단계 팝업이 채울 것 21시 이후 식사·주점(④)
○ 야간 이동: 관광택시 저녁 재배치 협의(112번 19시 이후 0회, ③)
○ 부스 개수·차량 대수는 처리량·견적 전이라 정하지 않음</t>
  </si>
  <si>
    <t xml:space="preserve">0.6장 · 운영안 표</t>
  </si>
  <si>
    <t xml:space="preserve">4) 추진성과·기대효과</t>
  </si>
  <si>
    <t xml:space="preserve">0.6장 · 표 1개
기준 시나리오(입력 C열) 숫자가 자동으로 들어감</t>
  </si>
  <si>
    <t xml:space="preserve">사용 데이터 목록</t>
  </si>
  <si>
    <t xml:space="preserve">구분</t>
  </si>
  <si>
    <t xml:space="preserve">데이터</t>
  </si>
  <si>
    <t xml:space="preserve">제공처·코드</t>
  </si>
  <si>
    <t xml:space="preserve">기간</t>
  </si>
  <si>
    <t xml:space="preserve">쓴 곳(서식4 칸 · 결과물)</t>
  </si>
  <si>
    <t xml:space="preserve">데이터랩</t>
  </si>
  <si>
    <t xml:space="preserve">외지인 신용카드 관광소비(업종 중분류)</t>
  </si>
  <si>
    <t xml:space="preserve">한국관광 데이터랩 BDT_02_01_003</t>
  </si>
  <si>
    <t xml:space="preserve">2024·2026 1~8월</t>
  </si>
  <si>
    <t xml:space="preserve">1) 체험·문화 −16.8% · ⑤ · ⑦</t>
  </si>
  <si>
    <t xml:space="preserve">방문자 수 성별·연령·요일·시간대 교차표(외지인)</t>
  </si>
  <si>
    <t xml:space="preserve">데이터랩 BDT_01_01_006</t>
  </si>
  <si>
    <t xml:space="preserve">1) 방문 +5.6% · ② 저녁 비중 · ⑤ 방문기회 · ⑦</t>
  </si>
  <si>
    <t xml:space="preserve">숙박일수별 관광객(무박 비중)</t>
  </si>
  <si>
    <t xml:space="preserve">데이터랩 BDT_01_01_006_1</t>
  </si>
  <si>
    <t xml:space="preserve">2019~2026</t>
  </si>
  <si>
    <t xml:space="preserve">1) 당일치기 가설 기각</t>
  </si>
  <si>
    <t xml:space="preserve">읍면동별 외지인 방문자 수</t>
  </si>
  <si>
    <t xml:space="preserve">2023~2026 1~8월</t>
  </si>
  <si>
    <t xml:space="preserve">2) ① 혜택 배치 · ⑤ 방문기회</t>
  </si>
  <si>
    <t xml:space="preserve">지역별 관광지출액(강남동 외지인)</t>
  </si>
  <si>
    <t xml:space="preserve">데이터랩 화면 전사(9/19)</t>
  </si>
  <si>
    <t xml:space="preserve">2023~2026.8</t>
  </si>
  <si>
    <t xml:space="preserve">⑤ 3단계 분모</t>
  </si>
  <si>
    <t xml:space="preserve">관심관광지·목적지 검색(내비)</t>
  </si>
  <si>
    <t xml:space="preserve">데이터랩 LN_03_01_037 · BDT_03_01_003_1</t>
  </si>
  <si>
    <t xml:space="preserve">2018~2026</t>
  </si>
  <si>
    <t xml:space="preserve">1) 하회마을 검색 비중 11.4→5.2%</t>
  </si>
  <si>
    <t xml:space="preserve">야간관광 현황(야간 검색·방문)</t>
  </si>
  <si>
    <t xml:space="preserve">데이터랩 BY_TH_NIGHT_TOUR</t>
  </si>
  <si>
    <t xml:space="preserve">2024~2026 1~8월</t>
  </si>
  <si>
    <t xml:space="preserve">1) 야간 명소 공백</t>
  </si>
  <si>
    <t xml:space="preserve">축제 방문자·관광소비</t>
  </si>
  <si>
    <t xml:space="preserve">데이터랩 FE_01_01_005 · FE_01_01_007</t>
  </si>
  <si>
    <t xml:space="preserve">2025</t>
  </si>
  <si>
    <t xml:space="preserve">⑤ 팝업 객단가 참고</t>
  </si>
  <si>
    <t xml:space="preserve">평균 숙박일수</t>
  </si>
  <si>
    <t xml:space="preserve">데이터랩 LN_02_01_013</t>
  </si>
  <si>
    <t xml:space="preserve">2024·2025</t>
  </si>
  <si>
    <t xml:space="preserve">⑦</t>
  </si>
  <si>
    <t xml:space="preserve">타분야</t>
  </si>
  <si>
    <t xml:space="preserve">안동역 월별·시간대별 승하차(이음·새마을·무궁화)</t>
  </si>
  <si>
    <t xml:space="preserve">코레일(팀원 취합)</t>
  </si>
  <si>
    <t xml:space="preserve">2024.1~2026.8</t>
  </si>
  <si>
    <t xml:space="preserve">2) ② 운영 시간 창</t>
  </si>
  <si>
    <t xml:space="preserve">8대 도시(안동) 관광 형태 분석 — 가명결합</t>
  </si>
  <si>
    <t xml:space="preserve">한국철도공사(SKT·신한카드·KCB)</t>
  </si>
  <si>
    <t xml:space="preserve">2022.4~6</t>
  </si>
  <si>
    <t xml:space="preserve">1) 하회 배율 0.06 · 월영교 배율 0.40</t>
  </si>
  <si>
    <t xml:space="preserve">상가(상권)정보 음식점 3,254곳</t>
  </si>
  <si>
    <t xml:space="preserve">소상공인시장진흥공단</t>
  </si>
  <si>
    <t xml:space="preserve">2026-06-30</t>
  </si>
  <si>
    <t xml:space="preserve">2) ④ 월영교·원도심 업종</t>
  </si>
  <si>
    <t xml:space="preserve">디지털관광주민증 혜택업체 27곳·이용 건수</t>
  </si>
  <si>
    <t xml:space="preserve">안동시 정보공개청구 회신(R1)</t>
  </si>
  <si>
    <t xml:space="preserve">2024.6~2026.8</t>
  </si>
  <si>
    <t xml:space="preserve">2) ① · ⑤ 참여율(보수)</t>
  </si>
  <si>
    <t xml:space="preserve">주민증 가맹점별 이용 표시값</t>
  </si>
  <si>
    <t xml:space="preserve">한국관광공사 주민증 누리집</t>
  </si>
  <si>
    <t xml:space="preserve">2026-09-21 조회</t>
  </si>
  <si>
    <t xml:space="preserve">⑤ 참여율(기준) · 이용 95% 관람지 쏠림</t>
  </si>
  <si>
    <t xml:space="preserve">주요관광지점 입장객</t>
  </si>
  <si>
    <t xml:space="preserve">관광지식정보시스템</t>
  </si>
  <si>
    <t xml:space="preserve">2023~2026.6</t>
  </si>
  <si>
    <t xml:space="preserve">⑤ 하회마을 이용률 분모</t>
  </si>
  <si>
    <t xml:space="preserve">시내버스 노선·시간표</t>
  </si>
  <si>
    <t xml:space="preserve">안동시 버스정보시스템</t>
  </si>
  <si>
    <t xml:space="preserve">2026-09-22 조회</t>
  </si>
  <si>
    <t xml:space="preserve">3) ③ 112번 막차 18:45</t>
  </si>
  <si>
    <t xml:space="preserve">체험 프로그램 목록·가격·운영시간</t>
  </si>
  <si>
    <t xml:space="preserve">공식 관광 누리집·시설 안내</t>
  </si>
  <si>
    <t xml:space="preserve">2026-09-22</t>
  </si>
  <si>
    <t xml:space="preserve">⑤ 체험 가격</t>
  </si>
  <si>
    <t xml:space="preserve">현장</t>
  </si>
  <si>
    <t xml:space="preserve">월영교 1km 음식점 영업 종료 시각</t>
  </si>
  <si>
    <t xml:space="preserve">팀 현장조사(조사/16)</t>
  </si>
  <si>
    <t xml:space="preserve">2026-09-19</t>
  </si>
  <si>
    <t xml:space="preserve">2) ④</t>
  </si>
  <si>
    <t xml:space="preserve">전화</t>
  </si>
  <si>
    <t xml:space="preserve">관광택시 운행 관행 · 월영야행 부지</t>
  </si>
  <si>
    <t xml:space="preserve">안동시관광협의회 · 한국정신문화재단</t>
  </si>
  <si>
    <t xml:space="preserve">3) 운영안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</si>
</sst>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0%"/>
    <numFmt numFmtId="166" formatCode="0%"/>
    <numFmt numFmtId="167" formatCode="#,##0"/>
    <numFmt numFmtId="168" formatCode="0.0"/>
    <numFmt numFmtId="169" formatCode="0.0%"/>
    <numFmt numFmtId="170" formatCode="0.00%"/>
    <numFmt numFmtId="171" formatCode="0.00"/>
    <numFmt numFmtId="172" formatCode="#,##0.0"/>
    <numFmt numFmtId="173" formatCode="@"/>
  </numFmts>
  <fonts count="9">
    <font>
      <sz val="11"/>
      <color theme="1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맑은 고딕"/>
      <family val="0"/>
      <charset val="1"/>
    </font>
    <font>
      <sz val="10"/>
      <color rgb="FF000000"/>
      <name val="맑은 고딕"/>
      <family val="0"/>
      <charset val="1"/>
    </font>
    <font>
      <b val="true"/>
      <sz val="10"/>
      <name val="맑은 고딕"/>
      <family val="0"/>
      <charset val="1"/>
    </font>
    <font>
      <sz val="10"/>
      <color rgb="FF0000FF"/>
      <name val="맑은 고딕"/>
      <family val="0"/>
      <charset val="1"/>
    </font>
    <font>
      <sz val="10"/>
      <color rgb="FF008000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A8"/>
        <bgColor rgb="FFFFFFCC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00.1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5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6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20.8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8.38"/>
    <col collapsed="false" customWidth="true" hidden="false" outlineLevel="0" max="4" min="2" style="0" width="11.68"/>
    <col collapsed="false" customWidth="true" hidden="false" outlineLevel="0" max="5" min="5" style="0" width="5.84"/>
    <col collapsed="false" customWidth="true" hidden="false" outlineLevel="0" max="6" min="6" style="0" width="66.77"/>
  </cols>
  <sheetData>
    <row r="1" customFormat="false" ht="26.85" hidden="false" customHeight="false" outlineLevel="0" collapsed="false">
      <c r="A1" s="1" t="s">
        <v>16</v>
      </c>
    </row>
    <row r="3" customFormat="false" ht="15" hidden="false" customHeight="false" outlineLevel="0" collapsed="false">
      <c r="A3" s="7" t="s">
        <v>17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22</v>
      </c>
    </row>
    <row r="4" customFormat="false" ht="30.55" hidden="false" customHeight="false" outlineLevel="0" collapsed="false">
      <c r="A4" s="8" t="s">
        <v>23</v>
      </c>
      <c r="B4" s="9" t="n">
        <v>0.000605475958681638</v>
      </c>
      <c r="C4" s="9" t="n">
        <v>0.00899963496274664</v>
      </c>
      <c r="D4" s="9" t="n">
        <v>0.05</v>
      </c>
      <c r="E4" s="10" t="s">
        <v>24</v>
      </c>
      <c r="F4" s="10" t="s">
        <v>25</v>
      </c>
    </row>
    <row r="5" customFormat="false" ht="20.85" hidden="false" customHeight="false" outlineLevel="0" collapsed="false">
      <c r="A5" s="8" t="s">
        <v>26</v>
      </c>
      <c r="B5" s="11" t="n">
        <v>0.1</v>
      </c>
      <c r="C5" s="11" t="n">
        <v>0.2</v>
      </c>
      <c r="D5" s="11" t="n">
        <v>0.3</v>
      </c>
      <c r="E5" s="10" t="s">
        <v>24</v>
      </c>
      <c r="F5" s="10" t="s">
        <v>27</v>
      </c>
    </row>
    <row r="6" customFormat="false" ht="20.85" hidden="false" customHeight="false" outlineLevel="0" collapsed="false">
      <c r="A6" s="8" t="s">
        <v>28</v>
      </c>
      <c r="B6" s="9" t="n">
        <v>0.000605475958681638</v>
      </c>
      <c r="C6" s="9" t="n">
        <v>0.00899963496274664</v>
      </c>
      <c r="D6" s="9" t="n">
        <v>0.05</v>
      </c>
      <c r="E6" s="10" t="s">
        <v>24</v>
      </c>
      <c r="F6" s="10" t="s">
        <v>29</v>
      </c>
    </row>
    <row r="7" customFormat="false" ht="15" hidden="false" customHeight="false" outlineLevel="0" collapsed="false">
      <c r="A7" s="8" t="s">
        <v>30</v>
      </c>
      <c r="B7" s="12" t="n">
        <v>10000</v>
      </c>
      <c r="C7" s="12" t="n">
        <v>15000</v>
      </c>
      <c r="D7" s="12" t="n">
        <v>20000</v>
      </c>
      <c r="E7" s="10" t="s">
        <v>31</v>
      </c>
      <c r="F7" s="10" t="s">
        <v>32</v>
      </c>
    </row>
    <row r="8" customFormat="false" ht="20.85" hidden="false" customHeight="false" outlineLevel="0" collapsed="false">
      <c r="A8" s="8" t="s">
        <v>33</v>
      </c>
      <c r="B8" s="12" t="n">
        <v>3068</v>
      </c>
      <c r="C8" s="12" t="n">
        <v>9095</v>
      </c>
      <c r="D8" s="12" t="n">
        <v>14320</v>
      </c>
      <c r="E8" s="10" t="s">
        <v>31</v>
      </c>
      <c r="F8" s="10" t="s">
        <v>34</v>
      </c>
    </row>
    <row r="9" customFormat="false" ht="20.85" hidden="false" customHeight="false" outlineLevel="0" collapsed="false">
      <c r="A9" s="8" t="s">
        <v>35</v>
      </c>
      <c r="B9" s="11" t="n">
        <v>0.5</v>
      </c>
      <c r="C9" s="11" t="n">
        <v>0.5</v>
      </c>
      <c r="D9" s="11" t="n">
        <v>0.5</v>
      </c>
      <c r="E9" s="10" t="s">
        <v>24</v>
      </c>
      <c r="F9" s="10" t="s">
        <v>36</v>
      </c>
    </row>
    <row r="10" customFormat="false" ht="15" hidden="false" customHeight="false" outlineLevel="0" collapsed="false">
      <c r="A10" s="8" t="s">
        <v>37</v>
      </c>
      <c r="B10" s="12" t="n">
        <v>70</v>
      </c>
      <c r="C10" s="12" t="n">
        <v>70</v>
      </c>
      <c r="D10" s="12" t="n">
        <v>70</v>
      </c>
      <c r="E10" s="10" t="s">
        <v>38</v>
      </c>
      <c r="F10" s="10" t="s">
        <v>39</v>
      </c>
    </row>
    <row r="11" customFormat="false" ht="15" hidden="false" customHeight="false" outlineLevel="0" collapsed="false">
      <c r="A11" s="8" t="s">
        <v>40</v>
      </c>
      <c r="B11" s="12"/>
      <c r="C11" s="12"/>
      <c r="D11" s="12"/>
      <c r="E11" s="10" t="s">
        <v>31</v>
      </c>
      <c r="F11" s="10" t="s">
        <v>41</v>
      </c>
    </row>
    <row r="12" customFormat="false" ht="20.85" hidden="false" customHeight="false" outlineLevel="0" collapsed="false">
      <c r="A12" s="8" t="s">
        <v>42</v>
      </c>
      <c r="B12" s="12" t="n">
        <v>3</v>
      </c>
      <c r="C12" s="12" t="n">
        <v>3</v>
      </c>
      <c r="D12" s="12" t="n">
        <v>3</v>
      </c>
      <c r="E12" s="10" t="s">
        <v>43</v>
      </c>
      <c r="F12" s="10" t="s">
        <v>44</v>
      </c>
    </row>
    <row r="13" customFormat="false" ht="26.85" hidden="false" customHeight="false" outlineLevel="0" collapsed="false">
      <c r="A13" s="1" t="s">
        <v>45</v>
      </c>
    </row>
    <row r="14" customFormat="false" ht="15" hidden="false" customHeight="false" outlineLevel="0" collapsed="false">
      <c r="A14" s="7" t="s">
        <v>17</v>
      </c>
      <c r="B14" s="7" t="s">
        <v>46</v>
      </c>
      <c r="C14" s="7"/>
      <c r="D14" s="7"/>
      <c r="E14" s="7" t="s">
        <v>21</v>
      </c>
      <c r="F14" s="7" t="s">
        <v>47</v>
      </c>
    </row>
    <row r="15" customFormat="false" ht="15" hidden="false" customHeight="false" outlineLevel="0" collapsed="false">
      <c r="A15" s="8" t="s">
        <v>48</v>
      </c>
      <c r="B15" s="13" t="n">
        <v>11726312</v>
      </c>
      <c r="E15" s="10" t="s">
        <v>49</v>
      </c>
      <c r="F15" s="10" t="s">
        <v>50</v>
      </c>
    </row>
    <row r="16" customFormat="false" ht="15" hidden="false" customHeight="false" outlineLevel="0" collapsed="false">
      <c r="A16" s="8" t="s">
        <v>51</v>
      </c>
      <c r="B16" s="14" t="n">
        <v>183.47</v>
      </c>
      <c r="E16" s="10" t="s">
        <v>31</v>
      </c>
      <c r="F16" s="10" t="s">
        <v>52</v>
      </c>
    </row>
    <row r="17" customFormat="false" ht="15" hidden="false" customHeight="false" outlineLevel="0" collapsed="false">
      <c r="A17" s="8" t="s">
        <v>53</v>
      </c>
      <c r="B17" s="14" t="n">
        <v>152.67</v>
      </c>
      <c r="E17" s="10" t="s">
        <v>31</v>
      </c>
      <c r="F17" s="10" t="s">
        <v>54</v>
      </c>
    </row>
    <row r="18" customFormat="false" ht="15" hidden="false" customHeight="false" outlineLevel="0" collapsed="false">
      <c r="A18" s="8" t="s">
        <v>55</v>
      </c>
      <c r="B18" s="15" t="n">
        <v>-0.0205</v>
      </c>
      <c r="E18" s="10" t="s">
        <v>24</v>
      </c>
      <c r="F18" s="10" t="s">
        <v>54</v>
      </c>
    </row>
    <row r="19" customFormat="false" ht="15" hidden="false" customHeight="false" outlineLevel="0" collapsed="false">
      <c r="A19" s="8" t="s">
        <v>56</v>
      </c>
      <c r="B19" s="13" t="n">
        <v>2166679</v>
      </c>
      <c r="E19" s="10" t="s">
        <v>49</v>
      </c>
      <c r="F19" s="10" t="s">
        <v>57</v>
      </c>
    </row>
    <row r="20" customFormat="false" ht="15" hidden="false" customHeight="false" outlineLevel="0" collapsed="false">
      <c r="A20" s="8" t="s">
        <v>58</v>
      </c>
      <c r="B20" s="15" t="n">
        <v>0.3604</v>
      </c>
      <c r="E20" s="10" t="s">
        <v>24</v>
      </c>
      <c r="F20" s="10" t="s">
        <v>59</v>
      </c>
    </row>
    <row r="21" customFormat="false" ht="15" hidden="false" customHeight="false" outlineLevel="0" collapsed="false">
      <c r="A21" s="8" t="s">
        <v>60</v>
      </c>
      <c r="B21" s="13" t="n">
        <v>1231286</v>
      </c>
      <c r="E21" s="10" t="s">
        <v>49</v>
      </c>
      <c r="F21" s="10" t="s">
        <v>61</v>
      </c>
    </row>
    <row r="22" customFormat="false" ht="15" hidden="false" customHeight="false" outlineLevel="0" collapsed="false">
      <c r="A22" s="8" t="s">
        <v>62</v>
      </c>
      <c r="B22" s="16" t="n">
        <v>0.1298</v>
      </c>
      <c r="E22" s="10" t="s">
        <v>24</v>
      </c>
      <c r="F22" s="10" t="s">
        <v>63</v>
      </c>
    </row>
    <row r="23" customFormat="false" ht="15" hidden="false" customHeight="false" outlineLevel="0" collapsed="false">
      <c r="A23" s="8" t="s">
        <v>64</v>
      </c>
      <c r="B23" s="13" t="n">
        <v>10951039000</v>
      </c>
      <c r="E23" s="10" t="s">
        <v>31</v>
      </c>
      <c r="F23" s="10" t="s">
        <v>65</v>
      </c>
    </row>
    <row r="24" customFormat="false" ht="15" hidden="false" customHeight="false" outlineLevel="0" collapsed="false">
      <c r="A24" s="8" t="s">
        <v>66</v>
      </c>
      <c r="B24" s="13" t="n">
        <v>70</v>
      </c>
      <c r="E24" s="10" t="s">
        <v>38</v>
      </c>
      <c r="F24" s="10" t="s">
        <v>67</v>
      </c>
    </row>
    <row r="25" customFormat="false" ht="15" hidden="false" customHeight="false" outlineLevel="0" collapsed="false">
      <c r="A25" s="8" t="s">
        <v>68</v>
      </c>
      <c r="B25" s="13" t="n">
        <v>4</v>
      </c>
      <c r="E25" s="10" t="s">
        <v>49</v>
      </c>
      <c r="F25" s="10" t="s">
        <v>69</v>
      </c>
    </row>
    <row r="26" customFormat="false" ht="15" hidden="false" customHeight="false" outlineLevel="0" collapsed="false">
      <c r="A26" s="8" t="s">
        <v>70</v>
      </c>
      <c r="B26" s="13" t="n">
        <v>4</v>
      </c>
      <c r="E26" s="10" t="s">
        <v>71</v>
      </c>
      <c r="F26" s="10" t="s">
        <v>72</v>
      </c>
    </row>
    <row r="27" customFormat="false" ht="15" hidden="false" customHeight="false" outlineLevel="0" collapsed="false">
      <c r="A27" s="8" t="s">
        <v>73</v>
      </c>
      <c r="B27" s="13" t="n">
        <v>3</v>
      </c>
      <c r="E27" s="10" t="s">
        <v>74</v>
      </c>
      <c r="F27" s="10" t="s">
        <v>75</v>
      </c>
    </row>
    <row r="28" customFormat="false" ht="15" hidden="false" customHeight="false" outlineLevel="0" collapsed="false">
      <c r="A28" s="8" t="s">
        <v>76</v>
      </c>
      <c r="B28" s="13" t="n">
        <v>16</v>
      </c>
      <c r="E28" s="10" t="s">
        <v>74</v>
      </c>
      <c r="F28" s="10" t="s">
        <v>54</v>
      </c>
    </row>
    <row r="30" customFormat="false" ht="15" hidden="false" customHeight="true" outlineLevel="0" collapsed="false">
      <c r="A30" s="17" t="s">
        <v>77</v>
      </c>
      <c r="B30" s="17"/>
      <c r="C30" s="17"/>
      <c r="D30" s="17"/>
      <c r="E30" s="17"/>
      <c r="F30" s="17"/>
    </row>
  </sheetData>
  <mergeCells count="1"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30.05"/>
    <col collapsed="false" customWidth="true" hidden="false" outlineLevel="0" max="4" min="2" style="0" width="13.35"/>
    <col collapsed="false" customWidth="true" hidden="false" outlineLevel="0" max="5" min="5" style="0" width="6.68"/>
    <col collapsed="false" customWidth="true" hidden="false" outlineLevel="0" max="6" min="6" style="0" width="48.41"/>
  </cols>
  <sheetData>
    <row r="1" customFormat="false" ht="26.85" hidden="false" customHeight="false" outlineLevel="0" collapsed="false">
      <c r="A1" s="1" t="s">
        <v>78</v>
      </c>
    </row>
    <row r="3" customFormat="false" ht="15" hidden="false" customHeight="false" outlineLevel="0" collapsed="false">
      <c r="A3" s="7" t="s">
        <v>79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80</v>
      </c>
    </row>
    <row r="4" customFormat="false" ht="15" hidden="false" customHeight="false" outlineLevel="0" collapsed="false">
      <c r="A4" s="18" t="s">
        <v>81</v>
      </c>
      <c r="B4" s="19"/>
      <c r="C4" s="19"/>
      <c r="D4" s="19"/>
      <c r="E4" s="19"/>
      <c r="F4" s="19"/>
    </row>
    <row r="5" customFormat="false" ht="15" hidden="false" customHeight="false" outlineLevel="0" collapsed="false">
      <c r="A5" s="10" t="s">
        <v>82</v>
      </c>
      <c r="B5" s="20" t="n">
        <f aca="false">입력!$B$19*입력!$B$20*입력!B10/입력!$B$24</f>
        <v>780871.1116</v>
      </c>
      <c r="C5" s="20" t="n">
        <f aca="false">입력!$B$19*입력!$B$20*입력!C10/입력!$B$24</f>
        <v>780871.1116</v>
      </c>
      <c r="D5" s="20" t="n">
        <f aca="false">입력!$B$19*입력!$B$20*입력!D10/입력!$B$24</f>
        <v>780871.1116</v>
      </c>
      <c r="E5" s="10" t="s">
        <v>43</v>
      </c>
      <c r="F5" s="10" t="s">
        <v>83</v>
      </c>
    </row>
    <row r="6" customFormat="false" ht="15" hidden="false" customHeight="false" outlineLevel="0" collapsed="false">
      <c r="A6" s="10" t="s">
        <v>84</v>
      </c>
      <c r="B6" s="20" t="n">
        <f aca="false">B5*입력!B4</f>
        <v>472.798684902807</v>
      </c>
      <c r="C6" s="20" t="n">
        <f aca="false">C5*입력!C4</f>
        <v>7027.5549573542</v>
      </c>
      <c r="D6" s="20" t="n">
        <f aca="false">D5*입력!D4</f>
        <v>39043.55558</v>
      </c>
      <c r="E6" s="10" t="s">
        <v>85</v>
      </c>
      <c r="F6" s="10" t="s">
        <v>86</v>
      </c>
    </row>
    <row r="7" customFormat="false" ht="15" hidden="false" customHeight="false" outlineLevel="0" collapsed="false">
      <c r="A7" s="10" t="s">
        <v>87</v>
      </c>
      <c r="B7" s="20" t="n">
        <f aca="false">B6*입력!B7</f>
        <v>4727986.84902807</v>
      </c>
      <c r="C7" s="20" t="n">
        <f aca="false">C6*입력!C7</f>
        <v>105413324.360313</v>
      </c>
      <c r="D7" s="20" t="n">
        <f aca="false">D6*입력!D7</f>
        <v>780871111.6</v>
      </c>
      <c r="E7" s="10" t="s">
        <v>31</v>
      </c>
      <c r="F7" s="10" t="s">
        <v>88</v>
      </c>
    </row>
    <row r="8" customFormat="false" ht="15" hidden="false" customHeight="false" outlineLevel="0" collapsed="false">
      <c r="A8" s="10" t="s">
        <v>89</v>
      </c>
      <c r="B8" s="20" t="n">
        <f aca="false">B7*(1-입력!B9)</f>
        <v>2363993.42451403</v>
      </c>
      <c r="C8" s="20" t="n">
        <f aca="false">C7*(1-입력!C9)</f>
        <v>52706662.1801565</v>
      </c>
      <c r="D8" s="20" t="n">
        <f aca="false">D7*(1-입력!D9)</f>
        <v>390435555.8</v>
      </c>
      <c r="E8" s="10" t="s">
        <v>31</v>
      </c>
      <c r="F8" s="10" t="s">
        <v>90</v>
      </c>
    </row>
    <row r="9" customFormat="false" ht="15" hidden="false" customHeight="false" outlineLevel="0" collapsed="false">
      <c r="A9" s="10" t="s">
        <v>91</v>
      </c>
      <c r="B9" s="21" t="n">
        <f aca="false">B8/입력!$B$15</f>
        <v>0.201597350003482</v>
      </c>
      <c r="C9" s="21" t="n">
        <f aca="false">C8/입력!$B$15</f>
        <v>4.49473476231542</v>
      </c>
      <c r="D9" s="21" t="n">
        <f aca="false">D8/입력!$B$15</f>
        <v>33.2956820354089</v>
      </c>
      <c r="E9" s="10" t="s">
        <v>31</v>
      </c>
      <c r="F9" s="10" t="s">
        <v>92</v>
      </c>
    </row>
    <row r="10" customFormat="false" ht="15" hidden="false" customHeight="false" outlineLevel="0" collapsed="false">
      <c r="A10" s="10" t="s">
        <v>93</v>
      </c>
      <c r="B10" s="22" t="n">
        <f aca="false">B9/입력!$B$17</f>
        <v>0.00132047782801783</v>
      </c>
      <c r="C10" s="22" t="n">
        <f aca="false">C9/입력!$B$17</f>
        <v>0.0294408512629555</v>
      </c>
      <c r="D10" s="22" t="n">
        <f aca="false">D9/입력!$B$17</f>
        <v>0.21808922535802</v>
      </c>
      <c r="E10" s="10" t="s">
        <v>24</v>
      </c>
      <c r="F10" s="10" t="s">
        <v>94</v>
      </c>
    </row>
    <row r="11" customFormat="false" ht="15" hidden="false" customHeight="false" outlineLevel="0" collapsed="false">
      <c r="A11" s="10" t="s">
        <v>95</v>
      </c>
      <c r="B11" s="22" t="n">
        <f aca="false">입력!$B$16*(1+입력!$B$18)/입력!$B$17-1</f>
        <v>0.177106602475929</v>
      </c>
      <c r="C11" s="22" t="n">
        <f aca="false">입력!$B$16*(1+입력!$B$18)/입력!$B$17-1</f>
        <v>0.177106602475929</v>
      </c>
      <c r="D11" s="22" t="n">
        <f aca="false">입력!$B$16*(1+입력!$B$18)/입력!$B$17-1</f>
        <v>0.177106602475929</v>
      </c>
      <c r="E11" s="10" t="s">
        <v>24</v>
      </c>
      <c r="F11" s="10" t="s">
        <v>96</v>
      </c>
    </row>
    <row r="12" customFormat="false" ht="15" hidden="false" customHeight="false" outlineLevel="0" collapsed="false">
      <c r="A12" s="10" t="s">
        <v>97</v>
      </c>
      <c r="B12" s="23" t="n">
        <f aca="false">B10/B11</f>
        <v>0.00745583625656927</v>
      </c>
      <c r="C12" s="23" t="n">
        <f aca="false">C10/C11</f>
        <v>0.166232375593998</v>
      </c>
      <c r="D12" s="23" t="n">
        <f aca="false">D10/D11</f>
        <v>1.23140087556962</v>
      </c>
      <c r="E12" s="10" t="s">
        <v>24</v>
      </c>
      <c r="F12" s="10" t="s">
        <v>98</v>
      </c>
    </row>
    <row r="13" customFormat="false" ht="15" hidden="false" customHeight="false" outlineLevel="0" collapsed="false">
      <c r="A13" s="10" t="s">
        <v>99</v>
      </c>
      <c r="B13" s="24" t="n">
        <f aca="false">B11*입력!$B$17*입력!$B$15/(1-입력!B9)/입력!B7/B5</f>
        <v>0.0812083229628546</v>
      </c>
      <c r="C13" s="24" t="n">
        <f aca="false">C11*입력!$B$17*입력!$B$15/(1-입력!C9)/입력!C7/C5</f>
        <v>0.0541388819752364</v>
      </c>
      <c r="D13" s="24" t="n">
        <f aca="false">D11*입력!$B$17*입력!$B$15/(1-입력!D9)/입력!D7/D5</f>
        <v>0.0406041614814273</v>
      </c>
      <c r="E13" s="10" t="s">
        <v>24</v>
      </c>
      <c r="F13" s="10" t="s">
        <v>100</v>
      </c>
    </row>
    <row r="15" customFormat="false" ht="20.85" hidden="false" customHeight="false" outlineLevel="0" collapsed="false">
      <c r="A15" s="18" t="s">
        <v>101</v>
      </c>
      <c r="B15" s="19"/>
      <c r="C15" s="19"/>
      <c r="D15" s="19"/>
      <c r="E15" s="19"/>
      <c r="F15" s="19"/>
    </row>
    <row r="16" customFormat="false" ht="15" hidden="false" customHeight="false" outlineLevel="0" collapsed="false">
      <c r="A16" s="10" t="s">
        <v>102</v>
      </c>
      <c r="B16" s="20" t="n">
        <f aca="false">B6*입력!B5</f>
        <v>47.2798684902807</v>
      </c>
      <c r="C16" s="20" t="n">
        <f aca="false">C6*입력!C5</f>
        <v>1405.51099147084</v>
      </c>
      <c r="D16" s="20" t="n">
        <f aca="false">D6*입력!D5</f>
        <v>11713.066674</v>
      </c>
      <c r="E16" s="10" t="s">
        <v>49</v>
      </c>
      <c r="F16" s="10" t="s">
        <v>103</v>
      </c>
    </row>
    <row r="17" customFormat="false" ht="15" hidden="false" customHeight="false" outlineLevel="0" collapsed="false">
      <c r="A17" s="10" t="s">
        <v>104</v>
      </c>
      <c r="B17" s="25" t="n">
        <f aca="false">B16/입력!B10</f>
        <v>0.675426692718295</v>
      </c>
      <c r="C17" s="25" t="n">
        <f aca="false">C16/입력!C10</f>
        <v>20.0787284495834</v>
      </c>
      <c r="D17" s="25" t="n">
        <f aca="false">D16/입력!D10</f>
        <v>167.329523914286</v>
      </c>
      <c r="E17" s="10" t="s">
        <v>105</v>
      </c>
      <c r="F17" s="10" t="s">
        <v>106</v>
      </c>
    </row>
    <row r="18" customFormat="false" ht="15" hidden="false" customHeight="false" outlineLevel="0" collapsed="false">
      <c r="A18" s="10" t="s">
        <v>107</v>
      </c>
      <c r="B18" s="20" t="n">
        <f aca="false">ROUNDUP(B17/입력!$B$25,0)</f>
        <v>1</v>
      </c>
      <c r="C18" s="20" t="n">
        <f aca="false">ROUNDUP(C17/입력!$B$25,0)</f>
        <v>6</v>
      </c>
      <c r="D18" s="20" t="n">
        <f aca="false">ROUNDUP(D17/입력!$B$25,0)</f>
        <v>42</v>
      </c>
      <c r="E18" s="10" t="s">
        <v>108</v>
      </c>
      <c r="F18" s="10" t="s">
        <v>109</v>
      </c>
    </row>
    <row r="19" customFormat="false" ht="20.85" hidden="false" customHeight="false" outlineLevel="0" collapsed="false">
      <c r="A19" s="10" t="s">
        <v>110</v>
      </c>
      <c r="B19" s="26" t="str">
        <f aca="false">IF(B18&lt;=입력!$B$26*입력!B12,"가능(예약형)","부족 — 셔틀·추가 차량 검토")</f>
        <v>가능(예약형)</v>
      </c>
      <c r="C19" s="26" t="str">
        <f aca="false">IF(C18&lt;=입력!$B$26*입력!C12,"가능(예약형)","부족 — 셔틀·추가 차량 검토")</f>
        <v>가능(예약형)</v>
      </c>
      <c r="D19" s="26" t="str">
        <f aca="false">IF(D18&lt;=입력!$B$26*입력!D12,"가능(예약형)","부족 — 셔틀·추가 차량 검토")</f>
        <v>부족 — 셔틀·추가 차량 검토</v>
      </c>
      <c r="E19" s="10"/>
      <c r="F19" s="10" t="s">
        <v>111</v>
      </c>
    </row>
    <row r="21" customFormat="false" ht="15" hidden="false" customHeight="false" outlineLevel="0" collapsed="false">
      <c r="A21" s="18" t="s">
        <v>112</v>
      </c>
      <c r="B21" s="19"/>
      <c r="C21" s="19"/>
      <c r="D21" s="19"/>
      <c r="E21" s="19"/>
      <c r="F21" s="19"/>
    </row>
    <row r="22" customFormat="false" ht="15" hidden="false" customHeight="false" outlineLevel="0" collapsed="false">
      <c r="A22" s="10" t="s">
        <v>113</v>
      </c>
      <c r="B22" s="20" t="n">
        <f aca="false">입력!$B$21*입력!$B$20*입력!$B$22*입력!B10/입력!$B$24</f>
        <v>57599.46057712</v>
      </c>
      <c r="C22" s="20" t="n">
        <f aca="false">입력!$B$21*입력!$B$20*입력!$B$22*입력!C10/입력!$B$24</f>
        <v>57599.46057712</v>
      </c>
      <c r="D22" s="20" t="n">
        <f aca="false">입력!$B$21*입력!$B$20*입력!$B$22*입력!D10/입력!$B$24</f>
        <v>57599.46057712</v>
      </c>
      <c r="E22" s="10" t="s">
        <v>43</v>
      </c>
      <c r="F22" s="10" t="s">
        <v>114</v>
      </c>
    </row>
    <row r="23" customFormat="false" ht="15" hidden="false" customHeight="false" outlineLevel="0" collapsed="false">
      <c r="A23" s="10" t="s">
        <v>115</v>
      </c>
      <c r="B23" s="20" t="n">
        <f aca="false">B22*입력!B6</f>
        <v>34.875088612477</v>
      </c>
      <c r="C23" s="20" t="n">
        <f aca="false">C22*입력!C6</f>
        <v>518.374119245196</v>
      </c>
      <c r="D23" s="20" t="n">
        <f aca="false">D22*입력!D6</f>
        <v>2879.973028856</v>
      </c>
      <c r="E23" s="10" t="s">
        <v>49</v>
      </c>
      <c r="F23" s="10" t="s">
        <v>116</v>
      </c>
    </row>
    <row r="24" customFormat="false" ht="15" hidden="false" customHeight="false" outlineLevel="0" collapsed="false">
      <c r="A24" s="10" t="s">
        <v>117</v>
      </c>
      <c r="B24" s="25" t="n">
        <f aca="false">B23/입력!B10</f>
        <v>0.498215551606814</v>
      </c>
      <c r="C24" s="25" t="n">
        <f aca="false">C23/입력!C10</f>
        <v>7.40534456064566</v>
      </c>
      <c r="D24" s="25" t="n">
        <f aca="false">D23/입력!D10</f>
        <v>41.1424718408</v>
      </c>
      <c r="E24" s="10" t="s">
        <v>105</v>
      </c>
      <c r="F24" s="10" t="s">
        <v>106</v>
      </c>
    </row>
    <row r="25" customFormat="false" ht="15" hidden="false" customHeight="false" outlineLevel="0" collapsed="false">
      <c r="A25" s="10" t="s">
        <v>118</v>
      </c>
      <c r="B25" s="20" t="n">
        <f aca="false">B23*입력!B8</f>
        <v>106996.771863079</v>
      </c>
      <c r="C25" s="20" t="n">
        <f aca="false">C23*입력!C8</f>
        <v>4714612.61453506</v>
      </c>
      <c r="D25" s="20" t="n">
        <f aca="false">D23*입력!D8</f>
        <v>41241213.7732179</v>
      </c>
      <c r="E25" s="10" t="s">
        <v>31</v>
      </c>
      <c r="F25" s="10" t="s">
        <v>119</v>
      </c>
    </row>
    <row r="26" customFormat="false" ht="15" hidden="false" customHeight="false" outlineLevel="0" collapsed="false">
      <c r="A26" s="10" t="s">
        <v>120</v>
      </c>
      <c r="B26" s="20" t="n">
        <f aca="false">B25*(1-입력!B9)</f>
        <v>53498.3859315397</v>
      </c>
      <c r="C26" s="20" t="n">
        <f aca="false">C25*(1-입력!C9)</f>
        <v>2357306.30726753</v>
      </c>
      <c r="D26" s="20" t="n">
        <f aca="false">D25*(1-입력!D9)</f>
        <v>20620606.886609</v>
      </c>
      <c r="E26" s="10" t="s">
        <v>31</v>
      </c>
      <c r="F26" s="10" t="s">
        <v>90</v>
      </c>
    </row>
    <row r="27" customFormat="false" ht="15" hidden="false" customHeight="false" outlineLevel="0" collapsed="false">
      <c r="A27" s="10" t="s">
        <v>121</v>
      </c>
      <c r="B27" s="24" t="n">
        <f aca="false">B26/입력!$B$23</f>
        <v>4.88523380580963E-006</v>
      </c>
      <c r="C27" s="24" t="n">
        <f aca="false">C26/입력!$B$23</f>
        <v>0.00021525868981633</v>
      </c>
      <c r="D27" s="24" t="n">
        <f aca="false">D26/입력!$B$23</f>
        <v>0.00188298177794901</v>
      </c>
      <c r="E27" s="10" t="s">
        <v>24</v>
      </c>
      <c r="F27" s="10" t="s">
        <v>122</v>
      </c>
    </row>
    <row r="29" customFormat="false" ht="15" hidden="false" customHeight="false" outlineLevel="0" collapsed="false">
      <c r="A29" s="18" t="s">
        <v>123</v>
      </c>
      <c r="B29" s="19"/>
      <c r="C29" s="19"/>
      <c r="D29" s="19"/>
      <c r="E29" s="19"/>
      <c r="F29" s="19"/>
    </row>
    <row r="30" customFormat="false" ht="15" hidden="false" customHeight="false" outlineLevel="0" collapsed="false">
      <c r="A30" s="10" t="s">
        <v>124</v>
      </c>
      <c r="B30" s="20" t="n">
        <f aca="false">B7+B25</f>
        <v>4834983.62089115</v>
      </c>
      <c r="C30" s="20" t="n">
        <f aca="false">C7+C25</f>
        <v>110127936.974848</v>
      </c>
      <c r="D30" s="20" t="n">
        <f aca="false">D7+D25</f>
        <v>822112325.373218</v>
      </c>
      <c r="E30" s="10" t="s">
        <v>31</v>
      </c>
      <c r="F30" s="10" t="s">
        <v>125</v>
      </c>
    </row>
    <row r="31" customFormat="false" ht="15" hidden="false" customHeight="false" outlineLevel="0" collapsed="false">
      <c r="A31" s="10" t="s">
        <v>126</v>
      </c>
      <c r="B31" s="20" t="n">
        <f aca="false">B8+B26</f>
        <v>2417491.81044557</v>
      </c>
      <c r="C31" s="20" t="n">
        <f aca="false">C8+C26</f>
        <v>55063968.487424</v>
      </c>
      <c r="D31" s="20" t="n">
        <f aca="false">D8+D26</f>
        <v>411056162.686609</v>
      </c>
      <c r="E31" s="10" t="s">
        <v>31</v>
      </c>
      <c r="F31" s="10" t="s">
        <v>127</v>
      </c>
    </row>
    <row r="32" customFormat="false" ht="15" hidden="false" customHeight="false" outlineLevel="0" collapsed="false">
      <c r="A32" s="10" t="s">
        <v>128</v>
      </c>
      <c r="B32" s="21" t="n">
        <f aca="false">B31/100000000</f>
        <v>0.0241749181044557</v>
      </c>
      <c r="C32" s="21" t="n">
        <f aca="false">C31/100000000</f>
        <v>0.55063968487424</v>
      </c>
      <c r="D32" s="21" t="n">
        <f aca="false">D31/100000000</f>
        <v>4.11056162686609</v>
      </c>
      <c r="E32" s="10" t="s">
        <v>129</v>
      </c>
      <c r="F32" s="10"/>
    </row>
    <row r="33" customFormat="false" ht="15" hidden="false" customHeight="false" outlineLevel="0" collapsed="false">
      <c r="A33" s="10" t="s">
        <v>130</v>
      </c>
      <c r="B33" s="21" t="str">
        <f aca="false">IF(N(입력!B11)&gt;0,B31/입력!B11,"예산 입력 시 계산")</f>
        <v>예산 입력 시 계산</v>
      </c>
      <c r="C33" s="21" t="str">
        <f aca="false">IF(N(입력!C11)&gt;0,C31/입력!C11,"예산 입력 시 계산")</f>
        <v>예산 입력 시 계산</v>
      </c>
      <c r="D33" s="21" t="str">
        <f aca="false">IF(N(입력!D11)&gt;0,D31/입력!D11,"예산 입력 시 계산")</f>
        <v>예산 입력 시 계산</v>
      </c>
      <c r="E33" s="10" t="s">
        <v>31</v>
      </c>
      <c r="F33" s="10" t="s">
        <v>131</v>
      </c>
    </row>
    <row r="35" customFormat="false" ht="15" hidden="false" customHeight="false" outlineLevel="0" collapsed="false">
      <c r="A35" s="27" t="s">
        <v>132</v>
      </c>
    </row>
    <row r="36" customFormat="false" ht="15" hidden="false" customHeight="false" outlineLevel="0" collapsed="false">
      <c r="A36" s="27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8.36"/>
    <col collapsed="false" customWidth="true" hidden="false" outlineLevel="0" max="2" min="2" style="0" width="91.8"/>
    <col collapsed="false" customWidth="true" hidden="false" outlineLevel="0" max="3" min="3" style="0" width="21.7"/>
  </cols>
  <sheetData>
    <row r="1" customFormat="false" ht="64.9" hidden="false" customHeight="false" outlineLevel="0" collapsed="false">
      <c r="A1" s="1" t="s">
        <v>134</v>
      </c>
    </row>
    <row r="3" customFormat="false" ht="15" hidden="false" customHeight="false" outlineLevel="0" collapsed="false">
      <c r="A3" s="7" t="s">
        <v>135</v>
      </c>
      <c r="B3" s="7" t="s">
        <v>136</v>
      </c>
      <c r="C3" s="7" t="s">
        <v>137</v>
      </c>
    </row>
    <row r="4" customFormat="false" ht="45" hidden="false" customHeight="true" outlineLevel="0" collapsed="false">
      <c r="A4" s="8" t="s">
        <v>138</v>
      </c>
      <c r="B4" s="10" t="s">
        <v>139</v>
      </c>
      <c r="C4" s="10" t="s">
        <v>140</v>
      </c>
    </row>
    <row r="5" customFormat="false" ht="45" hidden="false" customHeight="true" outlineLevel="0" collapsed="false">
      <c r="A5" s="8" t="s">
        <v>141</v>
      </c>
      <c r="B5" s="10" t="s">
        <v>142</v>
      </c>
      <c r="C5" s="10" t="s">
        <v>143</v>
      </c>
    </row>
    <row r="6" customFormat="false" ht="45" hidden="false" customHeight="true" outlineLevel="0" collapsed="false">
      <c r="A6" s="8" t="s">
        <v>144</v>
      </c>
      <c r="B6" s="10" t="s">
        <v>145</v>
      </c>
      <c r="C6" s="10" t="s">
        <v>143</v>
      </c>
    </row>
    <row r="7" customFormat="false" ht="45" hidden="false" customHeight="true" outlineLevel="0" collapsed="false">
      <c r="A7" s="8" t="s">
        <v>146</v>
      </c>
      <c r="B7" s="10" t="s">
        <v>147</v>
      </c>
      <c r="C7" s="10" t="s">
        <v>148</v>
      </c>
    </row>
    <row r="8" customFormat="false" ht="45" hidden="false" customHeight="true" outlineLevel="0" collapsed="false">
      <c r="A8" s="8" t="s">
        <v>149</v>
      </c>
      <c r="B8" s="10" t="s">
        <v>150</v>
      </c>
      <c r="C8" s="10" t="s">
        <v>151</v>
      </c>
    </row>
    <row r="9" customFormat="false" ht="45" hidden="false" customHeight="true" outlineLevel="0" collapsed="false">
      <c r="A9" s="8" t="s">
        <v>152</v>
      </c>
      <c r="B9" s="10" t="s">
        <v>153</v>
      </c>
      <c r="C9" s="10" t="s">
        <v>154</v>
      </c>
    </row>
    <row r="10" customFormat="false" ht="75" hidden="false" customHeight="true" outlineLevel="0" collapsed="false">
      <c r="A10" s="8" t="s">
        <v>155</v>
      </c>
      <c r="B10" s="10" t="s">
        <v>156</v>
      </c>
      <c r="C10" s="10" t="s">
        <v>157</v>
      </c>
    </row>
    <row r="11" customFormat="false" ht="75" hidden="false" customHeight="true" outlineLevel="0" collapsed="false">
      <c r="A11" s="8" t="s">
        <v>158</v>
      </c>
      <c r="B11" s="10" t="s">
        <v>159</v>
      </c>
      <c r="C11" s="10" t="s">
        <v>160</v>
      </c>
    </row>
    <row r="12" customFormat="false" ht="75" hidden="false" customHeight="true" outlineLevel="0" collapsed="false">
      <c r="A12" s="8" t="s">
        <v>161</v>
      </c>
      <c r="B12" s="10" t="s">
        <v>162</v>
      </c>
      <c r="C12" s="10" t="s">
        <v>163</v>
      </c>
    </row>
    <row r="13" customFormat="false" ht="189.75" hidden="false" customHeight="true" outlineLevel="0" collapsed="false">
      <c r="A13" s="8" t="s">
        <v>164</v>
      </c>
      <c r="B13" s="28" t="str">
        <f aca="false">"○ 성과 구분: 분석 결과(설계) / 현장 관측 / 조건부 예상 효과 / 정책 순효과(시행 후) — 아래 예상 효과는 시행 전 조건부 값"&amp;CHAR(10)&amp;"○ 1단계 체험 결제: 참여율 "&amp;TEXT(입력!C4,"0.00%")&amp;" 가정 시 운영 "&amp;입력!C10&amp;"일 동안 "&amp;TEXT(기대효과!C6,"#,##0")&amp;"건, 방문당 체험·문화 소비 +"&amp;TEXT(기대효과!C10,"0.0%")&amp;" (회복 목표 +"&amp;TEXT(기대효과!C11,"0.0%")&amp;"의 "&amp;TEXT(기대효과!C12,"0%")&amp;")"&amp;CHAR(10)&amp;"   · 범위(보수~낙관): +"&amp;TEXT(기대효과!B10,"0.0%")&amp;" ~ +"&amp;TEXT(기대효과!D10,"0.0%")&amp;" / 목표 달성에 필요한 참여율 "&amp;TEXT(기대효과!C13,"0.0%")&amp;CHAR(10)&amp;"○ 2단계 야간 이동: 주말 하루 "&amp;TEXT(기대효과!C17,"0.0")&amp;"명 → 택시 "&amp;기대효과!C18&amp;"회, "&amp;기대효과!C19&amp;CHAR(10)&amp;"○ 3단계 팝업: 주말 하루 "&amp;TEXT(기대효과!C24,"0.0")&amp;"명 이용, 강남동 외지인 관광소비 +"&amp;TEXT(기대효과!C27,"0.00%")&amp;CHAR(10)&amp;"○ 안동 내 추가 소비(반사실 "&amp;TEXT(입력!C9,"0%")&amp;" 차감): "&amp;TEXT(기대효과!C32,"0.00")&amp;"억 원 (보수 "&amp;TEXT(기대효과!B32,"0.00")&amp;" ~ 낙관 "&amp;TEXT(기대효과!D32,"0.00")&amp;"억)"&amp;CHAR(10)&amp;"○ ⑥ 사후 검증: 주민증 운영 52곳 중 비교 조합(합성통제), 주 지표 = 방문당 체험·문화 소비"&amp;CHAR(10)&amp;"○ ⑦ 전국 진단표: 체험·문화 변화율·숙박일수·저녁 전환율·야간 방문 비중 4지표"</f>
        <v>○ 성과 구분: 분석 결과(설계) / 현장 관측 / 조건부 예상 효과 / 정책 순효과(시행 후) — 아래 예상 효과는 시행 전 조건부 값
○ 1단계 체험 결제: 참여율 0.90% 가정 시 운영 70일 동안 7,028건, 방문당 체험·문화 소비 +2.9% (회복 목표 +17.7%의 17%)
   · 범위(보수~낙관): +0.1% ~ +21.8% / 목표 달성에 필요한 참여율 5.4%
○ 2단계 야간 이동: 주말 하루 20.1명 → 택시 6회, 가능(예약형)
○ 3단계 팝업: 주말 하루 7.4명 이용, 강남동 외지인 관광소비 +0.02%
○ 안동 내 추가 소비(반사실 50% 차감): 0.55억 원 (보수 0.02 ~ 낙관 4.11억)
○ ⑥ 사후 검증: 주민증 운영 52곳 중 비교 조합(합성통제), 주 지표 = 방문당 체험·문화 소비
○ ⑦ 전국 진단표: 체험·문화 변화율·숙박일수·저녁 전환율·야간 방문 비중 4지표</v>
      </c>
      <c r="C13" s="10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8.35"/>
    <col collapsed="false" customWidth="true" hidden="false" outlineLevel="0" max="2" min="2" style="0" width="36.72"/>
    <col collapsed="false" customWidth="true" hidden="false" outlineLevel="0" max="3" min="3" style="0" width="30.05"/>
    <col collapsed="false" customWidth="true" hidden="false" outlineLevel="0" max="4" min="4" style="0" width="15.02"/>
    <col collapsed="false" customWidth="true" hidden="false" outlineLevel="0" max="5" min="5" style="0" width="36.72"/>
  </cols>
  <sheetData>
    <row r="1" customFormat="false" ht="39.55" hidden="false" customHeight="false" outlineLevel="0" collapsed="false">
      <c r="A1" s="1" t="s">
        <v>166</v>
      </c>
    </row>
    <row r="3" customFormat="false" ht="15" hidden="false" customHeight="false" outlineLevel="0" collapsed="false">
      <c r="A3" s="7" t="s">
        <v>167</v>
      </c>
      <c r="B3" s="7" t="s">
        <v>168</v>
      </c>
      <c r="C3" s="7" t="s">
        <v>169</v>
      </c>
      <c r="D3" s="7" t="s">
        <v>170</v>
      </c>
      <c r="E3" s="7" t="s">
        <v>171</v>
      </c>
    </row>
    <row r="4" customFormat="false" ht="15" hidden="false" customHeight="false" outlineLevel="0" collapsed="false">
      <c r="A4" s="10" t="s">
        <v>172</v>
      </c>
      <c r="B4" s="10" t="s">
        <v>173</v>
      </c>
      <c r="C4" s="10" t="s">
        <v>174</v>
      </c>
      <c r="D4" s="10" t="s">
        <v>175</v>
      </c>
      <c r="E4" s="10" t="s">
        <v>176</v>
      </c>
    </row>
    <row r="5" customFormat="false" ht="20.85" hidden="false" customHeight="false" outlineLevel="0" collapsed="false">
      <c r="A5" s="10" t="s">
        <v>172</v>
      </c>
      <c r="B5" s="10" t="s">
        <v>177</v>
      </c>
      <c r="C5" s="10" t="s">
        <v>178</v>
      </c>
      <c r="D5" s="10" t="s">
        <v>175</v>
      </c>
      <c r="E5" s="10" t="s">
        <v>179</v>
      </c>
    </row>
    <row r="6" customFormat="false" ht="15" hidden="false" customHeight="false" outlineLevel="0" collapsed="false">
      <c r="A6" s="10" t="s">
        <v>172</v>
      </c>
      <c r="B6" s="10" t="s">
        <v>180</v>
      </c>
      <c r="C6" s="10" t="s">
        <v>181</v>
      </c>
      <c r="D6" s="10" t="s">
        <v>182</v>
      </c>
      <c r="E6" s="10" t="s">
        <v>183</v>
      </c>
    </row>
    <row r="7" customFormat="false" ht="15" hidden="false" customHeight="false" outlineLevel="0" collapsed="false">
      <c r="A7" s="10" t="s">
        <v>172</v>
      </c>
      <c r="B7" s="10" t="s">
        <v>184</v>
      </c>
      <c r="C7" s="10" t="s">
        <v>61</v>
      </c>
      <c r="D7" s="10" t="s">
        <v>185</v>
      </c>
      <c r="E7" s="10" t="s">
        <v>186</v>
      </c>
    </row>
    <row r="8" customFormat="false" ht="15" hidden="false" customHeight="false" outlineLevel="0" collapsed="false">
      <c r="A8" s="10" t="s">
        <v>172</v>
      </c>
      <c r="B8" s="10" t="s">
        <v>187</v>
      </c>
      <c r="C8" s="10" t="s">
        <v>188</v>
      </c>
      <c r="D8" s="10" t="s">
        <v>189</v>
      </c>
      <c r="E8" s="10" t="s">
        <v>190</v>
      </c>
    </row>
    <row r="9" customFormat="false" ht="20.85" hidden="false" customHeight="false" outlineLevel="0" collapsed="false">
      <c r="A9" s="10" t="s">
        <v>172</v>
      </c>
      <c r="B9" s="10" t="s">
        <v>191</v>
      </c>
      <c r="C9" s="10" t="s">
        <v>192</v>
      </c>
      <c r="D9" s="10" t="s">
        <v>193</v>
      </c>
      <c r="E9" s="10" t="s">
        <v>194</v>
      </c>
    </row>
    <row r="10" customFormat="false" ht="15" hidden="false" customHeight="false" outlineLevel="0" collapsed="false">
      <c r="A10" s="10" t="s">
        <v>172</v>
      </c>
      <c r="B10" s="10" t="s">
        <v>195</v>
      </c>
      <c r="C10" s="10" t="s">
        <v>196</v>
      </c>
      <c r="D10" s="10" t="s">
        <v>197</v>
      </c>
      <c r="E10" s="10" t="s">
        <v>198</v>
      </c>
    </row>
    <row r="11" customFormat="false" ht="20.85" hidden="false" customHeight="false" outlineLevel="0" collapsed="false">
      <c r="A11" s="10" t="s">
        <v>172</v>
      </c>
      <c r="B11" s="10" t="s">
        <v>199</v>
      </c>
      <c r="C11" s="10" t="s">
        <v>200</v>
      </c>
      <c r="D11" s="10" t="s">
        <v>201</v>
      </c>
      <c r="E11" s="10" t="s">
        <v>202</v>
      </c>
    </row>
    <row r="12" customFormat="false" ht="15" hidden="false" customHeight="false" outlineLevel="0" collapsed="false">
      <c r="A12" s="10" t="s">
        <v>172</v>
      </c>
      <c r="B12" s="10" t="s">
        <v>203</v>
      </c>
      <c r="C12" s="10" t="s">
        <v>204</v>
      </c>
      <c r="D12" s="10" t="s">
        <v>205</v>
      </c>
      <c r="E12" s="10" t="s">
        <v>206</v>
      </c>
    </row>
    <row r="13" customFormat="false" ht="20.85" hidden="false" customHeight="false" outlineLevel="0" collapsed="false">
      <c r="A13" s="10" t="s">
        <v>207</v>
      </c>
      <c r="B13" s="10" t="s">
        <v>208</v>
      </c>
      <c r="C13" s="10" t="s">
        <v>209</v>
      </c>
      <c r="D13" s="10" t="s">
        <v>210</v>
      </c>
      <c r="E13" s="10" t="s">
        <v>211</v>
      </c>
    </row>
    <row r="14" customFormat="false" ht="15" hidden="false" customHeight="false" outlineLevel="0" collapsed="false">
      <c r="A14" s="10" t="s">
        <v>207</v>
      </c>
      <c r="B14" s="10" t="s">
        <v>212</v>
      </c>
      <c r="C14" s="10" t="s">
        <v>213</v>
      </c>
      <c r="D14" s="10" t="s">
        <v>214</v>
      </c>
      <c r="E14" s="10" t="s">
        <v>215</v>
      </c>
    </row>
    <row r="15" customFormat="false" ht="15" hidden="false" customHeight="false" outlineLevel="0" collapsed="false">
      <c r="A15" s="10" t="s">
        <v>207</v>
      </c>
      <c r="B15" s="10" t="s">
        <v>216</v>
      </c>
      <c r="C15" s="10" t="s">
        <v>217</v>
      </c>
      <c r="D15" s="10" t="s">
        <v>218</v>
      </c>
      <c r="E15" s="10" t="s">
        <v>219</v>
      </c>
    </row>
    <row r="16" customFormat="false" ht="15" hidden="false" customHeight="false" outlineLevel="0" collapsed="false">
      <c r="A16" s="10" t="s">
        <v>207</v>
      </c>
      <c r="B16" s="10" t="s">
        <v>220</v>
      </c>
      <c r="C16" s="10" t="s">
        <v>221</v>
      </c>
      <c r="D16" s="10" t="s">
        <v>222</v>
      </c>
      <c r="E16" s="10" t="s">
        <v>223</v>
      </c>
    </row>
    <row r="17" customFormat="false" ht="15" hidden="false" customHeight="false" outlineLevel="0" collapsed="false">
      <c r="A17" s="10" t="s">
        <v>207</v>
      </c>
      <c r="B17" s="10" t="s">
        <v>224</v>
      </c>
      <c r="C17" s="10" t="s">
        <v>225</v>
      </c>
      <c r="D17" s="10" t="s">
        <v>226</v>
      </c>
      <c r="E17" s="10" t="s">
        <v>227</v>
      </c>
    </row>
    <row r="18" customFormat="false" ht="15" hidden="false" customHeight="false" outlineLevel="0" collapsed="false">
      <c r="A18" s="10" t="s">
        <v>207</v>
      </c>
      <c r="B18" s="10" t="s">
        <v>228</v>
      </c>
      <c r="C18" s="10" t="s">
        <v>229</v>
      </c>
      <c r="D18" s="10" t="s">
        <v>230</v>
      </c>
      <c r="E18" s="10" t="s">
        <v>231</v>
      </c>
    </row>
    <row r="19" customFormat="false" ht="15" hidden="false" customHeight="false" outlineLevel="0" collapsed="false">
      <c r="A19" s="10" t="s">
        <v>207</v>
      </c>
      <c r="B19" s="10" t="s">
        <v>232</v>
      </c>
      <c r="C19" s="10" t="s">
        <v>233</v>
      </c>
      <c r="D19" s="10" t="s">
        <v>234</v>
      </c>
      <c r="E19" s="10" t="s">
        <v>235</v>
      </c>
    </row>
    <row r="20" customFormat="false" ht="15" hidden="false" customHeight="false" outlineLevel="0" collapsed="false">
      <c r="A20" s="10" t="s">
        <v>207</v>
      </c>
      <c r="B20" s="10" t="s">
        <v>236</v>
      </c>
      <c r="C20" s="10" t="s">
        <v>237</v>
      </c>
      <c r="D20" s="10" t="s">
        <v>238</v>
      </c>
      <c r="E20" s="10" t="s">
        <v>239</v>
      </c>
    </row>
    <row r="21" customFormat="false" ht="15" hidden="false" customHeight="false" outlineLevel="0" collapsed="false">
      <c r="A21" s="10" t="s">
        <v>240</v>
      </c>
      <c r="B21" s="10" t="s">
        <v>241</v>
      </c>
      <c r="C21" s="10" t="s">
        <v>242</v>
      </c>
      <c r="D21" s="10" t="s">
        <v>243</v>
      </c>
      <c r="E21" s="10" t="s">
        <v>244</v>
      </c>
    </row>
    <row r="22" customFormat="false" ht="15" hidden="false" customHeight="false" outlineLevel="0" collapsed="false">
      <c r="A22" s="10" t="s">
        <v>245</v>
      </c>
      <c r="B22" s="10" t="s">
        <v>246</v>
      </c>
      <c r="C22" s="10" t="s">
        <v>247</v>
      </c>
      <c r="D22" s="10" t="s">
        <v>238</v>
      </c>
      <c r="E22" s="10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2026-09-22T13:41:29Z</dcterms:created>
  <dc:creator>openpyxl</dc:creator>
  <dc:description/>
  <dc:language>ko-KR</dc:language>
  <cp:lastModifiedBy/>
  <dcterms:modified xsi:type="dcterms:W3CDTF">2026-09-22T13:41:29Z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